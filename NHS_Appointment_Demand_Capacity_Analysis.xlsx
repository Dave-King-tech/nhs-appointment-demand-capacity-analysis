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avid\Desktop\"/>
    </mc:Choice>
  </mc:AlternateContent>
  <xr:revisionPtr revIDLastSave="0" documentId="8_{D02FCBC9-2862-44B5-9190-8C97F31A50A1}" xr6:coauthVersionLast="47" xr6:coauthVersionMax="47" xr10:uidLastSave="{00000000-0000-0000-0000-000000000000}"/>
  <bookViews>
    <workbookView xWindow="-108" yWindow="-108" windowWidth="23256" windowHeight="12456" activeTab="4" xr2:uid="{89B653D1-1C95-41BF-884D-FCB873F744CE}"/>
  </bookViews>
  <sheets>
    <sheet name="Raw_Appointment" sheetId="1" r:id="rId1"/>
    <sheet name="Capacity_Data" sheetId="2" r:id="rId2"/>
    <sheet name="Analysis" sheetId="3" r:id="rId3"/>
    <sheet name="Pivot_Tables" sheetId="4" r:id="rId4"/>
    <sheet name="Dashboard" sheetId="5" r:id="rId5"/>
  </sheets>
  <definedNames>
    <definedName name="ExternalData_1" localSheetId="1" hidden="1">Capacity_Data!$A$1:$C$61</definedName>
    <definedName name="ExternalData_1" localSheetId="0" hidden="1">Raw_Appointment!$A$1:$L$3201</definedName>
    <definedName name="NativeTimeline_Appointment_Date">#N/A</definedName>
    <definedName name="Slicer_Specialty">#N/A</definedName>
  </definedNames>
  <calcPr calcId="191029"/>
  <pivotCaches>
    <pivotCache cacheId="0" r:id="rId6"/>
    <pivotCache cacheId="1" r:id="rId7"/>
  </pivotCaches>
  <fileRecoveryPr repairLoad="1"/>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138" i="4" l="1"/>
  <c r="J6" i="5" s="1"/>
  <c r="I119" i="4"/>
  <c r="I120" i="4"/>
  <c r="I121" i="4"/>
  <c r="I122" i="4"/>
  <c r="I123" i="4"/>
  <c r="H119" i="4"/>
  <c r="H120" i="4"/>
  <c r="H121" i="4"/>
  <c r="H122" i="4"/>
  <c r="H123" i="4"/>
  <c r="I118" i="4"/>
  <c r="H118" i="4"/>
  <c r="C3" i="3"/>
  <c r="H3" i="3" s="1"/>
  <c r="C4" i="3"/>
  <c r="C5" i="3"/>
  <c r="C6" i="3"/>
  <c r="H6" i="3" s="1"/>
  <c r="C7" i="3"/>
  <c r="I7" i="3" s="1"/>
  <c r="C8" i="3"/>
  <c r="C9" i="3"/>
  <c r="I9" i="3" s="1"/>
  <c r="C10" i="3"/>
  <c r="I10" i="3" s="1"/>
  <c r="C11" i="3"/>
  <c r="I11" i="3" s="1"/>
  <c r="C12" i="3"/>
  <c r="C13" i="3"/>
  <c r="I13" i="3" s="1"/>
  <c r="C14" i="3"/>
  <c r="I14" i="3" s="1"/>
  <c r="C15" i="3"/>
  <c r="H15" i="3" s="1"/>
  <c r="C16" i="3"/>
  <c r="C17" i="3"/>
  <c r="I17" i="3" s="1"/>
  <c r="C18" i="3"/>
  <c r="I18" i="3" s="1"/>
  <c r="C19" i="3"/>
  <c r="I19" i="3" s="1"/>
  <c r="C20" i="3"/>
  <c r="C21" i="3"/>
  <c r="I21" i="3" s="1"/>
  <c r="C22" i="3"/>
  <c r="H22" i="3" s="1"/>
  <c r="C23" i="3"/>
  <c r="I23" i="3" s="1"/>
  <c r="C24" i="3"/>
  <c r="C25" i="3"/>
  <c r="I25" i="3" s="1"/>
  <c r="C26" i="3"/>
  <c r="I26" i="3" s="1"/>
  <c r="C27" i="3"/>
  <c r="I27" i="3" s="1"/>
  <c r="C28" i="3"/>
  <c r="C29" i="3"/>
  <c r="I29" i="3" s="1"/>
  <c r="C30" i="3"/>
  <c r="I30" i="3" s="1"/>
  <c r="C31" i="3"/>
  <c r="I31" i="3" s="1"/>
  <c r="C32" i="3"/>
  <c r="C33" i="3"/>
  <c r="I33" i="3" s="1"/>
  <c r="C34" i="3"/>
  <c r="I34" i="3" s="1"/>
  <c r="C35" i="3"/>
  <c r="I35" i="3" s="1"/>
  <c r="C36" i="3"/>
  <c r="C37" i="3"/>
  <c r="I37" i="3" s="1"/>
  <c r="C38" i="3"/>
  <c r="H38" i="3" s="1"/>
  <c r="C39" i="3"/>
  <c r="I39" i="3" s="1"/>
  <c r="C40" i="3"/>
  <c r="C41" i="3"/>
  <c r="I41" i="3" s="1"/>
  <c r="C42" i="3"/>
  <c r="I42" i="3" s="1"/>
  <c r="C43" i="3"/>
  <c r="I43" i="3" s="1"/>
  <c r="C44" i="3"/>
  <c r="C45" i="3"/>
  <c r="I45" i="3" s="1"/>
  <c r="C46" i="3"/>
  <c r="I46" i="3" s="1"/>
  <c r="C47" i="3"/>
  <c r="I47" i="3" s="1"/>
  <c r="C48" i="3"/>
  <c r="C49" i="3"/>
  <c r="I49" i="3" s="1"/>
  <c r="C50" i="3"/>
  <c r="I50" i="3" s="1"/>
  <c r="C51" i="3"/>
  <c r="I51" i="3" s="1"/>
  <c r="C52" i="3"/>
  <c r="C53" i="3"/>
  <c r="I53" i="3" s="1"/>
  <c r="C54" i="3"/>
  <c r="H54" i="3" s="1"/>
  <c r="C55" i="3"/>
  <c r="I55" i="3" s="1"/>
  <c r="C56" i="3"/>
  <c r="C57" i="3"/>
  <c r="I57" i="3" s="1"/>
  <c r="C58" i="3"/>
  <c r="I58" i="3" s="1"/>
  <c r="C59" i="3"/>
  <c r="I59" i="3" s="1"/>
  <c r="C60" i="3"/>
  <c r="C61" i="3"/>
  <c r="I61" i="3" s="1"/>
  <c r="C2" i="3"/>
  <c r="I2" i="3" s="1"/>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2" i="3"/>
  <c r="I4" i="3"/>
  <c r="I5" i="3"/>
  <c r="I8" i="3"/>
  <c r="I12" i="3"/>
  <c r="I16" i="3"/>
  <c r="I20" i="3"/>
  <c r="I24" i="3"/>
  <c r="I28" i="3"/>
  <c r="I32" i="3"/>
  <c r="I36" i="3"/>
  <c r="I40" i="3"/>
  <c r="I44" i="3"/>
  <c r="I48" i="3"/>
  <c r="I52" i="3"/>
  <c r="I56" i="3"/>
  <c r="I60" i="3"/>
  <c r="H4" i="3"/>
  <c r="H5" i="3"/>
  <c r="H8" i="3"/>
  <c r="H9" i="3"/>
  <c r="H12" i="3"/>
  <c r="H13" i="3"/>
  <c r="H16" i="3"/>
  <c r="H17" i="3"/>
  <c r="H20" i="3"/>
  <c r="H24" i="3"/>
  <c r="H28" i="3"/>
  <c r="H30" i="3"/>
  <c r="H32" i="3"/>
  <c r="H36" i="3"/>
  <c r="H37" i="3"/>
  <c r="H40" i="3"/>
  <c r="H44" i="3"/>
  <c r="H48" i="3"/>
  <c r="H52" i="3"/>
  <c r="H56" i="3"/>
  <c r="H60" i="3"/>
  <c r="H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2" i="3"/>
  <c r="D3" i="3" a="1"/>
  <c r="D3" i="3" s="1"/>
  <c r="G3" i="3" s="1"/>
  <c r="D4" i="3" a="1"/>
  <c r="D4" i="3" s="1"/>
  <c r="D5" i="3" a="1"/>
  <c r="D5" i="3" s="1"/>
  <c r="G5" i="3" s="1"/>
  <c r="D6" i="3" a="1"/>
  <c r="D6" i="3" s="1"/>
  <c r="D7" i="3" a="1"/>
  <c r="D7" i="3" s="1"/>
  <c r="G7" i="3" s="1"/>
  <c r="D8" i="3" a="1"/>
  <c r="D8" i="3" s="1"/>
  <c r="G8" i="3" s="1"/>
  <c r="D9" i="3" a="1"/>
  <c r="D9" i="3" s="1"/>
  <c r="G9" i="3" s="1"/>
  <c r="D10" i="3" a="1"/>
  <c r="D10" i="3" s="1"/>
  <c r="G10" i="3" s="1"/>
  <c r="D11" i="3" a="1"/>
  <c r="D11" i="3" s="1"/>
  <c r="G11" i="3" s="1"/>
  <c r="D12" i="3" a="1"/>
  <c r="D12" i="3" s="1"/>
  <c r="D13" i="3" a="1"/>
  <c r="D13" i="3" s="1"/>
  <c r="G13" i="3" s="1"/>
  <c r="D14" i="3" a="1"/>
  <c r="D14" i="3" s="1"/>
  <c r="D15" i="3" a="1"/>
  <c r="D15" i="3" s="1"/>
  <c r="G15" i="3" s="1"/>
  <c r="D16" i="3" a="1"/>
  <c r="D16" i="3"/>
  <c r="D17" i="3" a="1"/>
  <c r="D17" i="3" s="1"/>
  <c r="G17" i="3" s="1"/>
  <c r="D18" i="3" a="1"/>
  <c r="D18" i="3" s="1"/>
  <c r="D19" i="3" a="1"/>
  <c r="D19" i="3" s="1"/>
  <c r="D20" i="3" a="1"/>
  <c r="D20" i="3" s="1"/>
  <c r="D21" i="3" a="1"/>
  <c r="D21" i="3" s="1"/>
  <c r="G21" i="3" s="1"/>
  <c r="D22" i="3" a="1"/>
  <c r="D22" i="3" s="1"/>
  <c r="D23" i="3" a="1"/>
  <c r="D23" i="3" s="1"/>
  <c r="F23" i="3" s="1"/>
  <c r="D24" i="3" a="1"/>
  <c r="D24" i="3" s="1"/>
  <c r="D25" i="3" a="1"/>
  <c r="D25" i="3" s="1"/>
  <c r="G25" i="3" s="1"/>
  <c r="D26" i="3" a="1"/>
  <c r="D26" i="3" s="1"/>
  <c r="D27" i="3" a="1"/>
  <c r="D27" i="3" s="1"/>
  <c r="D28" i="3" a="1"/>
  <c r="D28" i="3" s="1"/>
  <c r="D29" i="3" a="1"/>
  <c r="D29" i="3" s="1"/>
  <c r="G29" i="3" s="1"/>
  <c r="D30" i="3" a="1"/>
  <c r="D30" i="3" s="1"/>
  <c r="D31" i="3" a="1"/>
  <c r="D31" i="3" s="1"/>
  <c r="D32" i="3" a="1"/>
  <c r="D32" i="3"/>
  <c r="D33" i="3" a="1"/>
  <c r="D33" i="3" s="1"/>
  <c r="D34" i="3" a="1"/>
  <c r="D34" i="3" s="1"/>
  <c r="D35" i="3" a="1"/>
  <c r="D35" i="3" s="1"/>
  <c r="D36" i="3" a="1"/>
  <c r="D36" i="3" s="1"/>
  <c r="D37" i="3" a="1"/>
  <c r="D37" i="3" s="1"/>
  <c r="D38" i="3" a="1"/>
  <c r="D38" i="3" s="1"/>
  <c r="D39" i="3" a="1"/>
  <c r="D39" i="3" s="1"/>
  <c r="D40" i="3" a="1"/>
  <c r="D40" i="3"/>
  <c r="D41" i="3" a="1"/>
  <c r="D41" i="3" s="1"/>
  <c r="D42" i="3" a="1"/>
  <c r="D42" i="3" s="1"/>
  <c r="D43" i="3" a="1"/>
  <c r="D43" i="3" s="1"/>
  <c r="D44" i="3" a="1"/>
  <c r="D44" i="3" s="1"/>
  <c r="D45" i="3" a="1"/>
  <c r="D45" i="3" s="1"/>
  <c r="D46" i="3" a="1"/>
  <c r="D46" i="3" s="1"/>
  <c r="D47" i="3" a="1"/>
  <c r="D47" i="3" s="1"/>
  <c r="D48" i="3" a="1"/>
  <c r="D48" i="3"/>
  <c r="G48" i="3" s="1"/>
  <c r="D49" i="3" a="1"/>
  <c r="D49" i="3" s="1"/>
  <c r="G49" i="3" s="1"/>
  <c r="D50" i="3" a="1"/>
  <c r="D50" i="3" s="1"/>
  <c r="D51" i="3" a="1"/>
  <c r="D51" i="3" s="1"/>
  <c r="G51" i="3" s="1"/>
  <c r="D52" i="3" a="1"/>
  <c r="D52" i="3" s="1"/>
  <c r="D53" i="3" a="1"/>
  <c r="D53" i="3" s="1"/>
  <c r="G53" i="3" s="1"/>
  <c r="D54" i="3" a="1"/>
  <c r="D54" i="3" s="1"/>
  <c r="D55" i="3" a="1"/>
  <c r="D55" i="3" s="1"/>
  <c r="D56" i="3" a="1"/>
  <c r="D56" i="3" s="1"/>
  <c r="D57" i="3" a="1"/>
  <c r="D57" i="3" s="1"/>
  <c r="D58" i="3" a="1"/>
  <c r="D58" i="3" s="1"/>
  <c r="D59" i="3" a="1"/>
  <c r="D59" i="3" s="1"/>
  <c r="D60" i="3" a="1"/>
  <c r="D60" i="3" s="1"/>
  <c r="D61" i="3" a="1"/>
  <c r="D61" i="3" s="1"/>
  <c r="D2" i="3" a="1"/>
  <c r="D2" i="3" s="1"/>
  <c r="B6" i="5"/>
  <c r="F6" i="5"/>
  <c r="N6" i="5"/>
  <c r="I3" i="3" l="1"/>
  <c r="H7" i="3"/>
  <c r="I15" i="3"/>
  <c r="H11" i="3"/>
  <c r="H45" i="3"/>
  <c r="G56" i="3"/>
  <c r="H58" i="3"/>
  <c r="H46" i="3"/>
  <c r="G57" i="3"/>
  <c r="G40" i="3"/>
  <c r="G37" i="3"/>
  <c r="G33" i="3"/>
  <c r="H53" i="3"/>
  <c r="H25" i="3"/>
  <c r="G47" i="3"/>
  <c r="G43" i="3"/>
  <c r="G32" i="3"/>
  <c r="H57" i="3"/>
  <c r="H49" i="3"/>
  <c r="H29" i="3"/>
  <c r="H21" i="3"/>
  <c r="G59" i="3"/>
  <c r="G55" i="3"/>
  <c r="G24" i="3"/>
  <c r="G16" i="3"/>
  <c r="H61" i="3"/>
  <c r="H41" i="3"/>
  <c r="H33" i="3"/>
  <c r="I6" i="3"/>
  <c r="G61" i="3"/>
  <c r="G39" i="3"/>
  <c r="G35" i="3"/>
  <c r="H50" i="3"/>
  <c r="H34" i="3"/>
  <c r="H18" i="3"/>
  <c r="H14" i="3"/>
  <c r="H10" i="3"/>
  <c r="I54" i="3"/>
  <c r="I38" i="3"/>
  <c r="I22" i="3"/>
  <c r="G2" i="3"/>
  <c r="G45" i="3"/>
  <c r="G41" i="3"/>
  <c r="G27" i="3"/>
  <c r="G19" i="3"/>
  <c r="H42" i="3"/>
  <c r="H26" i="3"/>
  <c r="F31" i="3"/>
  <c r="H59" i="3"/>
  <c r="H55" i="3"/>
  <c r="H51" i="3"/>
  <c r="H47" i="3"/>
  <c r="H43" i="3"/>
  <c r="H39" i="3"/>
  <c r="H35" i="3"/>
  <c r="H31" i="3"/>
  <c r="H27" i="3"/>
  <c r="H23" i="3"/>
  <c r="H19" i="3"/>
  <c r="F47" i="3"/>
  <c r="F15" i="3"/>
  <c r="G31" i="3"/>
  <c r="F39" i="3"/>
  <c r="F7" i="3"/>
  <c r="G23" i="3"/>
  <c r="G12" i="3"/>
  <c r="F12" i="3"/>
  <c r="G6" i="3"/>
  <c r="F6" i="3"/>
  <c r="K6" i="3" s="1"/>
  <c r="G44" i="3"/>
  <c r="F44" i="3"/>
  <c r="G26" i="3"/>
  <c r="F26" i="3"/>
  <c r="G54" i="3"/>
  <c r="F54" i="3"/>
  <c r="G50" i="3"/>
  <c r="F50" i="3"/>
  <c r="G36" i="3"/>
  <c r="F36" i="3"/>
  <c r="G22" i="3"/>
  <c r="F22" i="3"/>
  <c r="G18" i="3"/>
  <c r="F18" i="3"/>
  <c r="G58" i="3"/>
  <c r="F58" i="3"/>
  <c r="G30" i="3"/>
  <c r="F30" i="3"/>
  <c r="G46" i="3"/>
  <c r="F46" i="3"/>
  <c r="G42" i="3"/>
  <c r="F42" i="3"/>
  <c r="G28" i="3"/>
  <c r="F28" i="3"/>
  <c r="G14" i="3"/>
  <c r="F14" i="3"/>
  <c r="G4" i="3"/>
  <c r="F4" i="3"/>
  <c r="K4" i="3" s="1"/>
  <c r="G60" i="3"/>
  <c r="F60" i="3"/>
  <c r="G52" i="3"/>
  <c r="F52" i="3"/>
  <c r="G38" i="3"/>
  <c r="F38" i="3"/>
  <c r="G34" i="3"/>
  <c r="F34" i="3"/>
  <c r="G20" i="3"/>
  <c r="F20" i="3"/>
  <c r="F2" i="3"/>
  <c r="K2" i="3" s="1"/>
  <c r="K7" i="3" s="1"/>
  <c r="F10" i="3"/>
  <c r="F61" i="3"/>
  <c r="F57" i="3"/>
  <c r="F53" i="3"/>
  <c r="F49" i="3"/>
  <c r="F45" i="3"/>
  <c r="F41" i="3"/>
  <c r="F37" i="3"/>
  <c r="F33" i="3"/>
  <c r="F29" i="3"/>
  <c r="F25" i="3"/>
  <c r="F21" i="3"/>
  <c r="F17" i="3"/>
  <c r="F13" i="3"/>
  <c r="F9" i="3"/>
  <c r="F5" i="3"/>
  <c r="K5" i="3" s="1"/>
  <c r="F56" i="3"/>
  <c r="F48" i="3"/>
  <c r="F40" i="3"/>
  <c r="F32" i="3"/>
  <c r="F24" i="3"/>
  <c r="F16" i="3"/>
  <c r="F8" i="3"/>
  <c r="F59" i="3"/>
  <c r="F55" i="3"/>
  <c r="F51" i="3"/>
  <c r="F43" i="3"/>
  <c r="F35" i="3"/>
  <c r="F27" i="3"/>
  <c r="F19" i="3"/>
  <c r="F11" i="3"/>
  <c r="F3" i="3"/>
  <c r="K3" i="3" s="1"/>
  <c r="K9" i="3" l="1"/>
  <c r="K14" i="3" s="1"/>
  <c r="K19" i="3" s="1"/>
  <c r="K24" i="3" s="1"/>
  <c r="K29" i="3" s="1"/>
  <c r="K34" i="3" s="1"/>
  <c r="K39" i="3" s="1"/>
  <c r="K44" i="3" s="1"/>
  <c r="K49" i="3" s="1"/>
  <c r="K54" i="3" s="1"/>
  <c r="K59" i="3" s="1"/>
  <c r="K11" i="3"/>
  <c r="K16" i="3" s="1"/>
  <c r="K21" i="3" s="1"/>
  <c r="K26" i="3" s="1"/>
  <c r="K31" i="3" s="1"/>
  <c r="K36" i="3" s="1"/>
  <c r="K41" i="3" s="1"/>
  <c r="K46" i="3" s="1"/>
  <c r="K51" i="3" s="1"/>
  <c r="K56" i="3" s="1"/>
  <c r="K61" i="3" s="1"/>
  <c r="K8" i="3"/>
  <c r="K13" i="3" s="1"/>
  <c r="K18" i="3" s="1"/>
  <c r="K23" i="3" s="1"/>
  <c r="K28" i="3" s="1"/>
  <c r="K33" i="3" s="1"/>
  <c r="K38" i="3" s="1"/>
  <c r="K43" i="3" s="1"/>
  <c r="K48" i="3" s="1"/>
  <c r="K53" i="3" s="1"/>
  <c r="K58" i="3" s="1"/>
  <c r="K10" i="3"/>
  <c r="K15" i="3" s="1"/>
  <c r="K20" i="3" s="1"/>
  <c r="K25" i="3" s="1"/>
  <c r="K30" i="3" s="1"/>
  <c r="K35" i="3" s="1"/>
  <c r="K40" i="3" s="1"/>
  <c r="K45" i="3" s="1"/>
  <c r="K50" i="3" s="1"/>
  <c r="K55" i="3" s="1"/>
  <c r="K60" i="3" s="1"/>
  <c r="K12" i="3"/>
  <c r="K17" i="3" s="1"/>
  <c r="K22" i="3" s="1"/>
  <c r="K27" i="3" s="1"/>
  <c r="K32" i="3" s="1"/>
  <c r="K37" i="3" s="1"/>
  <c r="K42" i="3" s="1"/>
  <c r="K47" i="3" s="1"/>
  <c r="K52" i="3" s="1"/>
  <c r="K57"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A462FA-042A-4ABF-ABDB-D4113847AC04}" keepAlive="1" name="Query - NHS_Capacity_Data" description="Connection to the 'NHS_Capacity_Data' query in the workbook." type="5" refreshedVersion="8" background="1" saveData="1">
    <dbPr connection="Provider=Microsoft.Mashup.OleDb.1;Data Source=$Workbook$;Location=NHS_Capacity_Data;Extended Properties=&quot;&quot;" command="SELECT * FROM [NHS_Capacity_Data]"/>
  </connection>
  <connection id="2" xr16:uid="{2B791165-4536-4449-B35E-4CA7737CAC58}" keepAlive="1" name="Query - NHS_Raw_Appointments" description="Connection to the 'NHS_Raw_Appointments' query in the workbook." type="5" refreshedVersion="8" background="1" saveData="1">
    <dbPr connection="Provider=Microsoft.Mashup.OleDb.1;Data Source=$Workbook$;Location=NHS_Raw_Appointments;Extended Properties=&quot;&quot;" command="SELECT * FROM [NHS_Raw_Appointmen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<sst xmlns="http://schemas.openxmlformats.org/spreadsheetml/2006/main" count="25838" uniqueCount="3279">
  <si>
    <t>Appointment_ID</t>
  </si>
  <si>
    <t>Referral_Date</t>
  </si>
  <si>
    <t>Appointment_Date</t>
  </si>
  <si>
    <t>Specialty</t>
  </si>
  <si>
    <t>Appointment_Type</t>
  </si>
  <si>
    <t>Priority</t>
  </si>
  <si>
    <t>Status</t>
  </si>
  <si>
    <t>Clinic</t>
  </si>
  <si>
    <t>Location</t>
  </si>
  <si>
    <t>Slot_Duration_Minutes</t>
  </si>
  <si>
    <t>Waiting_Days</t>
  </si>
  <si>
    <t>Waiting_Time_Band</t>
  </si>
  <si>
    <t>APT00001</t>
  </si>
  <si>
    <t>Dermatology</t>
  </si>
  <si>
    <t>Follow-up</t>
  </si>
  <si>
    <t>Routine</t>
  </si>
  <si>
    <t>Attended</t>
  </si>
  <si>
    <t>Dermatology B</t>
  </si>
  <si>
    <t>Riverside Clinic</t>
  </si>
  <si>
    <t>15-28 days</t>
  </si>
  <si>
    <t>APT00002</t>
  </si>
  <si>
    <t>29-42 days</t>
  </si>
  <si>
    <t>APT00003</t>
  </si>
  <si>
    <t>Cardiology</t>
  </si>
  <si>
    <t>New</t>
  </si>
  <si>
    <t>Cardiology A</t>
  </si>
  <si>
    <t>Royal South Hospital</t>
  </si>
  <si>
    <t>APT00004</t>
  </si>
  <si>
    <t>Gastroenterology</t>
  </si>
  <si>
    <t>Gastro B</t>
  </si>
  <si>
    <t>0-14 days</t>
  </si>
  <si>
    <t>APT00005</t>
  </si>
  <si>
    <t>Neurology</t>
  </si>
  <si>
    <t>DNA</t>
  </si>
  <si>
    <t>Neurology A</t>
  </si>
  <si>
    <t>APT00006</t>
  </si>
  <si>
    <t>APT00007</t>
  </si>
  <si>
    <t>Orthopaedics</t>
  </si>
  <si>
    <t>Urgent</t>
  </si>
  <si>
    <t>Orthopaedics A</t>
  </si>
  <si>
    <t>APT00008</t>
  </si>
  <si>
    <t>Central Outpatients</t>
  </si>
  <si>
    <t>APT00009</t>
  </si>
  <si>
    <t>Cardiology B</t>
  </si>
  <si>
    <t>43-56 days</t>
  </si>
  <si>
    <t>APT00010</t>
  </si>
  <si>
    <t>APT00011</t>
  </si>
  <si>
    <t>Dermatology A</t>
  </si>
  <si>
    <t>APT00012</t>
  </si>
  <si>
    <t>Orthopaedics B</t>
  </si>
  <si>
    <t>APT00013</t>
  </si>
  <si>
    <t>APT00014</t>
  </si>
  <si>
    <t>APT00015</t>
  </si>
  <si>
    <t>Cancelled</t>
  </si>
  <si>
    <t>Gastro A</t>
  </si>
  <si>
    <t>APT00016</t>
  </si>
  <si>
    <t>APT00017</t>
  </si>
  <si>
    <t>APT00018</t>
  </si>
  <si>
    <t>APT00019</t>
  </si>
  <si>
    <t>APT00020</t>
  </si>
  <si>
    <t>APT00021</t>
  </si>
  <si>
    <t>APT00022</t>
  </si>
  <si>
    <t>APT00023</t>
  </si>
  <si>
    <t>APT00024</t>
  </si>
  <si>
    <t>APT00025</t>
  </si>
  <si>
    <t>APT00026</t>
  </si>
  <si>
    <t>APT00027</t>
  </si>
  <si>
    <t>APT00028</t>
  </si>
  <si>
    <t>APT00029</t>
  </si>
  <si>
    <t>APT00030</t>
  </si>
  <si>
    <t>APT00031</t>
  </si>
  <si>
    <t>Neurology B</t>
  </si>
  <si>
    <t>APT00032</t>
  </si>
  <si>
    <t>APT00033</t>
  </si>
  <si>
    <t>APT00034</t>
  </si>
  <si>
    <t>APT00035</t>
  </si>
  <si>
    <t>APT00036</t>
  </si>
  <si>
    <t>APT00037</t>
  </si>
  <si>
    <t>APT00038</t>
  </si>
  <si>
    <t>APT00039</t>
  </si>
  <si>
    <t>57+ days</t>
  </si>
  <si>
    <t>APT00040</t>
  </si>
  <si>
    <t>APT00041</t>
  </si>
  <si>
    <t>APT00042</t>
  </si>
  <si>
    <t>APT00043</t>
  </si>
  <si>
    <t>APT00044</t>
  </si>
  <si>
    <t>APT00045</t>
  </si>
  <si>
    <t>APT00046</t>
  </si>
  <si>
    <t>APT00047</t>
  </si>
  <si>
    <t>APT00048</t>
  </si>
  <si>
    <t>APT00049</t>
  </si>
  <si>
    <t>APT00050</t>
  </si>
  <si>
    <t>APT00051</t>
  </si>
  <si>
    <t>APT00052</t>
  </si>
  <si>
    <t>APT00053</t>
  </si>
  <si>
    <t>APT00054</t>
  </si>
  <si>
    <t>APT00055</t>
  </si>
  <si>
    <t>APT00056</t>
  </si>
  <si>
    <t>APT00057</t>
  </si>
  <si>
    <t>APT00058</t>
  </si>
  <si>
    <t>APT00059</t>
  </si>
  <si>
    <t>APT00060</t>
  </si>
  <si>
    <t>APT00061</t>
  </si>
  <si>
    <t>APT00062</t>
  </si>
  <si>
    <t>APT00063</t>
  </si>
  <si>
    <t>APT00064</t>
  </si>
  <si>
    <t>APT00065</t>
  </si>
  <si>
    <t>APT00066</t>
  </si>
  <si>
    <t>APT00067</t>
  </si>
  <si>
    <t>APT00068</t>
  </si>
  <si>
    <t>APT00069</t>
  </si>
  <si>
    <t>APT00070</t>
  </si>
  <si>
    <t>APT00071</t>
  </si>
  <si>
    <t>APT00072</t>
  </si>
  <si>
    <t>APT00073</t>
  </si>
  <si>
    <t>APT00074</t>
  </si>
  <si>
    <t>APT00075</t>
  </si>
  <si>
    <t>APT00076</t>
  </si>
  <si>
    <t>APT00077</t>
  </si>
  <si>
    <t>APT00078</t>
  </si>
  <si>
    <t>APT00079</t>
  </si>
  <si>
    <t>APT00080</t>
  </si>
  <si>
    <t>APT00081</t>
  </si>
  <si>
    <t>APT00082</t>
  </si>
  <si>
    <t>APT00083</t>
  </si>
  <si>
    <t>APT00084</t>
  </si>
  <si>
    <t>APT00085</t>
  </si>
  <si>
    <t>APT00086</t>
  </si>
  <si>
    <t>APT00087</t>
  </si>
  <si>
    <t>APT00088</t>
  </si>
  <si>
    <t>APT00089</t>
  </si>
  <si>
    <t>APT00090</t>
  </si>
  <si>
    <t>APT00091</t>
  </si>
  <si>
    <t>APT00092</t>
  </si>
  <si>
    <t>APT00093</t>
  </si>
  <si>
    <t>APT00094</t>
  </si>
  <si>
    <t>APT00095</t>
  </si>
  <si>
    <t>APT00096</t>
  </si>
  <si>
    <t>APT00097</t>
  </si>
  <si>
    <t>APT00098</t>
  </si>
  <si>
    <t>APT00099</t>
  </si>
  <si>
    <t>APT00100</t>
  </si>
  <si>
    <t>APT00101</t>
  </si>
  <si>
    <t>APT00102</t>
  </si>
  <si>
    <t>APT00103</t>
  </si>
  <si>
    <t>APT00104</t>
  </si>
  <si>
    <t>APT00105</t>
  </si>
  <si>
    <t>APT00106</t>
  </si>
  <si>
    <t>APT00107</t>
  </si>
  <si>
    <t>APT00108</t>
  </si>
  <si>
    <t>APT00109</t>
  </si>
  <si>
    <t>APT00110</t>
  </si>
  <si>
    <t>APT00111</t>
  </si>
  <si>
    <t>APT00112</t>
  </si>
  <si>
    <t>APT00113</t>
  </si>
  <si>
    <t>APT00114</t>
  </si>
  <si>
    <t>APT00115</t>
  </si>
  <si>
    <t>APT00116</t>
  </si>
  <si>
    <t>APT00117</t>
  </si>
  <si>
    <t>APT00118</t>
  </si>
  <si>
    <t>APT00119</t>
  </si>
  <si>
    <t>APT00120</t>
  </si>
  <si>
    <t>APT00121</t>
  </si>
  <si>
    <t>APT00122</t>
  </si>
  <si>
    <t>APT00123</t>
  </si>
  <si>
    <t>APT00124</t>
  </si>
  <si>
    <t>APT00125</t>
  </si>
  <si>
    <t>APT00126</t>
  </si>
  <si>
    <t>APT00127</t>
  </si>
  <si>
    <t>APT00128</t>
  </si>
  <si>
    <t>APT00129</t>
  </si>
  <si>
    <t>APT00130</t>
  </si>
  <si>
    <t>APT00131</t>
  </si>
  <si>
    <t>APT00132</t>
  </si>
  <si>
    <t>APT00133</t>
  </si>
  <si>
    <t>APT00134</t>
  </si>
  <si>
    <t>APT00135</t>
  </si>
  <si>
    <t>APT00136</t>
  </si>
  <si>
    <t>APT00137</t>
  </si>
  <si>
    <t>APT00138</t>
  </si>
  <si>
    <t>APT00139</t>
  </si>
  <si>
    <t>APT00140</t>
  </si>
  <si>
    <t>APT00141</t>
  </si>
  <si>
    <t>APT00142</t>
  </si>
  <si>
    <t>APT00143</t>
  </si>
  <si>
    <t>APT00144</t>
  </si>
  <si>
    <t>APT00145</t>
  </si>
  <si>
    <t>APT00146</t>
  </si>
  <si>
    <t>APT00147</t>
  </si>
  <si>
    <t>APT00148</t>
  </si>
  <si>
    <t>APT00149</t>
  </si>
  <si>
    <t>APT00150</t>
  </si>
  <si>
    <t>APT00151</t>
  </si>
  <si>
    <t>APT00152</t>
  </si>
  <si>
    <t>APT00153</t>
  </si>
  <si>
    <t>APT00154</t>
  </si>
  <si>
    <t>APT00155</t>
  </si>
  <si>
    <t>APT00156</t>
  </si>
  <si>
    <t>APT00157</t>
  </si>
  <si>
    <t>APT00158</t>
  </si>
  <si>
    <t>APT00159</t>
  </si>
  <si>
    <t>APT00160</t>
  </si>
  <si>
    <t>APT00161</t>
  </si>
  <si>
    <t>APT00162</t>
  </si>
  <si>
    <t>APT00163</t>
  </si>
  <si>
    <t>APT00164</t>
  </si>
  <si>
    <t>APT00165</t>
  </si>
  <si>
    <t>APT00166</t>
  </si>
  <si>
    <t>APT00167</t>
  </si>
  <si>
    <t>APT00168</t>
  </si>
  <si>
    <t>APT00169</t>
  </si>
  <si>
    <t>APT00170</t>
  </si>
  <si>
    <t>APT00171</t>
  </si>
  <si>
    <t>APT00172</t>
  </si>
  <si>
    <t>APT00173</t>
  </si>
  <si>
    <t>APT00174</t>
  </si>
  <si>
    <t>APT00175</t>
  </si>
  <si>
    <t>APT00176</t>
  </si>
  <si>
    <t>APT00177</t>
  </si>
  <si>
    <t>APT00178</t>
  </si>
  <si>
    <t>APT00179</t>
  </si>
  <si>
    <t>APT00180</t>
  </si>
  <si>
    <t>APT00181</t>
  </si>
  <si>
    <t>APT00182</t>
  </si>
  <si>
    <t>APT00183</t>
  </si>
  <si>
    <t>APT00184</t>
  </si>
  <si>
    <t>APT00185</t>
  </si>
  <si>
    <t>APT00186</t>
  </si>
  <si>
    <t>APT00187</t>
  </si>
  <si>
    <t>APT00188</t>
  </si>
  <si>
    <t>APT00189</t>
  </si>
  <si>
    <t>APT00190</t>
  </si>
  <si>
    <t>APT00191</t>
  </si>
  <si>
    <t>APT00192</t>
  </si>
  <si>
    <t>APT00193</t>
  </si>
  <si>
    <t>APT00194</t>
  </si>
  <si>
    <t>APT00195</t>
  </si>
  <si>
    <t>APT00196</t>
  </si>
  <si>
    <t>APT00197</t>
  </si>
  <si>
    <t>APT00198</t>
  </si>
  <si>
    <t>APT00199</t>
  </si>
  <si>
    <t>APT00200</t>
  </si>
  <si>
    <t>APT00201</t>
  </si>
  <si>
    <t>APT00202</t>
  </si>
  <si>
    <t>APT00203</t>
  </si>
  <si>
    <t>APT00204</t>
  </si>
  <si>
    <t>APT00205</t>
  </si>
  <si>
    <t>APT00206</t>
  </si>
  <si>
    <t>APT00207</t>
  </si>
  <si>
    <t>APT00208</t>
  </si>
  <si>
    <t>APT00209</t>
  </si>
  <si>
    <t>APT00210</t>
  </si>
  <si>
    <t>APT00211</t>
  </si>
  <si>
    <t>APT00212</t>
  </si>
  <si>
    <t>APT00213</t>
  </si>
  <si>
    <t>APT00214</t>
  </si>
  <si>
    <t>APT00215</t>
  </si>
  <si>
    <t>APT00216</t>
  </si>
  <si>
    <t>APT00217</t>
  </si>
  <si>
    <t>APT00218</t>
  </si>
  <si>
    <t>APT00219</t>
  </si>
  <si>
    <t>APT00220</t>
  </si>
  <si>
    <t>APT00221</t>
  </si>
  <si>
    <t>APT00222</t>
  </si>
  <si>
    <t>APT00223</t>
  </si>
  <si>
    <t>APT00224</t>
  </si>
  <si>
    <t>APT00225</t>
  </si>
  <si>
    <t>APT00226</t>
  </si>
  <si>
    <t>APT00227</t>
  </si>
  <si>
    <t>APT00228</t>
  </si>
  <si>
    <t>APT00229</t>
  </si>
  <si>
    <t>APT00230</t>
  </si>
  <si>
    <t>APT00231</t>
  </si>
  <si>
    <t>APT00232</t>
  </si>
  <si>
    <t>APT00233</t>
  </si>
  <si>
    <t>APT00234</t>
  </si>
  <si>
    <t>APT00235</t>
  </si>
  <si>
    <t>APT00236</t>
  </si>
  <si>
    <t>APT00237</t>
  </si>
  <si>
    <t>APT00238</t>
  </si>
  <si>
    <t>APT00239</t>
  </si>
  <si>
    <t>APT00240</t>
  </si>
  <si>
    <t>APT00241</t>
  </si>
  <si>
    <t>APT00242</t>
  </si>
  <si>
    <t>APT00243</t>
  </si>
  <si>
    <t>APT00244</t>
  </si>
  <si>
    <t>APT00245</t>
  </si>
  <si>
    <t>APT00246</t>
  </si>
  <si>
    <t>APT00247</t>
  </si>
  <si>
    <t>APT00248</t>
  </si>
  <si>
    <t>APT00249</t>
  </si>
  <si>
    <t>APT00250</t>
  </si>
  <si>
    <t>APT00251</t>
  </si>
  <si>
    <t>APT00252</t>
  </si>
  <si>
    <t>APT00253</t>
  </si>
  <si>
    <t>APT00254</t>
  </si>
  <si>
    <t>APT00255</t>
  </si>
  <si>
    <t>APT00256</t>
  </si>
  <si>
    <t>APT00257</t>
  </si>
  <si>
    <t>APT00258</t>
  </si>
  <si>
    <t>APT00259</t>
  </si>
  <si>
    <t>APT00260</t>
  </si>
  <si>
    <t>APT00261</t>
  </si>
  <si>
    <t>APT00262</t>
  </si>
  <si>
    <t>APT00263</t>
  </si>
  <si>
    <t>APT00264</t>
  </si>
  <si>
    <t>APT00265</t>
  </si>
  <si>
    <t>APT00266</t>
  </si>
  <si>
    <t>APT00267</t>
  </si>
  <si>
    <t>APT00268</t>
  </si>
  <si>
    <t>APT00269</t>
  </si>
  <si>
    <t>APT00270</t>
  </si>
  <si>
    <t>APT00271</t>
  </si>
  <si>
    <t>APT00272</t>
  </si>
  <si>
    <t>APT00273</t>
  </si>
  <si>
    <t>APT00274</t>
  </si>
  <si>
    <t>APT00275</t>
  </si>
  <si>
    <t>APT00276</t>
  </si>
  <si>
    <t>APT00277</t>
  </si>
  <si>
    <t>APT00278</t>
  </si>
  <si>
    <t>APT00279</t>
  </si>
  <si>
    <t>APT00280</t>
  </si>
  <si>
    <t>APT00281</t>
  </si>
  <si>
    <t>APT00282</t>
  </si>
  <si>
    <t>APT00283</t>
  </si>
  <si>
    <t>APT00284</t>
  </si>
  <si>
    <t>APT00285</t>
  </si>
  <si>
    <t>APT00286</t>
  </si>
  <si>
    <t>APT00287</t>
  </si>
  <si>
    <t>APT00288</t>
  </si>
  <si>
    <t>APT00289</t>
  </si>
  <si>
    <t>APT00290</t>
  </si>
  <si>
    <t>APT00291</t>
  </si>
  <si>
    <t>APT00292</t>
  </si>
  <si>
    <t>APT00293</t>
  </si>
  <si>
    <t>APT00294</t>
  </si>
  <si>
    <t>APT00295</t>
  </si>
  <si>
    <t>APT00296</t>
  </si>
  <si>
    <t>APT00297</t>
  </si>
  <si>
    <t>APT00298</t>
  </si>
  <si>
    <t>APT00299</t>
  </si>
  <si>
    <t>APT00300</t>
  </si>
  <si>
    <t>APT00301</t>
  </si>
  <si>
    <t>APT00302</t>
  </si>
  <si>
    <t>APT00303</t>
  </si>
  <si>
    <t>APT00304</t>
  </si>
  <si>
    <t>APT00305</t>
  </si>
  <si>
    <t>APT00306</t>
  </si>
  <si>
    <t>APT00307</t>
  </si>
  <si>
    <t>APT00308</t>
  </si>
  <si>
    <t>APT00309</t>
  </si>
  <si>
    <t>APT00310</t>
  </si>
  <si>
    <t>APT00311</t>
  </si>
  <si>
    <t>APT00312</t>
  </si>
  <si>
    <t>APT00313</t>
  </si>
  <si>
    <t>APT00314</t>
  </si>
  <si>
    <t>APT00315</t>
  </si>
  <si>
    <t>APT00316</t>
  </si>
  <si>
    <t>APT00317</t>
  </si>
  <si>
    <t>APT00318</t>
  </si>
  <si>
    <t>APT00319</t>
  </si>
  <si>
    <t>APT00320</t>
  </si>
  <si>
    <t>APT00321</t>
  </si>
  <si>
    <t>APT00322</t>
  </si>
  <si>
    <t>APT00323</t>
  </si>
  <si>
    <t>APT00324</t>
  </si>
  <si>
    <t>APT00325</t>
  </si>
  <si>
    <t>APT00326</t>
  </si>
  <si>
    <t>APT00327</t>
  </si>
  <si>
    <t>APT00328</t>
  </si>
  <si>
    <t>APT00329</t>
  </si>
  <si>
    <t>APT00330</t>
  </si>
  <si>
    <t>APT00331</t>
  </si>
  <si>
    <t>APT00332</t>
  </si>
  <si>
    <t>APT00333</t>
  </si>
  <si>
    <t>APT00334</t>
  </si>
  <si>
    <t>APT00335</t>
  </si>
  <si>
    <t>APT00336</t>
  </si>
  <si>
    <t>APT00337</t>
  </si>
  <si>
    <t>APT00338</t>
  </si>
  <si>
    <t>APT00339</t>
  </si>
  <si>
    <t>APT00340</t>
  </si>
  <si>
    <t>APT00341</t>
  </si>
  <si>
    <t>APT00342</t>
  </si>
  <si>
    <t>APT00343</t>
  </si>
  <si>
    <t>APT00344</t>
  </si>
  <si>
    <t>APT00345</t>
  </si>
  <si>
    <t>APT00346</t>
  </si>
  <si>
    <t>APT00347</t>
  </si>
  <si>
    <t>APT00348</t>
  </si>
  <si>
    <t>APT00349</t>
  </si>
  <si>
    <t>APT00350</t>
  </si>
  <si>
    <t>APT00351</t>
  </si>
  <si>
    <t>APT00352</t>
  </si>
  <si>
    <t>APT00353</t>
  </si>
  <si>
    <t>APT00354</t>
  </si>
  <si>
    <t>APT00355</t>
  </si>
  <si>
    <t>APT00356</t>
  </si>
  <si>
    <t>APT00357</t>
  </si>
  <si>
    <t>APT00358</t>
  </si>
  <si>
    <t>APT00359</t>
  </si>
  <si>
    <t>APT00360</t>
  </si>
  <si>
    <t>APT00361</t>
  </si>
  <si>
    <t>APT00362</t>
  </si>
  <si>
    <t>APT00363</t>
  </si>
  <si>
    <t>APT00364</t>
  </si>
  <si>
    <t>APT00365</t>
  </si>
  <si>
    <t>APT00366</t>
  </si>
  <si>
    <t>APT00367</t>
  </si>
  <si>
    <t>APT00368</t>
  </si>
  <si>
    <t>APT00369</t>
  </si>
  <si>
    <t>APT00370</t>
  </si>
  <si>
    <t>APT00371</t>
  </si>
  <si>
    <t>APT00372</t>
  </si>
  <si>
    <t>APT00373</t>
  </si>
  <si>
    <t>APT00374</t>
  </si>
  <si>
    <t>APT00375</t>
  </si>
  <si>
    <t>APT00376</t>
  </si>
  <si>
    <t>APT00377</t>
  </si>
  <si>
    <t>Unknown</t>
  </si>
  <si>
    <t>APT00378</t>
  </si>
  <si>
    <t>APT00379</t>
  </si>
  <si>
    <t>APT00380</t>
  </si>
  <si>
    <t>APT00381</t>
  </si>
  <si>
    <t>APT00382</t>
  </si>
  <si>
    <t>APT00383</t>
  </si>
  <si>
    <t>APT00384</t>
  </si>
  <si>
    <t>APT00385</t>
  </si>
  <si>
    <t>APT00386</t>
  </si>
  <si>
    <t>APT00387</t>
  </si>
  <si>
    <t>APT00388</t>
  </si>
  <si>
    <t>APT00389</t>
  </si>
  <si>
    <t>APT00390</t>
  </si>
  <si>
    <t>APT00391</t>
  </si>
  <si>
    <t>APT00392</t>
  </si>
  <si>
    <t>APT00393</t>
  </si>
  <si>
    <t>APT00394</t>
  </si>
  <si>
    <t>APT00395</t>
  </si>
  <si>
    <t>APT00396</t>
  </si>
  <si>
    <t>APT00397</t>
  </si>
  <si>
    <t>APT00398</t>
  </si>
  <si>
    <t>APT00399</t>
  </si>
  <si>
    <t>APT00400</t>
  </si>
  <si>
    <t>APT00401</t>
  </si>
  <si>
    <t>APT00402</t>
  </si>
  <si>
    <t>APT00403</t>
  </si>
  <si>
    <t>APT00404</t>
  </si>
  <si>
    <t>APT00405</t>
  </si>
  <si>
    <t>APT00406</t>
  </si>
  <si>
    <t>APT00407</t>
  </si>
  <si>
    <t>APT00408</t>
  </si>
  <si>
    <t>APT00409</t>
  </si>
  <si>
    <t>APT00410</t>
  </si>
  <si>
    <t>APT00411</t>
  </si>
  <si>
    <t>APT00412</t>
  </si>
  <si>
    <t>APT00413</t>
  </si>
  <si>
    <t>APT00414</t>
  </si>
  <si>
    <t>APT00415</t>
  </si>
  <si>
    <t>APT00416</t>
  </si>
  <si>
    <t>APT00417</t>
  </si>
  <si>
    <t>APT00418</t>
  </si>
  <si>
    <t>APT00419</t>
  </si>
  <si>
    <t>APT00420</t>
  </si>
  <si>
    <t>APT00421</t>
  </si>
  <si>
    <t>APT00422</t>
  </si>
  <si>
    <t>APT00423</t>
  </si>
  <si>
    <t>APT00424</t>
  </si>
  <si>
    <t>APT00425</t>
  </si>
  <si>
    <t>APT00426</t>
  </si>
  <si>
    <t>APT00427</t>
  </si>
  <si>
    <t>APT00428</t>
  </si>
  <si>
    <t>APT00429</t>
  </si>
  <si>
    <t>APT00430</t>
  </si>
  <si>
    <t>APT00431</t>
  </si>
  <si>
    <t>APT00432</t>
  </si>
  <si>
    <t>APT00433</t>
  </si>
  <si>
    <t>APT00434</t>
  </si>
  <si>
    <t>APT00435</t>
  </si>
  <si>
    <t>APT00436</t>
  </si>
  <si>
    <t>APT00437</t>
  </si>
  <si>
    <t>APT00438</t>
  </si>
  <si>
    <t>APT00439</t>
  </si>
  <si>
    <t>APT00440</t>
  </si>
  <si>
    <t>APT00441</t>
  </si>
  <si>
    <t>APT00442</t>
  </si>
  <si>
    <t>APT00443</t>
  </si>
  <si>
    <t>APT00444</t>
  </si>
  <si>
    <t>APT00445</t>
  </si>
  <si>
    <t>APT00446</t>
  </si>
  <si>
    <t>APT00447</t>
  </si>
  <si>
    <t>APT00448</t>
  </si>
  <si>
    <t>APT00449</t>
  </si>
  <si>
    <t>APT00450</t>
  </si>
  <si>
    <t>APT00451</t>
  </si>
  <si>
    <t>APT00452</t>
  </si>
  <si>
    <t>APT00453</t>
  </si>
  <si>
    <t>APT00454</t>
  </si>
  <si>
    <t>APT00455</t>
  </si>
  <si>
    <t>APT00456</t>
  </si>
  <si>
    <t>APT00457</t>
  </si>
  <si>
    <t>APT00458</t>
  </si>
  <si>
    <t>APT00459</t>
  </si>
  <si>
    <t>APT00460</t>
  </si>
  <si>
    <t>APT00461</t>
  </si>
  <si>
    <t>APT00462</t>
  </si>
  <si>
    <t>APT00463</t>
  </si>
  <si>
    <t>APT00464</t>
  </si>
  <si>
    <t>APT00465</t>
  </si>
  <si>
    <t>APT00466</t>
  </si>
  <si>
    <t>APT00467</t>
  </si>
  <si>
    <t>APT00468</t>
  </si>
  <si>
    <t>APT00469</t>
  </si>
  <si>
    <t>APT00470</t>
  </si>
  <si>
    <t>APT00471</t>
  </si>
  <si>
    <t>APT00472</t>
  </si>
  <si>
    <t>APT00473</t>
  </si>
  <si>
    <t>APT00474</t>
  </si>
  <si>
    <t>APT00475</t>
  </si>
  <si>
    <t>APT00476</t>
  </si>
  <si>
    <t>APT00477</t>
  </si>
  <si>
    <t>APT00478</t>
  </si>
  <si>
    <t>APT00479</t>
  </si>
  <si>
    <t>APT00480</t>
  </si>
  <si>
    <t>APT00481</t>
  </si>
  <si>
    <t>APT00482</t>
  </si>
  <si>
    <t>APT00483</t>
  </si>
  <si>
    <t>APT00484</t>
  </si>
  <si>
    <t>APT00485</t>
  </si>
  <si>
    <t>APT00486</t>
  </si>
  <si>
    <t>APT00487</t>
  </si>
  <si>
    <t>APT00488</t>
  </si>
  <si>
    <t>APT00489</t>
  </si>
  <si>
    <t>APT00490</t>
  </si>
  <si>
    <t>APT00491</t>
  </si>
  <si>
    <t>APT00492</t>
  </si>
  <si>
    <t>APT00493</t>
  </si>
  <si>
    <t>APT00494</t>
  </si>
  <si>
    <t>APT00495</t>
  </si>
  <si>
    <t>APT00496</t>
  </si>
  <si>
    <t>APT00497</t>
  </si>
  <si>
    <t>APT00498</t>
  </si>
  <si>
    <t>APT00499</t>
  </si>
  <si>
    <t>APT00500</t>
  </si>
  <si>
    <t>APT00501</t>
  </si>
  <si>
    <t>APT00502</t>
  </si>
  <si>
    <t>APT00503</t>
  </si>
  <si>
    <t>APT00504</t>
  </si>
  <si>
    <t>APT00505</t>
  </si>
  <si>
    <t>APT00506</t>
  </si>
  <si>
    <t>APT00507</t>
  </si>
  <si>
    <t>APT00508</t>
  </si>
  <si>
    <t>APT00509</t>
  </si>
  <si>
    <t>APT00510</t>
  </si>
  <si>
    <t>APT00511</t>
  </si>
  <si>
    <t>APT00512</t>
  </si>
  <si>
    <t>APT00513</t>
  </si>
  <si>
    <t>APT00514</t>
  </si>
  <si>
    <t>APT00515</t>
  </si>
  <si>
    <t>APT00516</t>
  </si>
  <si>
    <t>APT00517</t>
  </si>
  <si>
    <t>APT00518</t>
  </si>
  <si>
    <t>APT00519</t>
  </si>
  <si>
    <t>APT00520</t>
  </si>
  <si>
    <t>APT00521</t>
  </si>
  <si>
    <t>APT00522</t>
  </si>
  <si>
    <t>APT00523</t>
  </si>
  <si>
    <t>APT00524</t>
  </si>
  <si>
    <t>APT00525</t>
  </si>
  <si>
    <t>APT00526</t>
  </si>
  <si>
    <t>APT00527</t>
  </si>
  <si>
    <t>APT00528</t>
  </si>
  <si>
    <t>APT00529</t>
  </si>
  <si>
    <t>APT00530</t>
  </si>
  <si>
    <t>APT00531</t>
  </si>
  <si>
    <t>APT00532</t>
  </si>
  <si>
    <t>APT00533</t>
  </si>
  <si>
    <t>APT00534</t>
  </si>
  <si>
    <t>APT00535</t>
  </si>
  <si>
    <t>APT00536</t>
  </si>
  <si>
    <t>APT00537</t>
  </si>
  <si>
    <t>APT00538</t>
  </si>
  <si>
    <t>APT00539</t>
  </si>
  <si>
    <t>APT00540</t>
  </si>
  <si>
    <t>APT00541</t>
  </si>
  <si>
    <t>APT00542</t>
  </si>
  <si>
    <t>APT00543</t>
  </si>
  <si>
    <t>APT00544</t>
  </si>
  <si>
    <t>APT00545</t>
  </si>
  <si>
    <t>APT00546</t>
  </si>
  <si>
    <t>APT00547</t>
  </si>
  <si>
    <t>APT00548</t>
  </si>
  <si>
    <t>APT00549</t>
  </si>
  <si>
    <t>APT00550</t>
  </si>
  <si>
    <t>APT00551</t>
  </si>
  <si>
    <t>APT00552</t>
  </si>
  <si>
    <t>APT00553</t>
  </si>
  <si>
    <t>APT00554</t>
  </si>
  <si>
    <t>APT00555</t>
  </si>
  <si>
    <t>APT00556</t>
  </si>
  <si>
    <t>APT00557</t>
  </si>
  <si>
    <t>APT00558</t>
  </si>
  <si>
    <t>APT00559</t>
  </si>
  <si>
    <t>APT00560</t>
  </si>
  <si>
    <t>APT00561</t>
  </si>
  <si>
    <t>APT00562</t>
  </si>
  <si>
    <t>APT00563</t>
  </si>
  <si>
    <t>APT00564</t>
  </si>
  <si>
    <t>APT00565</t>
  </si>
  <si>
    <t>APT00566</t>
  </si>
  <si>
    <t>APT00567</t>
  </si>
  <si>
    <t>APT00568</t>
  </si>
  <si>
    <t>APT00569</t>
  </si>
  <si>
    <t>APT00570</t>
  </si>
  <si>
    <t>APT00571</t>
  </si>
  <si>
    <t>APT00572</t>
  </si>
  <si>
    <t>APT00573</t>
  </si>
  <si>
    <t>APT00574</t>
  </si>
  <si>
    <t>APT00575</t>
  </si>
  <si>
    <t>APT00576</t>
  </si>
  <si>
    <t>APT00577</t>
  </si>
  <si>
    <t>APT00578</t>
  </si>
  <si>
    <t>APT00579</t>
  </si>
  <si>
    <t>APT00580</t>
  </si>
  <si>
    <t>APT00581</t>
  </si>
  <si>
    <t>APT00582</t>
  </si>
  <si>
    <t>APT00583</t>
  </si>
  <si>
    <t>APT00584</t>
  </si>
  <si>
    <t>APT00585</t>
  </si>
  <si>
    <t>APT00586</t>
  </si>
  <si>
    <t>APT00587</t>
  </si>
  <si>
    <t>APT00588</t>
  </si>
  <si>
    <t>APT00589</t>
  </si>
  <si>
    <t>APT00590</t>
  </si>
  <si>
    <t>APT00591</t>
  </si>
  <si>
    <t>APT00592</t>
  </si>
  <si>
    <t>APT00593</t>
  </si>
  <si>
    <t>APT00594</t>
  </si>
  <si>
    <t>APT00595</t>
  </si>
  <si>
    <t>APT00596</t>
  </si>
  <si>
    <t>APT00597</t>
  </si>
  <si>
    <t>APT00598</t>
  </si>
  <si>
    <t>APT00599</t>
  </si>
  <si>
    <t>APT00600</t>
  </si>
  <si>
    <t>APT00601</t>
  </si>
  <si>
    <t>APT00602</t>
  </si>
  <si>
    <t>APT00603</t>
  </si>
  <si>
    <t>APT00604</t>
  </si>
  <si>
    <t>APT00605</t>
  </si>
  <si>
    <t>APT00606</t>
  </si>
  <si>
    <t>APT00607</t>
  </si>
  <si>
    <t>APT00608</t>
  </si>
  <si>
    <t>APT00609</t>
  </si>
  <si>
    <t>APT00610</t>
  </si>
  <si>
    <t>APT00611</t>
  </si>
  <si>
    <t>APT00612</t>
  </si>
  <si>
    <t>APT00613</t>
  </si>
  <si>
    <t>APT00614</t>
  </si>
  <si>
    <t>APT00615</t>
  </si>
  <si>
    <t>APT00616</t>
  </si>
  <si>
    <t>APT00617</t>
  </si>
  <si>
    <t>APT00618</t>
  </si>
  <si>
    <t>APT00619</t>
  </si>
  <si>
    <t>APT00620</t>
  </si>
  <si>
    <t>APT00621</t>
  </si>
  <si>
    <t>APT00622</t>
  </si>
  <si>
    <t>APT00623</t>
  </si>
  <si>
    <t>APT00624</t>
  </si>
  <si>
    <t>APT00625</t>
  </si>
  <si>
    <t>APT00626</t>
  </si>
  <si>
    <t>APT00627</t>
  </si>
  <si>
    <t>APT00628</t>
  </si>
  <si>
    <t>APT00629</t>
  </si>
  <si>
    <t>APT00630</t>
  </si>
  <si>
    <t>APT00631</t>
  </si>
  <si>
    <t>APT00632</t>
  </si>
  <si>
    <t>APT00633</t>
  </si>
  <si>
    <t>APT00634</t>
  </si>
  <si>
    <t>APT00635</t>
  </si>
  <si>
    <t>APT00636</t>
  </si>
  <si>
    <t>APT00637</t>
  </si>
  <si>
    <t>APT00638</t>
  </si>
  <si>
    <t>APT00639</t>
  </si>
  <si>
    <t>APT00640</t>
  </si>
  <si>
    <t>APT00641</t>
  </si>
  <si>
    <t>APT00642</t>
  </si>
  <si>
    <t>APT00643</t>
  </si>
  <si>
    <t>APT00644</t>
  </si>
  <si>
    <t>APT00645</t>
  </si>
  <si>
    <t>APT00646</t>
  </si>
  <si>
    <t>APT00647</t>
  </si>
  <si>
    <t>APT00648</t>
  </si>
  <si>
    <t>APT00649</t>
  </si>
  <si>
    <t>APT00650</t>
  </si>
  <si>
    <t>APT00651</t>
  </si>
  <si>
    <t>APT00652</t>
  </si>
  <si>
    <t>APT00653</t>
  </si>
  <si>
    <t>APT00654</t>
  </si>
  <si>
    <t>APT00655</t>
  </si>
  <si>
    <t>APT00656</t>
  </si>
  <si>
    <t>APT00657</t>
  </si>
  <si>
    <t>APT00658</t>
  </si>
  <si>
    <t>APT00659</t>
  </si>
  <si>
    <t>APT00660</t>
  </si>
  <si>
    <t>APT00661</t>
  </si>
  <si>
    <t>APT00662</t>
  </si>
  <si>
    <t>APT00663</t>
  </si>
  <si>
    <t>APT00664</t>
  </si>
  <si>
    <t>APT00665</t>
  </si>
  <si>
    <t>APT00666</t>
  </si>
  <si>
    <t>APT00667</t>
  </si>
  <si>
    <t>APT00668</t>
  </si>
  <si>
    <t>APT00669</t>
  </si>
  <si>
    <t>APT00670</t>
  </si>
  <si>
    <t>APT00671</t>
  </si>
  <si>
    <t>APT00672</t>
  </si>
  <si>
    <t>APT00673</t>
  </si>
  <si>
    <t>APT00674</t>
  </si>
  <si>
    <t>APT00675</t>
  </si>
  <si>
    <t>APT00676</t>
  </si>
  <si>
    <t>APT00677</t>
  </si>
  <si>
    <t>APT00678</t>
  </si>
  <si>
    <t>APT00679</t>
  </si>
  <si>
    <t>APT00680</t>
  </si>
  <si>
    <t>APT00681</t>
  </si>
  <si>
    <t>APT00682</t>
  </si>
  <si>
    <t>APT00683</t>
  </si>
  <si>
    <t>APT00684</t>
  </si>
  <si>
    <t>APT00685</t>
  </si>
  <si>
    <t>APT00686</t>
  </si>
  <si>
    <t>APT00687</t>
  </si>
  <si>
    <t>APT00688</t>
  </si>
  <si>
    <t>APT00689</t>
  </si>
  <si>
    <t>APT00690</t>
  </si>
  <si>
    <t>APT00691</t>
  </si>
  <si>
    <t>APT00692</t>
  </si>
  <si>
    <t>APT00693</t>
  </si>
  <si>
    <t>APT00694</t>
  </si>
  <si>
    <t>APT00695</t>
  </si>
  <si>
    <t>APT00696</t>
  </si>
  <si>
    <t>APT00697</t>
  </si>
  <si>
    <t>APT00698</t>
  </si>
  <si>
    <t>APT00699</t>
  </si>
  <si>
    <t>APT00700</t>
  </si>
  <si>
    <t>APT00701</t>
  </si>
  <si>
    <t>APT00702</t>
  </si>
  <si>
    <t>APT00703</t>
  </si>
  <si>
    <t>APT00704</t>
  </si>
  <si>
    <t>APT00705</t>
  </si>
  <si>
    <t>APT00706</t>
  </si>
  <si>
    <t>APT00707</t>
  </si>
  <si>
    <t>APT00708</t>
  </si>
  <si>
    <t>APT00709</t>
  </si>
  <si>
    <t>APT00710</t>
  </si>
  <si>
    <t>APT00711</t>
  </si>
  <si>
    <t>APT00712</t>
  </si>
  <si>
    <t>APT00713</t>
  </si>
  <si>
    <t>APT00714</t>
  </si>
  <si>
    <t>APT00715</t>
  </si>
  <si>
    <t>APT00716</t>
  </si>
  <si>
    <t>APT00717</t>
  </si>
  <si>
    <t>APT00718</t>
  </si>
  <si>
    <t>APT00719</t>
  </si>
  <si>
    <t>APT00720</t>
  </si>
  <si>
    <t>APT00721</t>
  </si>
  <si>
    <t>APT00722</t>
  </si>
  <si>
    <t>APT00723</t>
  </si>
  <si>
    <t>APT00724</t>
  </si>
  <si>
    <t>APT00725</t>
  </si>
  <si>
    <t>APT00726</t>
  </si>
  <si>
    <t>APT00727</t>
  </si>
  <si>
    <t>APT00728</t>
  </si>
  <si>
    <t>APT00729</t>
  </si>
  <si>
    <t>APT00730</t>
  </si>
  <si>
    <t>APT00731</t>
  </si>
  <si>
    <t>APT00732</t>
  </si>
  <si>
    <t>APT00733</t>
  </si>
  <si>
    <t>APT00734</t>
  </si>
  <si>
    <t>APT00735</t>
  </si>
  <si>
    <t>APT00736</t>
  </si>
  <si>
    <t>APT00737</t>
  </si>
  <si>
    <t>APT00738</t>
  </si>
  <si>
    <t>APT00739</t>
  </si>
  <si>
    <t>APT00740</t>
  </si>
  <si>
    <t>APT00741</t>
  </si>
  <si>
    <t>APT00742</t>
  </si>
  <si>
    <t>APT00743</t>
  </si>
  <si>
    <t>APT00744</t>
  </si>
  <si>
    <t>APT00745</t>
  </si>
  <si>
    <t>APT00746</t>
  </si>
  <si>
    <t>APT00747</t>
  </si>
  <si>
    <t>APT00748</t>
  </si>
  <si>
    <t>APT00749</t>
  </si>
  <si>
    <t>APT00750</t>
  </si>
  <si>
    <t>APT00751</t>
  </si>
  <si>
    <t>APT00752</t>
  </si>
  <si>
    <t>APT00753</t>
  </si>
  <si>
    <t>APT00754</t>
  </si>
  <si>
    <t>APT00755</t>
  </si>
  <si>
    <t>APT00756</t>
  </si>
  <si>
    <t>APT00757</t>
  </si>
  <si>
    <t>APT00758</t>
  </si>
  <si>
    <t>APT00759</t>
  </si>
  <si>
    <t>APT00760</t>
  </si>
  <si>
    <t>APT00761</t>
  </si>
  <si>
    <t>APT00762</t>
  </si>
  <si>
    <t>APT00763</t>
  </si>
  <si>
    <t>APT00764</t>
  </si>
  <si>
    <t>APT00765</t>
  </si>
  <si>
    <t>APT00766</t>
  </si>
  <si>
    <t>APT00767</t>
  </si>
  <si>
    <t>APT00768</t>
  </si>
  <si>
    <t>APT00769</t>
  </si>
  <si>
    <t>APT00770</t>
  </si>
  <si>
    <t>APT00771</t>
  </si>
  <si>
    <t>APT00772</t>
  </si>
  <si>
    <t>APT00773</t>
  </si>
  <si>
    <t>APT00774</t>
  </si>
  <si>
    <t>APT00775</t>
  </si>
  <si>
    <t>APT00776</t>
  </si>
  <si>
    <t>APT00777</t>
  </si>
  <si>
    <t>APT00778</t>
  </si>
  <si>
    <t>APT00779</t>
  </si>
  <si>
    <t>APT00780</t>
  </si>
  <si>
    <t>APT00781</t>
  </si>
  <si>
    <t>APT00782</t>
  </si>
  <si>
    <t>APT00783</t>
  </si>
  <si>
    <t>APT00784</t>
  </si>
  <si>
    <t>APT00785</t>
  </si>
  <si>
    <t>APT00786</t>
  </si>
  <si>
    <t>APT00787</t>
  </si>
  <si>
    <t>APT00788</t>
  </si>
  <si>
    <t>APT00789</t>
  </si>
  <si>
    <t>APT00790</t>
  </si>
  <si>
    <t>APT00791</t>
  </si>
  <si>
    <t>APT00792</t>
  </si>
  <si>
    <t>APT00793</t>
  </si>
  <si>
    <t>APT00794</t>
  </si>
  <si>
    <t>APT00795</t>
  </si>
  <si>
    <t>APT00796</t>
  </si>
  <si>
    <t>APT00797</t>
  </si>
  <si>
    <t>APT00798</t>
  </si>
  <si>
    <t>APT00799</t>
  </si>
  <si>
    <t>APT00800</t>
  </si>
  <si>
    <t>APT00801</t>
  </si>
  <si>
    <t>APT00802</t>
  </si>
  <si>
    <t>APT00803</t>
  </si>
  <si>
    <t>APT00804</t>
  </si>
  <si>
    <t>APT00805</t>
  </si>
  <si>
    <t>APT00806</t>
  </si>
  <si>
    <t>APT00807</t>
  </si>
  <si>
    <t>APT00808</t>
  </si>
  <si>
    <t>APT00809</t>
  </si>
  <si>
    <t>APT00810</t>
  </si>
  <si>
    <t>APT00811</t>
  </si>
  <si>
    <t>APT00812</t>
  </si>
  <si>
    <t>APT00813</t>
  </si>
  <si>
    <t>APT00814</t>
  </si>
  <si>
    <t>APT00815</t>
  </si>
  <si>
    <t>APT00816</t>
  </si>
  <si>
    <t>APT00817</t>
  </si>
  <si>
    <t>APT00818</t>
  </si>
  <si>
    <t>APT00819</t>
  </si>
  <si>
    <t>APT00820</t>
  </si>
  <si>
    <t>APT00821</t>
  </si>
  <si>
    <t>APT00822</t>
  </si>
  <si>
    <t>APT00823</t>
  </si>
  <si>
    <t>APT00824</t>
  </si>
  <si>
    <t>APT00825</t>
  </si>
  <si>
    <t>APT00826</t>
  </si>
  <si>
    <t>APT00827</t>
  </si>
  <si>
    <t>APT00828</t>
  </si>
  <si>
    <t>APT00829</t>
  </si>
  <si>
    <t>APT00830</t>
  </si>
  <si>
    <t>APT00831</t>
  </si>
  <si>
    <t>APT00832</t>
  </si>
  <si>
    <t>APT00833</t>
  </si>
  <si>
    <t>APT00834</t>
  </si>
  <si>
    <t>APT00835</t>
  </si>
  <si>
    <t>APT00836</t>
  </si>
  <si>
    <t>APT00837</t>
  </si>
  <si>
    <t>APT00838</t>
  </si>
  <si>
    <t>APT00839</t>
  </si>
  <si>
    <t>APT00840</t>
  </si>
  <si>
    <t>APT00841</t>
  </si>
  <si>
    <t>APT00842</t>
  </si>
  <si>
    <t>APT00843</t>
  </si>
  <si>
    <t>APT00844</t>
  </si>
  <si>
    <t>APT00845</t>
  </si>
  <si>
    <t>APT00846</t>
  </si>
  <si>
    <t>APT00847</t>
  </si>
  <si>
    <t>APT00848</t>
  </si>
  <si>
    <t>APT00849</t>
  </si>
  <si>
    <t>APT00850</t>
  </si>
  <si>
    <t>APT00851</t>
  </si>
  <si>
    <t>APT00852</t>
  </si>
  <si>
    <t>APT00853</t>
  </si>
  <si>
    <t>APT00854</t>
  </si>
  <si>
    <t>APT00855</t>
  </si>
  <si>
    <t>APT00856</t>
  </si>
  <si>
    <t>APT00857</t>
  </si>
  <si>
    <t>APT00858</t>
  </si>
  <si>
    <t>APT00859</t>
  </si>
  <si>
    <t>APT00860</t>
  </si>
  <si>
    <t>APT00861</t>
  </si>
  <si>
    <t>APT00862</t>
  </si>
  <si>
    <t>APT00863</t>
  </si>
  <si>
    <t>APT00864</t>
  </si>
  <si>
    <t>APT00865</t>
  </si>
  <si>
    <t>APT00866</t>
  </si>
  <si>
    <t>APT00867</t>
  </si>
  <si>
    <t>APT00868</t>
  </si>
  <si>
    <t>APT00869</t>
  </si>
  <si>
    <t>APT00870</t>
  </si>
  <si>
    <t>APT00871</t>
  </si>
  <si>
    <t>APT00872</t>
  </si>
  <si>
    <t>APT00873</t>
  </si>
  <si>
    <t>APT00874</t>
  </si>
  <si>
    <t>APT00875</t>
  </si>
  <si>
    <t>APT00876</t>
  </si>
  <si>
    <t>APT00877</t>
  </si>
  <si>
    <t>APT00878</t>
  </si>
  <si>
    <t>APT00879</t>
  </si>
  <si>
    <t>APT00880</t>
  </si>
  <si>
    <t>APT00881</t>
  </si>
  <si>
    <t>APT00882</t>
  </si>
  <si>
    <t>APT00883</t>
  </si>
  <si>
    <t>APT00884</t>
  </si>
  <si>
    <t>APT00885</t>
  </si>
  <si>
    <t>APT00886</t>
  </si>
  <si>
    <t>APT00887</t>
  </si>
  <si>
    <t>APT00888</t>
  </si>
  <si>
    <t>APT00889</t>
  </si>
  <si>
    <t>APT00890</t>
  </si>
  <si>
    <t>APT00891</t>
  </si>
  <si>
    <t>APT00892</t>
  </si>
  <si>
    <t>APT00893</t>
  </si>
  <si>
    <t>APT00894</t>
  </si>
  <si>
    <t>APT00895</t>
  </si>
  <si>
    <t>APT00896</t>
  </si>
  <si>
    <t>APT00897</t>
  </si>
  <si>
    <t>APT00898</t>
  </si>
  <si>
    <t>APT00899</t>
  </si>
  <si>
    <t>APT00900</t>
  </si>
  <si>
    <t>APT00901</t>
  </si>
  <si>
    <t>APT00902</t>
  </si>
  <si>
    <t>APT00903</t>
  </si>
  <si>
    <t>APT00904</t>
  </si>
  <si>
    <t>APT00905</t>
  </si>
  <si>
    <t>APT00906</t>
  </si>
  <si>
    <t>APT00907</t>
  </si>
  <si>
    <t>APT00908</t>
  </si>
  <si>
    <t>APT00909</t>
  </si>
  <si>
    <t>APT00910</t>
  </si>
  <si>
    <t>APT00911</t>
  </si>
  <si>
    <t>APT00912</t>
  </si>
  <si>
    <t>APT00913</t>
  </si>
  <si>
    <t>APT00914</t>
  </si>
  <si>
    <t>APT00915</t>
  </si>
  <si>
    <t>APT00916</t>
  </si>
  <si>
    <t>APT00917</t>
  </si>
  <si>
    <t>APT00918</t>
  </si>
  <si>
    <t>APT00919</t>
  </si>
  <si>
    <t>APT00920</t>
  </si>
  <si>
    <t>APT00921</t>
  </si>
  <si>
    <t>APT00922</t>
  </si>
  <si>
    <t>APT00923</t>
  </si>
  <si>
    <t>APT00924</t>
  </si>
  <si>
    <t>APT00925</t>
  </si>
  <si>
    <t>APT00926</t>
  </si>
  <si>
    <t>APT00927</t>
  </si>
  <si>
    <t>APT00928</t>
  </si>
  <si>
    <t>APT00929</t>
  </si>
  <si>
    <t>APT00930</t>
  </si>
  <si>
    <t>APT00931</t>
  </si>
  <si>
    <t>APT00932</t>
  </si>
  <si>
    <t>APT00933</t>
  </si>
  <si>
    <t>APT00934</t>
  </si>
  <si>
    <t>APT00935</t>
  </si>
  <si>
    <t>APT00936</t>
  </si>
  <si>
    <t>APT00937</t>
  </si>
  <si>
    <t>APT00938</t>
  </si>
  <si>
    <t>APT00939</t>
  </si>
  <si>
    <t>APT00940</t>
  </si>
  <si>
    <t>APT00941</t>
  </si>
  <si>
    <t>APT00942</t>
  </si>
  <si>
    <t>APT00943</t>
  </si>
  <si>
    <t>APT00944</t>
  </si>
  <si>
    <t>APT00945</t>
  </si>
  <si>
    <t>APT00946</t>
  </si>
  <si>
    <t>APT00947</t>
  </si>
  <si>
    <t>APT00948</t>
  </si>
  <si>
    <t>APT00949</t>
  </si>
  <si>
    <t>APT00950</t>
  </si>
  <si>
    <t>APT00951</t>
  </si>
  <si>
    <t>APT00952</t>
  </si>
  <si>
    <t>APT00953</t>
  </si>
  <si>
    <t>APT00954</t>
  </si>
  <si>
    <t>APT00955</t>
  </si>
  <si>
    <t>APT00956</t>
  </si>
  <si>
    <t>APT00957</t>
  </si>
  <si>
    <t>APT00958</t>
  </si>
  <si>
    <t>APT00959</t>
  </si>
  <si>
    <t>APT00960</t>
  </si>
  <si>
    <t>APT00961</t>
  </si>
  <si>
    <t>APT00962</t>
  </si>
  <si>
    <t>APT00963</t>
  </si>
  <si>
    <t>APT00964</t>
  </si>
  <si>
    <t>APT00965</t>
  </si>
  <si>
    <t>APT00966</t>
  </si>
  <si>
    <t>APT00967</t>
  </si>
  <si>
    <t>APT00968</t>
  </si>
  <si>
    <t>APT00969</t>
  </si>
  <si>
    <t>APT00970</t>
  </si>
  <si>
    <t>APT00971</t>
  </si>
  <si>
    <t>APT00972</t>
  </si>
  <si>
    <t>APT00973</t>
  </si>
  <si>
    <t>APT00974</t>
  </si>
  <si>
    <t>APT00975</t>
  </si>
  <si>
    <t>APT00976</t>
  </si>
  <si>
    <t>APT00977</t>
  </si>
  <si>
    <t>APT00978</t>
  </si>
  <si>
    <t>APT00979</t>
  </si>
  <si>
    <t>APT00980</t>
  </si>
  <si>
    <t>APT00981</t>
  </si>
  <si>
    <t>APT00982</t>
  </si>
  <si>
    <t>APT00983</t>
  </si>
  <si>
    <t>APT00984</t>
  </si>
  <si>
    <t>APT00985</t>
  </si>
  <si>
    <t>APT00986</t>
  </si>
  <si>
    <t>APT00987</t>
  </si>
  <si>
    <t>APT00988</t>
  </si>
  <si>
    <t>APT00989</t>
  </si>
  <si>
    <t>APT00990</t>
  </si>
  <si>
    <t>APT00991</t>
  </si>
  <si>
    <t>APT00992</t>
  </si>
  <si>
    <t>APT00993</t>
  </si>
  <si>
    <t>APT00994</t>
  </si>
  <si>
    <t>APT00995</t>
  </si>
  <si>
    <t>APT00996</t>
  </si>
  <si>
    <t>APT00997</t>
  </si>
  <si>
    <t>APT00998</t>
  </si>
  <si>
    <t>APT00999</t>
  </si>
  <si>
    <t>APT01000</t>
  </si>
  <si>
    <t>APT01001</t>
  </si>
  <si>
    <t>APT01002</t>
  </si>
  <si>
    <t>APT01003</t>
  </si>
  <si>
    <t>APT01004</t>
  </si>
  <si>
    <t>APT01005</t>
  </si>
  <si>
    <t>APT01006</t>
  </si>
  <si>
    <t>APT01007</t>
  </si>
  <si>
    <t>APT01008</t>
  </si>
  <si>
    <t>APT01009</t>
  </si>
  <si>
    <t>APT01010</t>
  </si>
  <si>
    <t>APT01011</t>
  </si>
  <si>
    <t>APT01012</t>
  </si>
  <si>
    <t>APT01013</t>
  </si>
  <si>
    <t>APT01014</t>
  </si>
  <si>
    <t>APT01015</t>
  </si>
  <si>
    <t>APT01016</t>
  </si>
  <si>
    <t>APT01017</t>
  </si>
  <si>
    <t>APT01018</t>
  </si>
  <si>
    <t>APT01019</t>
  </si>
  <si>
    <t>APT01020</t>
  </si>
  <si>
    <t>APT01021</t>
  </si>
  <si>
    <t>APT01022</t>
  </si>
  <si>
    <t>APT01023</t>
  </si>
  <si>
    <t>APT01024</t>
  </si>
  <si>
    <t>APT01025</t>
  </si>
  <si>
    <t>APT01026</t>
  </si>
  <si>
    <t>APT01027</t>
  </si>
  <si>
    <t>APT01028</t>
  </si>
  <si>
    <t>APT01029</t>
  </si>
  <si>
    <t>APT01030</t>
  </si>
  <si>
    <t>APT01031</t>
  </si>
  <si>
    <t>APT01032</t>
  </si>
  <si>
    <t>APT01033</t>
  </si>
  <si>
    <t>APT01034</t>
  </si>
  <si>
    <t>APT01035</t>
  </si>
  <si>
    <t>APT01036</t>
  </si>
  <si>
    <t>APT01037</t>
  </si>
  <si>
    <t>APT01038</t>
  </si>
  <si>
    <t>APT01039</t>
  </si>
  <si>
    <t>APT01040</t>
  </si>
  <si>
    <t>APT01041</t>
  </si>
  <si>
    <t>APT01042</t>
  </si>
  <si>
    <t>APT01043</t>
  </si>
  <si>
    <t>APT01044</t>
  </si>
  <si>
    <t>APT01045</t>
  </si>
  <si>
    <t>APT01046</t>
  </si>
  <si>
    <t>APT01047</t>
  </si>
  <si>
    <t>APT01048</t>
  </si>
  <si>
    <t>APT01049</t>
  </si>
  <si>
    <t>APT01050</t>
  </si>
  <si>
    <t>APT01051</t>
  </si>
  <si>
    <t>APT01052</t>
  </si>
  <si>
    <t>APT01053</t>
  </si>
  <si>
    <t>APT01054</t>
  </si>
  <si>
    <t>APT01055</t>
  </si>
  <si>
    <t>APT01056</t>
  </si>
  <si>
    <t>APT01057</t>
  </si>
  <si>
    <t>APT01058</t>
  </si>
  <si>
    <t>APT01059</t>
  </si>
  <si>
    <t>APT01060</t>
  </si>
  <si>
    <t>APT01061</t>
  </si>
  <si>
    <t>APT01062</t>
  </si>
  <si>
    <t>APT01063</t>
  </si>
  <si>
    <t>APT01064</t>
  </si>
  <si>
    <t>APT01065</t>
  </si>
  <si>
    <t>APT01066</t>
  </si>
  <si>
    <t>APT01067</t>
  </si>
  <si>
    <t>APT01068</t>
  </si>
  <si>
    <t>APT01069</t>
  </si>
  <si>
    <t>APT01070</t>
  </si>
  <si>
    <t>APT01071</t>
  </si>
  <si>
    <t>APT01072</t>
  </si>
  <si>
    <t>APT01073</t>
  </si>
  <si>
    <t>APT01074</t>
  </si>
  <si>
    <t>APT01075</t>
  </si>
  <si>
    <t>APT01076</t>
  </si>
  <si>
    <t>APT01077</t>
  </si>
  <si>
    <t>APT01078</t>
  </si>
  <si>
    <t>APT01079</t>
  </si>
  <si>
    <t>APT01080</t>
  </si>
  <si>
    <t>APT01081</t>
  </si>
  <si>
    <t>APT01082</t>
  </si>
  <si>
    <t>APT01083</t>
  </si>
  <si>
    <t>APT01084</t>
  </si>
  <si>
    <t>APT01085</t>
  </si>
  <si>
    <t>APT01086</t>
  </si>
  <si>
    <t>APT01087</t>
  </si>
  <si>
    <t>APT01088</t>
  </si>
  <si>
    <t>APT01089</t>
  </si>
  <si>
    <t>APT01090</t>
  </si>
  <si>
    <t>APT01091</t>
  </si>
  <si>
    <t>APT01092</t>
  </si>
  <si>
    <t>APT01093</t>
  </si>
  <si>
    <t>APT01094</t>
  </si>
  <si>
    <t>APT01095</t>
  </si>
  <si>
    <t>APT01096</t>
  </si>
  <si>
    <t>APT01097</t>
  </si>
  <si>
    <t>APT01098</t>
  </si>
  <si>
    <t>APT01099</t>
  </si>
  <si>
    <t>APT01100</t>
  </si>
  <si>
    <t>APT01101</t>
  </si>
  <si>
    <t>APT01102</t>
  </si>
  <si>
    <t>APT01103</t>
  </si>
  <si>
    <t>APT01104</t>
  </si>
  <si>
    <t>APT01105</t>
  </si>
  <si>
    <t>APT01106</t>
  </si>
  <si>
    <t>APT01107</t>
  </si>
  <si>
    <t>APT01108</t>
  </si>
  <si>
    <t>APT01109</t>
  </si>
  <si>
    <t>APT01110</t>
  </si>
  <si>
    <t>APT01111</t>
  </si>
  <si>
    <t>APT01112</t>
  </si>
  <si>
    <t>APT01113</t>
  </si>
  <si>
    <t>APT01114</t>
  </si>
  <si>
    <t>APT01115</t>
  </si>
  <si>
    <t>APT01116</t>
  </si>
  <si>
    <t>APT01117</t>
  </si>
  <si>
    <t>APT01118</t>
  </si>
  <si>
    <t>APT01119</t>
  </si>
  <si>
    <t>APT01120</t>
  </si>
  <si>
    <t>APT01121</t>
  </si>
  <si>
    <t>APT01122</t>
  </si>
  <si>
    <t>APT01123</t>
  </si>
  <si>
    <t>APT01124</t>
  </si>
  <si>
    <t>APT01125</t>
  </si>
  <si>
    <t>APT01126</t>
  </si>
  <si>
    <t>APT01127</t>
  </si>
  <si>
    <t>APT01128</t>
  </si>
  <si>
    <t>APT01129</t>
  </si>
  <si>
    <t>APT01130</t>
  </si>
  <si>
    <t>APT01131</t>
  </si>
  <si>
    <t>APT01132</t>
  </si>
  <si>
    <t>APT01133</t>
  </si>
  <si>
    <t>APT01134</t>
  </si>
  <si>
    <t>APT01135</t>
  </si>
  <si>
    <t>APT01136</t>
  </si>
  <si>
    <t>APT01137</t>
  </si>
  <si>
    <t>APT01138</t>
  </si>
  <si>
    <t>APT01139</t>
  </si>
  <si>
    <t>APT01140</t>
  </si>
  <si>
    <t>APT01141</t>
  </si>
  <si>
    <t>APT01142</t>
  </si>
  <si>
    <t>APT01143</t>
  </si>
  <si>
    <t>APT01144</t>
  </si>
  <si>
    <t>APT01145</t>
  </si>
  <si>
    <t>APT01146</t>
  </si>
  <si>
    <t>APT01147</t>
  </si>
  <si>
    <t>APT01148</t>
  </si>
  <si>
    <t>APT01149</t>
  </si>
  <si>
    <t>APT01150</t>
  </si>
  <si>
    <t>APT01151</t>
  </si>
  <si>
    <t>APT01152</t>
  </si>
  <si>
    <t>APT01153</t>
  </si>
  <si>
    <t>APT01154</t>
  </si>
  <si>
    <t>APT01155</t>
  </si>
  <si>
    <t>APT01156</t>
  </si>
  <si>
    <t>APT01157</t>
  </si>
  <si>
    <t>APT01158</t>
  </si>
  <si>
    <t>APT01159</t>
  </si>
  <si>
    <t>APT01160</t>
  </si>
  <si>
    <t>APT01161</t>
  </si>
  <si>
    <t>APT01162</t>
  </si>
  <si>
    <t>APT01163</t>
  </si>
  <si>
    <t>APT01164</t>
  </si>
  <si>
    <t>APT01165</t>
  </si>
  <si>
    <t>APT01166</t>
  </si>
  <si>
    <t>APT01167</t>
  </si>
  <si>
    <t>APT01168</t>
  </si>
  <si>
    <t>APT01169</t>
  </si>
  <si>
    <t>APT01170</t>
  </si>
  <si>
    <t>APT01171</t>
  </si>
  <si>
    <t>APT01172</t>
  </si>
  <si>
    <t>APT01173</t>
  </si>
  <si>
    <t>APT01174</t>
  </si>
  <si>
    <t>APT01175</t>
  </si>
  <si>
    <t>APT01176</t>
  </si>
  <si>
    <t>APT01177</t>
  </si>
  <si>
    <t>APT01178</t>
  </si>
  <si>
    <t>APT01179</t>
  </si>
  <si>
    <t>APT01180</t>
  </si>
  <si>
    <t>APT01181</t>
  </si>
  <si>
    <t>APT01182</t>
  </si>
  <si>
    <t>APT01183</t>
  </si>
  <si>
    <t>APT01184</t>
  </si>
  <si>
    <t>APT01185</t>
  </si>
  <si>
    <t>APT01186</t>
  </si>
  <si>
    <t>APT01187</t>
  </si>
  <si>
    <t>APT01188</t>
  </si>
  <si>
    <t>APT01189</t>
  </si>
  <si>
    <t>APT01190</t>
  </si>
  <si>
    <t>APT01191</t>
  </si>
  <si>
    <t>APT01192</t>
  </si>
  <si>
    <t>APT01193</t>
  </si>
  <si>
    <t>APT01194</t>
  </si>
  <si>
    <t>APT01195</t>
  </si>
  <si>
    <t>APT01196</t>
  </si>
  <si>
    <t>APT01197</t>
  </si>
  <si>
    <t>APT01198</t>
  </si>
  <si>
    <t>APT01199</t>
  </si>
  <si>
    <t>APT01200</t>
  </si>
  <si>
    <t>APT01201</t>
  </si>
  <si>
    <t>APT01202</t>
  </si>
  <si>
    <t>APT01203</t>
  </si>
  <si>
    <t>APT01204</t>
  </si>
  <si>
    <t>APT01205</t>
  </si>
  <si>
    <t>APT01206</t>
  </si>
  <si>
    <t>APT01207</t>
  </si>
  <si>
    <t>APT01208</t>
  </si>
  <si>
    <t>APT01209</t>
  </si>
  <si>
    <t>APT01210</t>
  </si>
  <si>
    <t>APT01211</t>
  </si>
  <si>
    <t>APT01212</t>
  </si>
  <si>
    <t>APT01213</t>
  </si>
  <si>
    <t>APT01214</t>
  </si>
  <si>
    <t>APT01215</t>
  </si>
  <si>
    <t>APT01216</t>
  </si>
  <si>
    <t>APT01217</t>
  </si>
  <si>
    <t>APT01218</t>
  </si>
  <si>
    <t>APT01219</t>
  </si>
  <si>
    <t>APT01220</t>
  </si>
  <si>
    <t>APT01221</t>
  </si>
  <si>
    <t>APT01222</t>
  </si>
  <si>
    <t>APT01223</t>
  </si>
  <si>
    <t>APT01224</t>
  </si>
  <si>
    <t>APT01225</t>
  </si>
  <si>
    <t>APT01226</t>
  </si>
  <si>
    <t>APT01227</t>
  </si>
  <si>
    <t>APT01228</t>
  </si>
  <si>
    <t>APT01229</t>
  </si>
  <si>
    <t>APT01230</t>
  </si>
  <si>
    <t>APT01231</t>
  </si>
  <si>
    <t>APT01232</t>
  </si>
  <si>
    <t>APT01233</t>
  </si>
  <si>
    <t>APT01234</t>
  </si>
  <si>
    <t>APT01235</t>
  </si>
  <si>
    <t>APT01236</t>
  </si>
  <si>
    <t>APT01237</t>
  </si>
  <si>
    <t>APT01238</t>
  </si>
  <si>
    <t>APT01239</t>
  </si>
  <si>
    <t>APT01240</t>
  </si>
  <si>
    <t>APT01241</t>
  </si>
  <si>
    <t>APT01242</t>
  </si>
  <si>
    <t>APT01243</t>
  </si>
  <si>
    <t>APT01244</t>
  </si>
  <si>
    <t>APT01245</t>
  </si>
  <si>
    <t>APT01246</t>
  </si>
  <si>
    <t>APT01247</t>
  </si>
  <si>
    <t>APT01248</t>
  </si>
  <si>
    <t>APT01249</t>
  </si>
  <si>
    <t>APT01250</t>
  </si>
  <si>
    <t>APT01251</t>
  </si>
  <si>
    <t>APT01252</t>
  </si>
  <si>
    <t>APT01253</t>
  </si>
  <si>
    <t>APT01254</t>
  </si>
  <si>
    <t>APT01255</t>
  </si>
  <si>
    <t>APT01256</t>
  </si>
  <si>
    <t>APT01257</t>
  </si>
  <si>
    <t>APT01258</t>
  </si>
  <si>
    <t>APT01259</t>
  </si>
  <si>
    <t>APT01260</t>
  </si>
  <si>
    <t>APT01261</t>
  </si>
  <si>
    <t>APT01262</t>
  </si>
  <si>
    <t>APT01263</t>
  </si>
  <si>
    <t>APT01264</t>
  </si>
  <si>
    <t>APT01265</t>
  </si>
  <si>
    <t>APT01266</t>
  </si>
  <si>
    <t>APT01267</t>
  </si>
  <si>
    <t>APT01268</t>
  </si>
  <si>
    <t>APT01269</t>
  </si>
  <si>
    <t>APT01270</t>
  </si>
  <si>
    <t>APT01271</t>
  </si>
  <si>
    <t>APT01272</t>
  </si>
  <si>
    <t>APT01273</t>
  </si>
  <si>
    <t>APT01274</t>
  </si>
  <si>
    <t>APT01275</t>
  </si>
  <si>
    <t>APT01276</t>
  </si>
  <si>
    <t>APT01277</t>
  </si>
  <si>
    <t>APT01278</t>
  </si>
  <si>
    <t>APT01279</t>
  </si>
  <si>
    <t>APT01280</t>
  </si>
  <si>
    <t>APT01281</t>
  </si>
  <si>
    <t>APT01282</t>
  </si>
  <si>
    <t>APT01283</t>
  </si>
  <si>
    <t>APT01284</t>
  </si>
  <si>
    <t>APT01285</t>
  </si>
  <si>
    <t>APT01286</t>
  </si>
  <si>
    <t>APT01287</t>
  </si>
  <si>
    <t>APT01288</t>
  </si>
  <si>
    <t>APT01289</t>
  </si>
  <si>
    <t>APT01290</t>
  </si>
  <si>
    <t>APT01291</t>
  </si>
  <si>
    <t>APT01292</t>
  </si>
  <si>
    <t>APT01293</t>
  </si>
  <si>
    <t>APT01294</t>
  </si>
  <si>
    <t>APT01295</t>
  </si>
  <si>
    <t>APT01296</t>
  </si>
  <si>
    <t>APT01297</t>
  </si>
  <si>
    <t>APT01298</t>
  </si>
  <si>
    <t>APT01299</t>
  </si>
  <si>
    <t>APT01300</t>
  </si>
  <si>
    <t>APT01301</t>
  </si>
  <si>
    <t>APT01302</t>
  </si>
  <si>
    <t>APT01303</t>
  </si>
  <si>
    <t>APT01304</t>
  </si>
  <si>
    <t>APT01305</t>
  </si>
  <si>
    <t>APT01306</t>
  </si>
  <si>
    <t>APT01307</t>
  </si>
  <si>
    <t>APT01308</t>
  </si>
  <si>
    <t>APT01309</t>
  </si>
  <si>
    <t>APT01310</t>
  </si>
  <si>
    <t>APT01311</t>
  </si>
  <si>
    <t>APT01312</t>
  </si>
  <si>
    <t>APT01313</t>
  </si>
  <si>
    <t>APT01314</t>
  </si>
  <si>
    <t>APT01315</t>
  </si>
  <si>
    <t>APT01316</t>
  </si>
  <si>
    <t>APT01317</t>
  </si>
  <si>
    <t>APT01318</t>
  </si>
  <si>
    <t>APT01319</t>
  </si>
  <si>
    <t>APT01320</t>
  </si>
  <si>
    <t>APT01321</t>
  </si>
  <si>
    <t>APT01322</t>
  </si>
  <si>
    <t>APT01323</t>
  </si>
  <si>
    <t>APT01324</t>
  </si>
  <si>
    <t>APT01325</t>
  </si>
  <si>
    <t>APT01326</t>
  </si>
  <si>
    <t>APT01327</t>
  </si>
  <si>
    <t>APT01328</t>
  </si>
  <si>
    <t>APT01329</t>
  </si>
  <si>
    <t>APT01330</t>
  </si>
  <si>
    <t>APT01331</t>
  </si>
  <si>
    <t>APT01332</t>
  </si>
  <si>
    <t>APT01333</t>
  </si>
  <si>
    <t>APT01334</t>
  </si>
  <si>
    <t>APT01335</t>
  </si>
  <si>
    <t>APT01336</t>
  </si>
  <si>
    <t>APT01337</t>
  </si>
  <si>
    <t>APT01338</t>
  </si>
  <si>
    <t>APT01339</t>
  </si>
  <si>
    <t>APT01340</t>
  </si>
  <si>
    <t>APT01341</t>
  </si>
  <si>
    <t>APT01342</t>
  </si>
  <si>
    <t>APT01343</t>
  </si>
  <si>
    <t>APT01344</t>
  </si>
  <si>
    <t>APT01345</t>
  </si>
  <si>
    <t>APT01346</t>
  </si>
  <si>
    <t>APT01347</t>
  </si>
  <si>
    <t>APT01348</t>
  </si>
  <si>
    <t>APT01349</t>
  </si>
  <si>
    <t>APT01350</t>
  </si>
  <si>
    <t>APT01351</t>
  </si>
  <si>
    <t>APT01352</t>
  </si>
  <si>
    <t>APT01353</t>
  </si>
  <si>
    <t>APT01354</t>
  </si>
  <si>
    <t>APT01355</t>
  </si>
  <si>
    <t>APT01356</t>
  </si>
  <si>
    <t>APT01357</t>
  </si>
  <si>
    <t>APT01358</t>
  </si>
  <si>
    <t>APT01359</t>
  </si>
  <si>
    <t>APT01360</t>
  </si>
  <si>
    <t>APT01361</t>
  </si>
  <si>
    <t>APT01362</t>
  </si>
  <si>
    <t>APT01363</t>
  </si>
  <si>
    <t>APT01364</t>
  </si>
  <si>
    <t>APT01365</t>
  </si>
  <si>
    <t>APT01366</t>
  </si>
  <si>
    <t>APT01367</t>
  </si>
  <si>
    <t>APT01368</t>
  </si>
  <si>
    <t>APT01369</t>
  </si>
  <si>
    <t>APT01370</t>
  </si>
  <si>
    <t>APT01371</t>
  </si>
  <si>
    <t>APT01372</t>
  </si>
  <si>
    <t>APT01373</t>
  </si>
  <si>
    <t>APT01374</t>
  </si>
  <si>
    <t>APT01375</t>
  </si>
  <si>
    <t>APT01376</t>
  </si>
  <si>
    <t>APT01377</t>
  </si>
  <si>
    <t>APT01378</t>
  </si>
  <si>
    <t>APT01379</t>
  </si>
  <si>
    <t>APT01380</t>
  </si>
  <si>
    <t>APT01381</t>
  </si>
  <si>
    <t>APT01382</t>
  </si>
  <si>
    <t>APT01383</t>
  </si>
  <si>
    <t>APT01384</t>
  </si>
  <si>
    <t>APT01385</t>
  </si>
  <si>
    <t>APT01386</t>
  </si>
  <si>
    <t>APT01387</t>
  </si>
  <si>
    <t>APT01388</t>
  </si>
  <si>
    <t>APT01389</t>
  </si>
  <si>
    <t>APT01390</t>
  </si>
  <si>
    <t>APT01391</t>
  </si>
  <si>
    <t>APT01392</t>
  </si>
  <si>
    <t>APT01393</t>
  </si>
  <si>
    <t>APT01394</t>
  </si>
  <si>
    <t>APT01395</t>
  </si>
  <si>
    <t>APT01396</t>
  </si>
  <si>
    <t>APT01397</t>
  </si>
  <si>
    <t>APT01398</t>
  </si>
  <si>
    <t>APT01399</t>
  </si>
  <si>
    <t>APT01400</t>
  </si>
  <si>
    <t>APT01401</t>
  </si>
  <si>
    <t>APT01402</t>
  </si>
  <si>
    <t>APT01403</t>
  </si>
  <si>
    <t>APT01404</t>
  </si>
  <si>
    <t>APT01405</t>
  </si>
  <si>
    <t>APT01406</t>
  </si>
  <si>
    <t>APT01407</t>
  </si>
  <si>
    <t>APT01408</t>
  </si>
  <si>
    <t>APT01409</t>
  </si>
  <si>
    <t>APT01410</t>
  </si>
  <si>
    <t>APT01411</t>
  </si>
  <si>
    <t>APT01412</t>
  </si>
  <si>
    <t>APT01413</t>
  </si>
  <si>
    <t>APT01414</t>
  </si>
  <si>
    <t>APT01415</t>
  </si>
  <si>
    <t>APT01416</t>
  </si>
  <si>
    <t>APT01417</t>
  </si>
  <si>
    <t>APT01418</t>
  </si>
  <si>
    <t>APT01419</t>
  </si>
  <si>
    <t>APT01420</t>
  </si>
  <si>
    <t>APT01421</t>
  </si>
  <si>
    <t>APT01422</t>
  </si>
  <si>
    <t>APT01423</t>
  </si>
  <si>
    <t>APT01424</t>
  </si>
  <si>
    <t>APT01425</t>
  </si>
  <si>
    <t>APT01426</t>
  </si>
  <si>
    <t>APT01427</t>
  </si>
  <si>
    <t>APT01428</t>
  </si>
  <si>
    <t>APT01429</t>
  </si>
  <si>
    <t>APT01430</t>
  </si>
  <si>
    <t>APT01431</t>
  </si>
  <si>
    <t>APT01432</t>
  </si>
  <si>
    <t>APT01433</t>
  </si>
  <si>
    <t>APT01434</t>
  </si>
  <si>
    <t>APT01435</t>
  </si>
  <si>
    <t>APT01436</t>
  </si>
  <si>
    <t>APT01437</t>
  </si>
  <si>
    <t>APT01438</t>
  </si>
  <si>
    <t>APT01439</t>
  </si>
  <si>
    <t>APT01440</t>
  </si>
  <si>
    <t>APT01441</t>
  </si>
  <si>
    <t>APT01442</t>
  </si>
  <si>
    <t>APT01443</t>
  </si>
  <si>
    <t>APT01444</t>
  </si>
  <si>
    <t>APT01445</t>
  </si>
  <si>
    <t>APT01446</t>
  </si>
  <si>
    <t>APT01447</t>
  </si>
  <si>
    <t>APT01448</t>
  </si>
  <si>
    <t>APT01449</t>
  </si>
  <si>
    <t>APT01450</t>
  </si>
  <si>
    <t>APT01451</t>
  </si>
  <si>
    <t>APT01452</t>
  </si>
  <si>
    <t>APT01453</t>
  </si>
  <si>
    <t>APT01454</t>
  </si>
  <si>
    <t>APT01455</t>
  </si>
  <si>
    <t>APT01456</t>
  </si>
  <si>
    <t>APT01457</t>
  </si>
  <si>
    <t>APT01458</t>
  </si>
  <si>
    <t>APT01459</t>
  </si>
  <si>
    <t>APT01460</t>
  </si>
  <si>
    <t>APT01461</t>
  </si>
  <si>
    <t>APT01462</t>
  </si>
  <si>
    <t>APT01463</t>
  </si>
  <si>
    <t>APT01464</t>
  </si>
  <si>
    <t>APT01465</t>
  </si>
  <si>
    <t>APT01466</t>
  </si>
  <si>
    <t>APT01467</t>
  </si>
  <si>
    <t>APT01468</t>
  </si>
  <si>
    <t>APT01469</t>
  </si>
  <si>
    <t>APT01470</t>
  </si>
  <si>
    <t>APT01471</t>
  </si>
  <si>
    <t>APT01472</t>
  </si>
  <si>
    <t>APT01473</t>
  </si>
  <si>
    <t>APT01474</t>
  </si>
  <si>
    <t>APT01475</t>
  </si>
  <si>
    <t>APT01476</t>
  </si>
  <si>
    <t>APT01477</t>
  </si>
  <si>
    <t>APT01478</t>
  </si>
  <si>
    <t>APT01479</t>
  </si>
  <si>
    <t>APT01480</t>
  </si>
  <si>
    <t>APT01481</t>
  </si>
  <si>
    <t>APT01482</t>
  </si>
  <si>
    <t>APT01483</t>
  </si>
  <si>
    <t>APT01484</t>
  </si>
  <si>
    <t>APT01485</t>
  </si>
  <si>
    <t>APT01486</t>
  </si>
  <si>
    <t>APT01487</t>
  </si>
  <si>
    <t>APT01488</t>
  </si>
  <si>
    <t>APT01489</t>
  </si>
  <si>
    <t>APT01490</t>
  </si>
  <si>
    <t>APT01491</t>
  </si>
  <si>
    <t>APT01492</t>
  </si>
  <si>
    <t>APT01493</t>
  </si>
  <si>
    <t>APT01494</t>
  </si>
  <si>
    <t>APT01495</t>
  </si>
  <si>
    <t>APT01496</t>
  </si>
  <si>
    <t>APT01497</t>
  </si>
  <si>
    <t>APT01498</t>
  </si>
  <si>
    <t>APT01499</t>
  </si>
  <si>
    <t>APT01500</t>
  </si>
  <si>
    <t>APT01501</t>
  </si>
  <si>
    <t>APT01502</t>
  </si>
  <si>
    <t>APT01503</t>
  </si>
  <si>
    <t>APT01504</t>
  </si>
  <si>
    <t>APT01505</t>
  </si>
  <si>
    <t>APT01506</t>
  </si>
  <si>
    <t>APT01507</t>
  </si>
  <si>
    <t>APT01508</t>
  </si>
  <si>
    <t>APT01509</t>
  </si>
  <si>
    <t>APT01510</t>
  </si>
  <si>
    <t>APT01511</t>
  </si>
  <si>
    <t>APT01512</t>
  </si>
  <si>
    <t>APT01513</t>
  </si>
  <si>
    <t>APT01514</t>
  </si>
  <si>
    <t>APT01515</t>
  </si>
  <si>
    <t>APT01516</t>
  </si>
  <si>
    <t>APT01517</t>
  </si>
  <si>
    <t>APT01518</t>
  </si>
  <si>
    <t>APT01519</t>
  </si>
  <si>
    <t>APT01520</t>
  </si>
  <si>
    <t>APT01521</t>
  </si>
  <si>
    <t>APT01522</t>
  </si>
  <si>
    <t>APT01523</t>
  </si>
  <si>
    <t>APT01524</t>
  </si>
  <si>
    <t>APT01525</t>
  </si>
  <si>
    <t>APT01526</t>
  </si>
  <si>
    <t>APT01527</t>
  </si>
  <si>
    <t>APT01528</t>
  </si>
  <si>
    <t>APT01529</t>
  </si>
  <si>
    <t>APT01530</t>
  </si>
  <si>
    <t>APT01531</t>
  </si>
  <si>
    <t>APT01532</t>
  </si>
  <si>
    <t>APT01533</t>
  </si>
  <si>
    <t>APT01534</t>
  </si>
  <si>
    <t>APT01535</t>
  </si>
  <si>
    <t>APT01536</t>
  </si>
  <si>
    <t>APT01537</t>
  </si>
  <si>
    <t>APT01538</t>
  </si>
  <si>
    <t>APT01539</t>
  </si>
  <si>
    <t>APT01540</t>
  </si>
  <si>
    <t>APT01541</t>
  </si>
  <si>
    <t>APT01542</t>
  </si>
  <si>
    <t>APT01543</t>
  </si>
  <si>
    <t>APT01544</t>
  </si>
  <si>
    <t>APT01545</t>
  </si>
  <si>
    <t>APT01546</t>
  </si>
  <si>
    <t>APT01547</t>
  </si>
  <si>
    <t>APT01548</t>
  </si>
  <si>
    <t>APT01549</t>
  </si>
  <si>
    <t>APT01550</t>
  </si>
  <si>
    <t>APT01551</t>
  </si>
  <si>
    <t>APT01552</t>
  </si>
  <si>
    <t>APT01553</t>
  </si>
  <si>
    <t>APT01554</t>
  </si>
  <si>
    <t>APT01555</t>
  </si>
  <si>
    <t>APT01556</t>
  </si>
  <si>
    <t>APT01557</t>
  </si>
  <si>
    <t>APT01558</t>
  </si>
  <si>
    <t>APT01559</t>
  </si>
  <si>
    <t>APT01560</t>
  </si>
  <si>
    <t>APT01561</t>
  </si>
  <si>
    <t>APT01562</t>
  </si>
  <si>
    <t>APT01563</t>
  </si>
  <si>
    <t>APT01564</t>
  </si>
  <si>
    <t>APT01565</t>
  </si>
  <si>
    <t>APT01566</t>
  </si>
  <si>
    <t>APT01567</t>
  </si>
  <si>
    <t>APT01568</t>
  </si>
  <si>
    <t>APT01569</t>
  </si>
  <si>
    <t>APT01570</t>
  </si>
  <si>
    <t>APT01571</t>
  </si>
  <si>
    <t>APT01572</t>
  </si>
  <si>
    <t>APT01573</t>
  </si>
  <si>
    <t>APT01574</t>
  </si>
  <si>
    <t>APT01575</t>
  </si>
  <si>
    <t>APT01576</t>
  </si>
  <si>
    <t>APT01577</t>
  </si>
  <si>
    <t>APT01578</t>
  </si>
  <si>
    <t>APT01579</t>
  </si>
  <si>
    <t>APT01580</t>
  </si>
  <si>
    <t>APT01581</t>
  </si>
  <si>
    <t>APT01582</t>
  </si>
  <si>
    <t>APT01583</t>
  </si>
  <si>
    <t>APT01584</t>
  </si>
  <si>
    <t>APT01585</t>
  </si>
  <si>
    <t>APT01586</t>
  </si>
  <si>
    <t>APT01587</t>
  </si>
  <si>
    <t>APT01588</t>
  </si>
  <si>
    <t>APT01589</t>
  </si>
  <si>
    <t>APT01590</t>
  </si>
  <si>
    <t>APT01591</t>
  </si>
  <si>
    <t>APT01592</t>
  </si>
  <si>
    <t>APT01593</t>
  </si>
  <si>
    <t>APT01594</t>
  </si>
  <si>
    <t>APT01595</t>
  </si>
  <si>
    <t>APT01596</t>
  </si>
  <si>
    <t>APT01597</t>
  </si>
  <si>
    <t>APT01598</t>
  </si>
  <si>
    <t>APT01599</t>
  </si>
  <si>
    <t>APT01600</t>
  </si>
  <si>
    <t>APT01601</t>
  </si>
  <si>
    <t>APT01602</t>
  </si>
  <si>
    <t>APT01603</t>
  </si>
  <si>
    <t>APT01604</t>
  </si>
  <si>
    <t>APT01605</t>
  </si>
  <si>
    <t>APT01606</t>
  </si>
  <si>
    <t>APT01607</t>
  </si>
  <si>
    <t>APT01608</t>
  </si>
  <si>
    <t>APT01609</t>
  </si>
  <si>
    <t>APT01610</t>
  </si>
  <si>
    <t>APT01611</t>
  </si>
  <si>
    <t>APT01612</t>
  </si>
  <si>
    <t>APT01613</t>
  </si>
  <si>
    <t>APT01614</t>
  </si>
  <si>
    <t>APT01615</t>
  </si>
  <si>
    <t>APT01616</t>
  </si>
  <si>
    <t>APT01617</t>
  </si>
  <si>
    <t>APT01618</t>
  </si>
  <si>
    <t>APT01619</t>
  </si>
  <si>
    <t>APT01620</t>
  </si>
  <si>
    <t>APT01621</t>
  </si>
  <si>
    <t>APT01622</t>
  </si>
  <si>
    <t>APT01623</t>
  </si>
  <si>
    <t>APT01624</t>
  </si>
  <si>
    <t>APT01625</t>
  </si>
  <si>
    <t>APT01626</t>
  </si>
  <si>
    <t>APT01627</t>
  </si>
  <si>
    <t>APT01628</t>
  </si>
  <si>
    <t>APT01629</t>
  </si>
  <si>
    <t>APT01630</t>
  </si>
  <si>
    <t>APT01631</t>
  </si>
  <si>
    <t>APT01632</t>
  </si>
  <si>
    <t>APT01633</t>
  </si>
  <si>
    <t>APT01634</t>
  </si>
  <si>
    <t>APT01635</t>
  </si>
  <si>
    <t>APT01636</t>
  </si>
  <si>
    <t>APT01637</t>
  </si>
  <si>
    <t>APT01638</t>
  </si>
  <si>
    <t>APT01639</t>
  </si>
  <si>
    <t>APT01640</t>
  </si>
  <si>
    <t>APT01641</t>
  </si>
  <si>
    <t>APT01642</t>
  </si>
  <si>
    <t>APT01643</t>
  </si>
  <si>
    <t>APT01644</t>
  </si>
  <si>
    <t>APT01645</t>
  </si>
  <si>
    <t>APT01646</t>
  </si>
  <si>
    <t>APT01647</t>
  </si>
  <si>
    <t>APT01648</t>
  </si>
  <si>
    <t>APT01649</t>
  </si>
  <si>
    <t>APT01650</t>
  </si>
  <si>
    <t>APT01651</t>
  </si>
  <si>
    <t>APT01652</t>
  </si>
  <si>
    <t>APT01653</t>
  </si>
  <si>
    <t>APT01654</t>
  </si>
  <si>
    <t>APT01655</t>
  </si>
  <si>
    <t>APT01656</t>
  </si>
  <si>
    <t>APT01657</t>
  </si>
  <si>
    <t>APT01658</t>
  </si>
  <si>
    <t>APT01659</t>
  </si>
  <si>
    <t>APT01660</t>
  </si>
  <si>
    <t>APT01661</t>
  </si>
  <si>
    <t>APT01662</t>
  </si>
  <si>
    <t>APT01663</t>
  </si>
  <si>
    <t>APT01664</t>
  </si>
  <si>
    <t>APT01665</t>
  </si>
  <si>
    <t>APT01666</t>
  </si>
  <si>
    <t>APT01667</t>
  </si>
  <si>
    <t>APT01668</t>
  </si>
  <si>
    <t>APT01669</t>
  </si>
  <si>
    <t>APT01670</t>
  </si>
  <si>
    <t>APT01671</t>
  </si>
  <si>
    <t>APT01672</t>
  </si>
  <si>
    <t>APT01673</t>
  </si>
  <si>
    <t>APT01674</t>
  </si>
  <si>
    <t>APT01675</t>
  </si>
  <si>
    <t>APT01676</t>
  </si>
  <si>
    <t>APT01677</t>
  </si>
  <si>
    <t>APT01678</t>
  </si>
  <si>
    <t>APT01679</t>
  </si>
  <si>
    <t>APT01680</t>
  </si>
  <si>
    <t>APT01681</t>
  </si>
  <si>
    <t>APT01682</t>
  </si>
  <si>
    <t>APT01683</t>
  </si>
  <si>
    <t>APT01684</t>
  </si>
  <si>
    <t>APT01685</t>
  </si>
  <si>
    <t>APT01686</t>
  </si>
  <si>
    <t>APT01687</t>
  </si>
  <si>
    <t>APT01688</t>
  </si>
  <si>
    <t>APT01689</t>
  </si>
  <si>
    <t>APT01690</t>
  </si>
  <si>
    <t>APT01691</t>
  </si>
  <si>
    <t>APT01692</t>
  </si>
  <si>
    <t>APT01693</t>
  </si>
  <si>
    <t>APT01694</t>
  </si>
  <si>
    <t>APT01695</t>
  </si>
  <si>
    <t>APT01696</t>
  </si>
  <si>
    <t>APT01697</t>
  </si>
  <si>
    <t>APT01698</t>
  </si>
  <si>
    <t>APT01699</t>
  </si>
  <si>
    <t>APT01700</t>
  </si>
  <si>
    <t>APT01701</t>
  </si>
  <si>
    <t>APT01702</t>
  </si>
  <si>
    <t>APT01703</t>
  </si>
  <si>
    <t>APT01704</t>
  </si>
  <si>
    <t>APT01705</t>
  </si>
  <si>
    <t>APT01706</t>
  </si>
  <si>
    <t>APT01707</t>
  </si>
  <si>
    <t>APT01708</t>
  </si>
  <si>
    <t>APT01709</t>
  </si>
  <si>
    <t>APT01710</t>
  </si>
  <si>
    <t>APT01711</t>
  </si>
  <si>
    <t>APT01712</t>
  </si>
  <si>
    <t>APT01713</t>
  </si>
  <si>
    <t>APT01714</t>
  </si>
  <si>
    <t>APT01715</t>
  </si>
  <si>
    <t>APT01716</t>
  </si>
  <si>
    <t>APT01717</t>
  </si>
  <si>
    <t>APT01718</t>
  </si>
  <si>
    <t>APT01719</t>
  </si>
  <si>
    <t>APT01720</t>
  </si>
  <si>
    <t>APT01721</t>
  </si>
  <si>
    <t>APT01722</t>
  </si>
  <si>
    <t>APT01723</t>
  </si>
  <si>
    <t>APT01724</t>
  </si>
  <si>
    <t>APT01725</t>
  </si>
  <si>
    <t>APT01726</t>
  </si>
  <si>
    <t>APT01727</t>
  </si>
  <si>
    <t>APT01728</t>
  </si>
  <si>
    <t>APT01729</t>
  </si>
  <si>
    <t>APT01730</t>
  </si>
  <si>
    <t>APT01731</t>
  </si>
  <si>
    <t>APT01732</t>
  </si>
  <si>
    <t>APT01733</t>
  </si>
  <si>
    <t>APT01734</t>
  </si>
  <si>
    <t>APT01735</t>
  </si>
  <si>
    <t>APT01736</t>
  </si>
  <si>
    <t>APT01737</t>
  </si>
  <si>
    <t>APT01738</t>
  </si>
  <si>
    <t>APT01739</t>
  </si>
  <si>
    <t>APT01740</t>
  </si>
  <si>
    <t>APT01741</t>
  </si>
  <si>
    <t>APT01742</t>
  </si>
  <si>
    <t>APT01743</t>
  </si>
  <si>
    <t>APT01744</t>
  </si>
  <si>
    <t>APT01745</t>
  </si>
  <si>
    <t>APT01746</t>
  </si>
  <si>
    <t>APT01747</t>
  </si>
  <si>
    <t>APT01748</t>
  </si>
  <si>
    <t>APT01749</t>
  </si>
  <si>
    <t>APT01750</t>
  </si>
  <si>
    <t>APT01751</t>
  </si>
  <si>
    <t>APT01752</t>
  </si>
  <si>
    <t>APT01753</t>
  </si>
  <si>
    <t>APT01754</t>
  </si>
  <si>
    <t>APT01755</t>
  </si>
  <si>
    <t>APT01756</t>
  </si>
  <si>
    <t>APT01757</t>
  </si>
  <si>
    <t>APT01758</t>
  </si>
  <si>
    <t>APT01759</t>
  </si>
  <si>
    <t>APT01760</t>
  </si>
  <si>
    <t>APT01761</t>
  </si>
  <si>
    <t>APT01762</t>
  </si>
  <si>
    <t>APT01763</t>
  </si>
  <si>
    <t>APT01764</t>
  </si>
  <si>
    <t>APT01765</t>
  </si>
  <si>
    <t>APT01766</t>
  </si>
  <si>
    <t>APT01767</t>
  </si>
  <si>
    <t>APT01768</t>
  </si>
  <si>
    <t>APT01769</t>
  </si>
  <si>
    <t>APT01770</t>
  </si>
  <si>
    <t>APT01771</t>
  </si>
  <si>
    <t>APT01772</t>
  </si>
  <si>
    <t>APT01773</t>
  </si>
  <si>
    <t>APT01774</t>
  </si>
  <si>
    <t>APT01775</t>
  </si>
  <si>
    <t>APT01776</t>
  </si>
  <si>
    <t>APT01777</t>
  </si>
  <si>
    <t>APT01778</t>
  </si>
  <si>
    <t>APT01779</t>
  </si>
  <si>
    <t>APT01780</t>
  </si>
  <si>
    <t>APT01781</t>
  </si>
  <si>
    <t>APT01782</t>
  </si>
  <si>
    <t>APT01783</t>
  </si>
  <si>
    <t>APT01784</t>
  </si>
  <si>
    <t>APT01785</t>
  </si>
  <si>
    <t>APT01786</t>
  </si>
  <si>
    <t>APT01787</t>
  </si>
  <si>
    <t>APT01788</t>
  </si>
  <si>
    <t>APT01789</t>
  </si>
  <si>
    <t>APT01790</t>
  </si>
  <si>
    <t>APT01791</t>
  </si>
  <si>
    <t>APT01792</t>
  </si>
  <si>
    <t>APT01793</t>
  </si>
  <si>
    <t>APT01794</t>
  </si>
  <si>
    <t>APT01795</t>
  </si>
  <si>
    <t>APT01796</t>
  </si>
  <si>
    <t>APT01797</t>
  </si>
  <si>
    <t>APT01798</t>
  </si>
  <si>
    <t>APT01799</t>
  </si>
  <si>
    <t>APT01800</t>
  </si>
  <si>
    <t>APT01801</t>
  </si>
  <si>
    <t>APT01802</t>
  </si>
  <si>
    <t>APT01803</t>
  </si>
  <si>
    <t>APT01804</t>
  </si>
  <si>
    <t>APT01805</t>
  </si>
  <si>
    <t>APT01806</t>
  </si>
  <si>
    <t>APT01807</t>
  </si>
  <si>
    <t>APT01808</t>
  </si>
  <si>
    <t>APT01809</t>
  </si>
  <si>
    <t>APT01810</t>
  </si>
  <si>
    <t>APT01811</t>
  </si>
  <si>
    <t>APT01812</t>
  </si>
  <si>
    <t>APT01813</t>
  </si>
  <si>
    <t>APT01814</t>
  </si>
  <si>
    <t>APT01815</t>
  </si>
  <si>
    <t>APT01816</t>
  </si>
  <si>
    <t>APT01817</t>
  </si>
  <si>
    <t>APT01818</t>
  </si>
  <si>
    <t>APT01819</t>
  </si>
  <si>
    <t>APT01820</t>
  </si>
  <si>
    <t>APT01821</t>
  </si>
  <si>
    <t>APT01822</t>
  </si>
  <si>
    <t>APT01823</t>
  </si>
  <si>
    <t>APT01824</t>
  </si>
  <si>
    <t>APT01825</t>
  </si>
  <si>
    <t>APT01826</t>
  </si>
  <si>
    <t>APT01827</t>
  </si>
  <si>
    <t>APT01828</t>
  </si>
  <si>
    <t>APT01829</t>
  </si>
  <si>
    <t>APT01830</t>
  </si>
  <si>
    <t>APT01831</t>
  </si>
  <si>
    <t>APT01832</t>
  </si>
  <si>
    <t>APT01833</t>
  </si>
  <si>
    <t>APT01834</t>
  </si>
  <si>
    <t>APT01835</t>
  </si>
  <si>
    <t>APT01836</t>
  </si>
  <si>
    <t>APT01837</t>
  </si>
  <si>
    <t>APT01838</t>
  </si>
  <si>
    <t>APT01839</t>
  </si>
  <si>
    <t>APT01840</t>
  </si>
  <si>
    <t>APT01841</t>
  </si>
  <si>
    <t>APT01842</t>
  </si>
  <si>
    <t>APT01843</t>
  </si>
  <si>
    <t>APT01844</t>
  </si>
  <si>
    <t>APT01845</t>
  </si>
  <si>
    <t>APT01846</t>
  </si>
  <si>
    <t>APT01847</t>
  </si>
  <si>
    <t>APT01848</t>
  </si>
  <si>
    <t>APT01849</t>
  </si>
  <si>
    <t>APT01850</t>
  </si>
  <si>
    <t>APT01851</t>
  </si>
  <si>
    <t>APT01852</t>
  </si>
  <si>
    <t>APT01853</t>
  </si>
  <si>
    <t>APT01854</t>
  </si>
  <si>
    <t>APT01855</t>
  </si>
  <si>
    <t>APT01856</t>
  </si>
  <si>
    <t>APT01857</t>
  </si>
  <si>
    <t>APT01858</t>
  </si>
  <si>
    <t>APT01859</t>
  </si>
  <si>
    <t>APT01860</t>
  </si>
  <si>
    <t>APT01861</t>
  </si>
  <si>
    <t>APT01862</t>
  </si>
  <si>
    <t>APT01863</t>
  </si>
  <si>
    <t>APT01864</t>
  </si>
  <si>
    <t>APT01865</t>
  </si>
  <si>
    <t>APT01866</t>
  </si>
  <si>
    <t>APT01867</t>
  </si>
  <si>
    <t>APT01868</t>
  </si>
  <si>
    <t>APT01869</t>
  </si>
  <si>
    <t>APT01870</t>
  </si>
  <si>
    <t>APT01871</t>
  </si>
  <si>
    <t>APT01872</t>
  </si>
  <si>
    <t>APT01873</t>
  </si>
  <si>
    <t>APT01874</t>
  </si>
  <si>
    <t>APT01875</t>
  </si>
  <si>
    <t>APT01876</t>
  </si>
  <si>
    <t>APT01877</t>
  </si>
  <si>
    <t>APT01878</t>
  </si>
  <si>
    <t>APT01879</t>
  </si>
  <si>
    <t>APT01880</t>
  </si>
  <si>
    <t>APT01881</t>
  </si>
  <si>
    <t>APT01882</t>
  </si>
  <si>
    <t>APT01883</t>
  </si>
  <si>
    <t>APT01884</t>
  </si>
  <si>
    <t>APT01885</t>
  </si>
  <si>
    <t>APT01886</t>
  </si>
  <si>
    <t>APT01887</t>
  </si>
  <si>
    <t>APT01888</t>
  </si>
  <si>
    <t>APT01889</t>
  </si>
  <si>
    <t>APT01890</t>
  </si>
  <si>
    <t>APT01891</t>
  </si>
  <si>
    <t>APT01892</t>
  </si>
  <si>
    <t>APT01893</t>
  </si>
  <si>
    <t>APT01894</t>
  </si>
  <si>
    <t>APT01895</t>
  </si>
  <si>
    <t>APT01896</t>
  </si>
  <si>
    <t>APT01897</t>
  </si>
  <si>
    <t>APT01898</t>
  </si>
  <si>
    <t>APT01899</t>
  </si>
  <si>
    <t>APT01900</t>
  </si>
  <si>
    <t>APT01901</t>
  </si>
  <si>
    <t>APT01902</t>
  </si>
  <si>
    <t>APT01903</t>
  </si>
  <si>
    <t>APT01904</t>
  </si>
  <si>
    <t>APT01905</t>
  </si>
  <si>
    <t>APT01906</t>
  </si>
  <si>
    <t>APT01907</t>
  </si>
  <si>
    <t>APT01908</t>
  </si>
  <si>
    <t>APT01909</t>
  </si>
  <si>
    <t>APT01910</t>
  </si>
  <si>
    <t>APT01911</t>
  </si>
  <si>
    <t>APT01912</t>
  </si>
  <si>
    <t>APT01913</t>
  </si>
  <si>
    <t>APT01914</t>
  </si>
  <si>
    <t>APT01915</t>
  </si>
  <si>
    <t>APT01916</t>
  </si>
  <si>
    <t>APT01917</t>
  </si>
  <si>
    <t>APT01918</t>
  </si>
  <si>
    <t>APT01919</t>
  </si>
  <si>
    <t>APT01920</t>
  </si>
  <si>
    <t>APT01921</t>
  </si>
  <si>
    <t>APT01922</t>
  </si>
  <si>
    <t>APT01923</t>
  </si>
  <si>
    <t>APT01924</t>
  </si>
  <si>
    <t>APT01925</t>
  </si>
  <si>
    <t>APT01926</t>
  </si>
  <si>
    <t>APT01927</t>
  </si>
  <si>
    <t>APT01928</t>
  </si>
  <si>
    <t>APT01929</t>
  </si>
  <si>
    <t>APT01930</t>
  </si>
  <si>
    <t>APT01931</t>
  </si>
  <si>
    <t>APT01932</t>
  </si>
  <si>
    <t>APT01933</t>
  </si>
  <si>
    <t>APT01934</t>
  </si>
  <si>
    <t>APT01935</t>
  </si>
  <si>
    <t>APT01936</t>
  </si>
  <si>
    <t>APT01937</t>
  </si>
  <si>
    <t>APT01938</t>
  </si>
  <si>
    <t>APT01939</t>
  </si>
  <si>
    <t>APT01940</t>
  </si>
  <si>
    <t>APT01941</t>
  </si>
  <si>
    <t>APT01942</t>
  </si>
  <si>
    <t>APT01943</t>
  </si>
  <si>
    <t>APT01944</t>
  </si>
  <si>
    <t>APT01945</t>
  </si>
  <si>
    <t>APT01946</t>
  </si>
  <si>
    <t>APT01947</t>
  </si>
  <si>
    <t>APT01948</t>
  </si>
  <si>
    <t>APT01949</t>
  </si>
  <si>
    <t>APT01950</t>
  </si>
  <si>
    <t>APT01951</t>
  </si>
  <si>
    <t>APT01952</t>
  </si>
  <si>
    <t>APT01953</t>
  </si>
  <si>
    <t>APT01954</t>
  </si>
  <si>
    <t>APT01955</t>
  </si>
  <si>
    <t>APT01956</t>
  </si>
  <si>
    <t>APT01957</t>
  </si>
  <si>
    <t>APT01958</t>
  </si>
  <si>
    <t>APT01959</t>
  </si>
  <si>
    <t>APT01960</t>
  </si>
  <si>
    <t>APT01961</t>
  </si>
  <si>
    <t>APT01962</t>
  </si>
  <si>
    <t>APT01963</t>
  </si>
  <si>
    <t>APT01964</t>
  </si>
  <si>
    <t>APT01965</t>
  </si>
  <si>
    <t>APT01966</t>
  </si>
  <si>
    <t>APT01967</t>
  </si>
  <si>
    <t>APT01968</t>
  </si>
  <si>
    <t>APT01969</t>
  </si>
  <si>
    <t>APT01970</t>
  </si>
  <si>
    <t>APT01971</t>
  </si>
  <si>
    <t>APT01972</t>
  </si>
  <si>
    <t>APT01973</t>
  </si>
  <si>
    <t>APT01974</t>
  </si>
  <si>
    <t>APT01975</t>
  </si>
  <si>
    <t>APT01976</t>
  </si>
  <si>
    <t>APT01977</t>
  </si>
  <si>
    <t>APT01978</t>
  </si>
  <si>
    <t>APT01979</t>
  </si>
  <si>
    <t>APT01980</t>
  </si>
  <si>
    <t>APT01981</t>
  </si>
  <si>
    <t>APT01982</t>
  </si>
  <si>
    <t>APT01983</t>
  </si>
  <si>
    <t>APT01984</t>
  </si>
  <si>
    <t>APT01985</t>
  </si>
  <si>
    <t>APT01986</t>
  </si>
  <si>
    <t>APT01987</t>
  </si>
  <si>
    <t>APT01988</t>
  </si>
  <si>
    <t>APT01989</t>
  </si>
  <si>
    <t>APT01990</t>
  </si>
  <si>
    <t>APT01991</t>
  </si>
  <si>
    <t>APT01992</t>
  </si>
  <si>
    <t>APT01993</t>
  </si>
  <si>
    <t>APT01994</t>
  </si>
  <si>
    <t>APT01995</t>
  </si>
  <si>
    <t>APT01996</t>
  </si>
  <si>
    <t>APT01997</t>
  </si>
  <si>
    <t>APT01998</t>
  </si>
  <si>
    <t>APT01999</t>
  </si>
  <si>
    <t>APT02000</t>
  </si>
  <si>
    <t>APT02001</t>
  </si>
  <si>
    <t>APT02002</t>
  </si>
  <si>
    <t>APT02003</t>
  </si>
  <si>
    <t>APT02004</t>
  </si>
  <si>
    <t>APT02005</t>
  </si>
  <si>
    <t>APT02006</t>
  </si>
  <si>
    <t>APT02007</t>
  </si>
  <si>
    <t>APT02008</t>
  </si>
  <si>
    <t>APT02009</t>
  </si>
  <si>
    <t>APT02010</t>
  </si>
  <si>
    <t>APT02011</t>
  </si>
  <si>
    <t>APT02012</t>
  </si>
  <si>
    <t>APT02013</t>
  </si>
  <si>
    <t>APT02014</t>
  </si>
  <si>
    <t>APT02015</t>
  </si>
  <si>
    <t>APT02016</t>
  </si>
  <si>
    <t>APT02017</t>
  </si>
  <si>
    <t>APT02018</t>
  </si>
  <si>
    <t>APT02019</t>
  </si>
  <si>
    <t>APT02020</t>
  </si>
  <si>
    <t>APT02021</t>
  </si>
  <si>
    <t>APT02022</t>
  </si>
  <si>
    <t>APT02023</t>
  </si>
  <si>
    <t>APT02024</t>
  </si>
  <si>
    <t>APT02025</t>
  </si>
  <si>
    <t>APT02026</t>
  </si>
  <si>
    <t>APT02027</t>
  </si>
  <si>
    <t>APT02028</t>
  </si>
  <si>
    <t>APT02029</t>
  </si>
  <si>
    <t>APT02030</t>
  </si>
  <si>
    <t>APT02031</t>
  </si>
  <si>
    <t>APT02032</t>
  </si>
  <si>
    <t>APT02033</t>
  </si>
  <si>
    <t>APT02034</t>
  </si>
  <si>
    <t>APT02035</t>
  </si>
  <si>
    <t>APT02036</t>
  </si>
  <si>
    <t>APT02037</t>
  </si>
  <si>
    <t>APT02038</t>
  </si>
  <si>
    <t>APT02039</t>
  </si>
  <si>
    <t>APT02040</t>
  </si>
  <si>
    <t>APT02041</t>
  </si>
  <si>
    <t>APT02042</t>
  </si>
  <si>
    <t>APT02043</t>
  </si>
  <si>
    <t>APT02044</t>
  </si>
  <si>
    <t>APT02045</t>
  </si>
  <si>
    <t>APT02046</t>
  </si>
  <si>
    <t>APT02047</t>
  </si>
  <si>
    <t>APT02048</t>
  </si>
  <si>
    <t>APT02049</t>
  </si>
  <si>
    <t>APT02050</t>
  </si>
  <si>
    <t>APT02051</t>
  </si>
  <si>
    <t>APT02052</t>
  </si>
  <si>
    <t>APT02053</t>
  </si>
  <si>
    <t>APT02054</t>
  </si>
  <si>
    <t>APT02055</t>
  </si>
  <si>
    <t>APT02056</t>
  </si>
  <si>
    <t>APT02057</t>
  </si>
  <si>
    <t>APT02058</t>
  </si>
  <si>
    <t>APT02059</t>
  </si>
  <si>
    <t>APT02060</t>
  </si>
  <si>
    <t>APT02061</t>
  </si>
  <si>
    <t>APT02062</t>
  </si>
  <si>
    <t>APT02063</t>
  </si>
  <si>
    <t>APT02064</t>
  </si>
  <si>
    <t>APT02065</t>
  </si>
  <si>
    <t>APT02066</t>
  </si>
  <si>
    <t>APT02067</t>
  </si>
  <si>
    <t>APT02068</t>
  </si>
  <si>
    <t>APT02069</t>
  </si>
  <si>
    <t>APT02070</t>
  </si>
  <si>
    <t>APT02071</t>
  </si>
  <si>
    <t>APT02072</t>
  </si>
  <si>
    <t>APT02073</t>
  </si>
  <si>
    <t>APT02074</t>
  </si>
  <si>
    <t>APT02075</t>
  </si>
  <si>
    <t>APT02076</t>
  </si>
  <si>
    <t>APT02077</t>
  </si>
  <si>
    <t>APT02078</t>
  </si>
  <si>
    <t>APT02079</t>
  </si>
  <si>
    <t>APT02080</t>
  </si>
  <si>
    <t>APT02081</t>
  </si>
  <si>
    <t>APT02082</t>
  </si>
  <si>
    <t>APT02083</t>
  </si>
  <si>
    <t>APT02084</t>
  </si>
  <si>
    <t>APT02085</t>
  </si>
  <si>
    <t>APT02086</t>
  </si>
  <si>
    <t>APT02087</t>
  </si>
  <si>
    <t>APT02088</t>
  </si>
  <si>
    <t>APT02089</t>
  </si>
  <si>
    <t>APT02090</t>
  </si>
  <si>
    <t>APT02091</t>
  </si>
  <si>
    <t>APT02092</t>
  </si>
  <si>
    <t>APT02093</t>
  </si>
  <si>
    <t>APT02094</t>
  </si>
  <si>
    <t>APT02095</t>
  </si>
  <si>
    <t>APT02096</t>
  </si>
  <si>
    <t>APT02097</t>
  </si>
  <si>
    <t>APT02098</t>
  </si>
  <si>
    <t>APT02099</t>
  </si>
  <si>
    <t>APT02100</t>
  </si>
  <si>
    <t>APT02101</t>
  </si>
  <si>
    <t>APT02102</t>
  </si>
  <si>
    <t>APT02103</t>
  </si>
  <si>
    <t>APT02104</t>
  </si>
  <si>
    <t>APT02105</t>
  </si>
  <si>
    <t>APT02106</t>
  </si>
  <si>
    <t>APT02107</t>
  </si>
  <si>
    <t>APT02108</t>
  </si>
  <si>
    <t>APT02109</t>
  </si>
  <si>
    <t>APT02110</t>
  </si>
  <si>
    <t>APT02111</t>
  </si>
  <si>
    <t>APT02112</t>
  </si>
  <si>
    <t>APT02113</t>
  </si>
  <si>
    <t>APT02114</t>
  </si>
  <si>
    <t>APT02115</t>
  </si>
  <si>
    <t>APT02116</t>
  </si>
  <si>
    <t>APT02117</t>
  </si>
  <si>
    <t>APT02118</t>
  </si>
  <si>
    <t>APT02119</t>
  </si>
  <si>
    <t>APT02120</t>
  </si>
  <si>
    <t>APT02121</t>
  </si>
  <si>
    <t>APT02122</t>
  </si>
  <si>
    <t>APT02123</t>
  </si>
  <si>
    <t>APT02124</t>
  </si>
  <si>
    <t>APT02125</t>
  </si>
  <si>
    <t>APT02126</t>
  </si>
  <si>
    <t>APT02127</t>
  </si>
  <si>
    <t>APT02128</t>
  </si>
  <si>
    <t>APT02129</t>
  </si>
  <si>
    <t>APT02130</t>
  </si>
  <si>
    <t>APT02131</t>
  </si>
  <si>
    <t>APT02132</t>
  </si>
  <si>
    <t>APT02133</t>
  </si>
  <si>
    <t>APT02134</t>
  </si>
  <si>
    <t>APT02135</t>
  </si>
  <si>
    <t>APT02136</t>
  </si>
  <si>
    <t>APT02137</t>
  </si>
  <si>
    <t>APT02138</t>
  </si>
  <si>
    <t>APT02139</t>
  </si>
  <si>
    <t>APT02140</t>
  </si>
  <si>
    <t>APT02141</t>
  </si>
  <si>
    <t>APT02142</t>
  </si>
  <si>
    <t>APT02143</t>
  </si>
  <si>
    <t>APT02144</t>
  </si>
  <si>
    <t>APT02145</t>
  </si>
  <si>
    <t>APT02146</t>
  </si>
  <si>
    <t>APT02147</t>
  </si>
  <si>
    <t>APT02148</t>
  </si>
  <si>
    <t>APT02149</t>
  </si>
  <si>
    <t>APT02150</t>
  </si>
  <si>
    <t>APT02151</t>
  </si>
  <si>
    <t>APT02152</t>
  </si>
  <si>
    <t>APT02153</t>
  </si>
  <si>
    <t>APT02154</t>
  </si>
  <si>
    <t>APT02155</t>
  </si>
  <si>
    <t>APT02156</t>
  </si>
  <si>
    <t>APT02157</t>
  </si>
  <si>
    <t>APT02158</t>
  </si>
  <si>
    <t>APT02159</t>
  </si>
  <si>
    <t>APT02160</t>
  </si>
  <si>
    <t>APT02161</t>
  </si>
  <si>
    <t>APT02162</t>
  </si>
  <si>
    <t>APT02163</t>
  </si>
  <si>
    <t>APT02164</t>
  </si>
  <si>
    <t>APT02165</t>
  </si>
  <si>
    <t>APT02166</t>
  </si>
  <si>
    <t>APT02167</t>
  </si>
  <si>
    <t>APT02168</t>
  </si>
  <si>
    <t>APT02169</t>
  </si>
  <si>
    <t>APT02170</t>
  </si>
  <si>
    <t>APT02171</t>
  </si>
  <si>
    <t>APT02172</t>
  </si>
  <si>
    <t>APT02173</t>
  </si>
  <si>
    <t>APT02174</t>
  </si>
  <si>
    <t>APT02175</t>
  </si>
  <si>
    <t>APT02176</t>
  </si>
  <si>
    <t>APT02177</t>
  </si>
  <si>
    <t>APT02178</t>
  </si>
  <si>
    <t>APT02179</t>
  </si>
  <si>
    <t>APT02180</t>
  </si>
  <si>
    <t>APT02181</t>
  </si>
  <si>
    <t>APT02182</t>
  </si>
  <si>
    <t>APT02183</t>
  </si>
  <si>
    <t>APT02184</t>
  </si>
  <si>
    <t>APT02185</t>
  </si>
  <si>
    <t>APT02186</t>
  </si>
  <si>
    <t>APT02187</t>
  </si>
  <si>
    <t>APT02188</t>
  </si>
  <si>
    <t>APT02189</t>
  </si>
  <si>
    <t>APT02190</t>
  </si>
  <si>
    <t>APT02191</t>
  </si>
  <si>
    <t>APT02192</t>
  </si>
  <si>
    <t>APT02193</t>
  </si>
  <si>
    <t>APT02194</t>
  </si>
  <si>
    <t>APT02195</t>
  </si>
  <si>
    <t>APT02196</t>
  </si>
  <si>
    <t>APT02197</t>
  </si>
  <si>
    <t>APT02198</t>
  </si>
  <si>
    <t>APT02199</t>
  </si>
  <si>
    <t>APT02200</t>
  </si>
  <si>
    <t>APT02201</t>
  </si>
  <si>
    <t>APT02202</t>
  </si>
  <si>
    <t>APT02203</t>
  </si>
  <si>
    <t>APT02204</t>
  </si>
  <si>
    <t>APT02205</t>
  </si>
  <si>
    <t>APT02206</t>
  </si>
  <si>
    <t>APT02207</t>
  </si>
  <si>
    <t>APT02208</t>
  </si>
  <si>
    <t>APT02209</t>
  </si>
  <si>
    <t>APT02210</t>
  </si>
  <si>
    <t>APT02211</t>
  </si>
  <si>
    <t>APT02212</t>
  </si>
  <si>
    <t>APT02213</t>
  </si>
  <si>
    <t>APT02214</t>
  </si>
  <si>
    <t>APT02215</t>
  </si>
  <si>
    <t>APT02216</t>
  </si>
  <si>
    <t>APT02217</t>
  </si>
  <si>
    <t>APT02218</t>
  </si>
  <si>
    <t>APT02219</t>
  </si>
  <si>
    <t>APT02220</t>
  </si>
  <si>
    <t>APT02221</t>
  </si>
  <si>
    <t>APT02222</t>
  </si>
  <si>
    <t>APT02223</t>
  </si>
  <si>
    <t>APT02224</t>
  </si>
  <si>
    <t>APT02225</t>
  </si>
  <si>
    <t>APT02226</t>
  </si>
  <si>
    <t>APT02227</t>
  </si>
  <si>
    <t>APT02228</t>
  </si>
  <si>
    <t>APT02229</t>
  </si>
  <si>
    <t>APT02230</t>
  </si>
  <si>
    <t>APT02231</t>
  </si>
  <si>
    <t>APT02232</t>
  </si>
  <si>
    <t>APT02233</t>
  </si>
  <si>
    <t>APT02234</t>
  </si>
  <si>
    <t>APT02235</t>
  </si>
  <si>
    <t>APT02236</t>
  </si>
  <si>
    <t>APT02237</t>
  </si>
  <si>
    <t>APT02238</t>
  </si>
  <si>
    <t>APT02239</t>
  </si>
  <si>
    <t>APT02240</t>
  </si>
  <si>
    <t>APT02241</t>
  </si>
  <si>
    <t>APT02242</t>
  </si>
  <si>
    <t>APT02243</t>
  </si>
  <si>
    <t>APT02244</t>
  </si>
  <si>
    <t>APT02245</t>
  </si>
  <si>
    <t>APT02246</t>
  </si>
  <si>
    <t>APT02247</t>
  </si>
  <si>
    <t>APT02248</t>
  </si>
  <si>
    <t>APT02249</t>
  </si>
  <si>
    <t>APT02250</t>
  </si>
  <si>
    <t>APT02251</t>
  </si>
  <si>
    <t>APT02252</t>
  </si>
  <si>
    <t>APT02253</t>
  </si>
  <si>
    <t>APT02254</t>
  </si>
  <si>
    <t>APT02255</t>
  </si>
  <si>
    <t>APT02256</t>
  </si>
  <si>
    <t>APT02257</t>
  </si>
  <si>
    <t>APT02258</t>
  </si>
  <si>
    <t>APT02259</t>
  </si>
  <si>
    <t>APT02260</t>
  </si>
  <si>
    <t>APT02261</t>
  </si>
  <si>
    <t>APT02262</t>
  </si>
  <si>
    <t>APT02263</t>
  </si>
  <si>
    <t>APT02264</t>
  </si>
  <si>
    <t>APT02265</t>
  </si>
  <si>
    <t>APT02266</t>
  </si>
  <si>
    <t>APT02267</t>
  </si>
  <si>
    <t>APT02268</t>
  </si>
  <si>
    <t>APT02269</t>
  </si>
  <si>
    <t>APT02270</t>
  </si>
  <si>
    <t>APT02271</t>
  </si>
  <si>
    <t>APT02272</t>
  </si>
  <si>
    <t>APT02273</t>
  </si>
  <si>
    <t>APT02274</t>
  </si>
  <si>
    <t>APT02275</t>
  </si>
  <si>
    <t>APT02276</t>
  </si>
  <si>
    <t>APT02277</t>
  </si>
  <si>
    <t>APT02278</t>
  </si>
  <si>
    <t>APT02279</t>
  </si>
  <si>
    <t>APT02280</t>
  </si>
  <si>
    <t>APT02281</t>
  </si>
  <si>
    <t>APT02282</t>
  </si>
  <si>
    <t>APT02283</t>
  </si>
  <si>
    <t>APT02284</t>
  </si>
  <si>
    <t>APT02285</t>
  </si>
  <si>
    <t>APT02286</t>
  </si>
  <si>
    <t>APT02287</t>
  </si>
  <si>
    <t>APT02288</t>
  </si>
  <si>
    <t>APT02289</t>
  </si>
  <si>
    <t>APT02290</t>
  </si>
  <si>
    <t>APT02291</t>
  </si>
  <si>
    <t>APT02292</t>
  </si>
  <si>
    <t>APT02293</t>
  </si>
  <si>
    <t>APT02294</t>
  </si>
  <si>
    <t>APT02295</t>
  </si>
  <si>
    <t>APT02296</t>
  </si>
  <si>
    <t>APT02297</t>
  </si>
  <si>
    <t>APT02298</t>
  </si>
  <si>
    <t>APT02299</t>
  </si>
  <si>
    <t>APT02300</t>
  </si>
  <si>
    <t>APT02301</t>
  </si>
  <si>
    <t>APT02302</t>
  </si>
  <si>
    <t>APT02303</t>
  </si>
  <si>
    <t>APT02304</t>
  </si>
  <si>
    <t>APT02305</t>
  </si>
  <si>
    <t>APT02306</t>
  </si>
  <si>
    <t>APT02307</t>
  </si>
  <si>
    <t>APT02308</t>
  </si>
  <si>
    <t>APT02309</t>
  </si>
  <si>
    <t>APT02310</t>
  </si>
  <si>
    <t>APT02311</t>
  </si>
  <si>
    <t>APT02312</t>
  </si>
  <si>
    <t>APT02313</t>
  </si>
  <si>
    <t>APT02314</t>
  </si>
  <si>
    <t>APT02315</t>
  </si>
  <si>
    <t>APT02316</t>
  </si>
  <si>
    <t>APT02317</t>
  </si>
  <si>
    <t>APT02318</t>
  </si>
  <si>
    <t>APT02319</t>
  </si>
  <si>
    <t>APT02320</t>
  </si>
  <si>
    <t>APT02321</t>
  </si>
  <si>
    <t>APT02322</t>
  </si>
  <si>
    <t>APT02323</t>
  </si>
  <si>
    <t>APT02324</t>
  </si>
  <si>
    <t>APT02325</t>
  </si>
  <si>
    <t>APT02326</t>
  </si>
  <si>
    <t>APT02327</t>
  </si>
  <si>
    <t>APT02328</t>
  </si>
  <si>
    <t>APT02329</t>
  </si>
  <si>
    <t>APT02330</t>
  </si>
  <si>
    <t>APT02331</t>
  </si>
  <si>
    <t>APT02332</t>
  </si>
  <si>
    <t>APT02333</t>
  </si>
  <si>
    <t>APT02334</t>
  </si>
  <si>
    <t>APT02335</t>
  </si>
  <si>
    <t>APT02336</t>
  </si>
  <si>
    <t>APT02337</t>
  </si>
  <si>
    <t>APT02338</t>
  </si>
  <si>
    <t>APT02339</t>
  </si>
  <si>
    <t>APT02340</t>
  </si>
  <si>
    <t>APT02341</t>
  </si>
  <si>
    <t>APT02342</t>
  </si>
  <si>
    <t>APT02343</t>
  </si>
  <si>
    <t>APT02344</t>
  </si>
  <si>
    <t>APT02345</t>
  </si>
  <si>
    <t>APT02346</t>
  </si>
  <si>
    <t>APT02347</t>
  </si>
  <si>
    <t>APT02348</t>
  </si>
  <si>
    <t>APT02349</t>
  </si>
  <si>
    <t>APT02350</t>
  </si>
  <si>
    <t>APT02351</t>
  </si>
  <si>
    <t>APT02352</t>
  </si>
  <si>
    <t>APT02353</t>
  </si>
  <si>
    <t>APT02354</t>
  </si>
  <si>
    <t>APT02355</t>
  </si>
  <si>
    <t>APT02356</t>
  </si>
  <si>
    <t>APT02357</t>
  </si>
  <si>
    <t>APT02358</t>
  </si>
  <si>
    <t>APT02359</t>
  </si>
  <si>
    <t>APT02360</t>
  </si>
  <si>
    <t>APT02361</t>
  </si>
  <si>
    <t>APT02362</t>
  </si>
  <si>
    <t>APT02363</t>
  </si>
  <si>
    <t>APT02364</t>
  </si>
  <si>
    <t>APT02365</t>
  </si>
  <si>
    <t>APT02366</t>
  </si>
  <si>
    <t>APT02367</t>
  </si>
  <si>
    <t>APT02368</t>
  </si>
  <si>
    <t>APT02369</t>
  </si>
  <si>
    <t>APT02370</t>
  </si>
  <si>
    <t>APT02371</t>
  </si>
  <si>
    <t>APT02372</t>
  </si>
  <si>
    <t>APT02373</t>
  </si>
  <si>
    <t>APT02374</t>
  </si>
  <si>
    <t>APT02375</t>
  </si>
  <si>
    <t>APT02376</t>
  </si>
  <si>
    <t>APT02377</t>
  </si>
  <si>
    <t>APT02378</t>
  </si>
  <si>
    <t>APT02379</t>
  </si>
  <si>
    <t>APT02380</t>
  </si>
  <si>
    <t>APT02381</t>
  </si>
  <si>
    <t>APT02382</t>
  </si>
  <si>
    <t>APT02383</t>
  </si>
  <si>
    <t>APT02384</t>
  </si>
  <si>
    <t>APT02385</t>
  </si>
  <si>
    <t>APT02386</t>
  </si>
  <si>
    <t>APT02387</t>
  </si>
  <si>
    <t>APT02388</t>
  </si>
  <si>
    <t>APT02389</t>
  </si>
  <si>
    <t>APT02390</t>
  </si>
  <si>
    <t>APT02391</t>
  </si>
  <si>
    <t>APT02392</t>
  </si>
  <si>
    <t>APT02393</t>
  </si>
  <si>
    <t>APT02394</t>
  </si>
  <si>
    <t>APT02395</t>
  </si>
  <si>
    <t>APT02396</t>
  </si>
  <si>
    <t>APT02397</t>
  </si>
  <si>
    <t>APT02398</t>
  </si>
  <si>
    <t>APT02399</t>
  </si>
  <si>
    <t>APT02400</t>
  </si>
  <si>
    <t>APT02401</t>
  </si>
  <si>
    <t>APT02402</t>
  </si>
  <si>
    <t>APT02403</t>
  </si>
  <si>
    <t>APT02404</t>
  </si>
  <si>
    <t>APT02405</t>
  </si>
  <si>
    <t>APT02406</t>
  </si>
  <si>
    <t>APT02407</t>
  </si>
  <si>
    <t>APT02408</t>
  </si>
  <si>
    <t>APT02409</t>
  </si>
  <si>
    <t>APT02410</t>
  </si>
  <si>
    <t>APT02411</t>
  </si>
  <si>
    <t>APT02412</t>
  </si>
  <si>
    <t>APT02413</t>
  </si>
  <si>
    <t>APT02414</t>
  </si>
  <si>
    <t>APT02415</t>
  </si>
  <si>
    <t>APT02416</t>
  </si>
  <si>
    <t>APT02417</t>
  </si>
  <si>
    <t>APT02418</t>
  </si>
  <si>
    <t>APT02419</t>
  </si>
  <si>
    <t>APT02420</t>
  </si>
  <si>
    <t>APT02421</t>
  </si>
  <si>
    <t>APT02422</t>
  </si>
  <si>
    <t>APT02423</t>
  </si>
  <si>
    <t>APT02424</t>
  </si>
  <si>
    <t>APT02425</t>
  </si>
  <si>
    <t>APT02426</t>
  </si>
  <si>
    <t>APT02427</t>
  </si>
  <si>
    <t>APT02428</t>
  </si>
  <si>
    <t>APT02429</t>
  </si>
  <si>
    <t>APT02430</t>
  </si>
  <si>
    <t>APT02431</t>
  </si>
  <si>
    <t>APT02432</t>
  </si>
  <si>
    <t>APT02433</t>
  </si>
  <si>
    <t>APT02434</t>
  </si>
  <si>
    <t>APT02435</t>
  </si>
  <si>
    <t>APT02436</t>
  </si>
  <si>
    <t>APT02437</t>
  </si>
  <si>
    <t>APT02438</t>
  </si>
  <si>
    <t>APT02439</t>
  </si>
  <si>
    <t>APT02440</t>
  </si>
  <si>
    <t>APT02441</t>
  </si>
  <si>
    <t>APT02442</t>
  </si>
  <si>
    <t>APT02443</t>
  </si>
  <si>
    <t>APT02444</t>
  </si>
  <si>
    <t>APT02445</t>
  </si>
  <si>
    <t>APT02446</t>
  </si>
  <si>
    <t>APT02447</t>
  </si>
  <si>
    <t>APT02448</t>
  </si>
  <si>
    <t>APT02449</t>
  </si>
  <si>
    <t>APT02450</t>
  </si>
  <si>
    <t>APT02451</t>
  </si>
  <si>
    <t>APT02452</t>
  </si>
  <si>
    <t>APT02453</t>
  </si>
  <si>
    <t>APT02454</t>
  </si>
  <si>
    <t>APT02455</t>
  </si>
  <si>
    <t>APT02456</t>
  </si>
  <si>
    <t>APT02457</t>
  </si>
  <si>
    <t>APT02458</t>
  </si>
  <si>
    <t>APT02459</t>
  </si>
  <si>
    <t>APT02460</t>
  </si>
  <si>
    <t>APT02461</t>
  </si>
  <si>
    <t>APT02462</t>
  </si>
  <si>
    <t>APT02463</t>
  </si>
  <si>
    <t>APT02464</t>
  </si>
  <si>
    <t>APT02465</t>
  </si>
  <si>
    <t>APT02466</t>
  </si>
  <si>
    <t>APT02467</t>
  </si>
  <si>
    <t>APT02468</t>
  </si>
  <si>
    <t>APT02469</t>
  </si>
  <si>
    <t>APT02470</t>
  </si>
  <si>
    <t>APT02471</t>
  </si>
  <si>
    <t>APT02472</t>
  </si>
  <si>
    <t>APT02473</t>
  </si>
  <si>
    <t>APT02474</t>
  </si>
  <si>
    <t>APT02475</t>
  </si>
  <si>
    <t>APT02476</t>
  </si>
  <si>
    <t>APT02477</t>
  </si>
  <si>
    <t>APT02478</t>
  </si>
  <si>
    <t>APT02479</t>
  </si>
  <si>
    <t>APT02480</t>
  </si>
  <si>
    <t>APT02481</t>
  </si>
  <si>
    <t>APT02482</t>
  </si>
  <si>
    <t>APT02483</t>
  </si>
  <si>
    <t>APT02484</t>
  </si>
  <si>
    <t>APT02485</t>
  </si>
  <si>
    <t>APT02486</t>
  </si>
  <si>
    <t>APT02487</t>
  </si>
  <si>
    <t>APT02488</t>
  </si>
  <si>
    <t>APT02489</t>
  </si>
  <si>
    <t>APT02490</t>
  </si>
  <si>
    <t>APT02491</t>
  </si>
  <si>
    <t>APT02492</t>
  </si>
  <si>
    <t>APT02493</t>
  </si>
  <si>
    <t>APT02494</t>
  </si>
  <si>
    <t>APT02495</t>
  </si>
  <si>
    <t>APT02496</t>
  </si>
  <si>
    <t>APT02497</t>
  </si>
  <si>
    <t>APT02498</t>
  </si>
  <si>
    <t>APT02499</t>
  </si>
  <si>
    <t>APT02500</t>
  </si>
  <si>
    <t>APT02501</t>
  </si>
  <si>
    <t>APT02502</t>
  </si>
  <si>
    <t>APT02503</t>
  </si>
  <si>
    <t>APT02504</t>
  </si>
  <si>
    <t>APT02505</t>
  </si>
  <si>
    <t>APT02506</t>
  </si>
  <si>
    <t>APT02507</t>
  </si>
  <si>
    <t>APT02508</t>
  </si>
  <si>
    <t>APT02509</t>
  </si>
  <si>
    <t>APT02510</t>
  </si>
  <si>
    <t>APT02511</t>
  </si>
  <si>
    <t>APT02512</t>
  </si>
  <si>
    <t>APT02513</t>
  </si>
  <si>
    <t>APT02514</t>
  </si>
  <si>
    <t>APT02515</t>
  </si>
  <si>
    <t>APT02516</t>
  </si>
  <si>
    <t>APT02517</t>
  </si>
  <si>
    <t>APT02518</t>
  </si>
  <si>
    <t>APT02519</t>
  </si>
  <si>
    <t>APT02520</t>
  </si>
  <si>
    <t>APT02521</t>
  </si>
  <si>
    <t>APT02522</t>
  </si>
  <si>
    <t>APT02523</t>
  </si>
  <si>
    <t>APT02524</t>
  </si>
  <si>
    <t>APT02525</t>
  </si>
  <si>
    <t>APT02526</t>
  </si>
  <si>
    <t>APT02527</t>
  </si>
  <si>
    <t>APT02528</t>
  </si>
  <si>
    <t>APT02529</t>
  </si>
  <si>
    <t>APT02530</t>
  </si>
  <si>
    <t>APT02531</t>
  </si>
  <si>
    <t>APT02532</t>
  </si>
  <si>
    <t>APT02533</t>
  </si>
  <si>
    <t>APT02534</t>
  </si>
  <si>
    <t>APT02535</t>
  </si>
  <si>
    <t>APT02536</t>
  </si>
  <si>
    <t>APT02537</t>
  </si>
  <si>
    <t>APT02538</t>
  </si>
  <si>
    <t>APT02539</t>
  </si>
  <si>
    <t>APT02540</t>
  </si>
  <si>
    <t>APT02541</t>
  </si>
  <si>
    <t>APT02542</t>
  </si>
  <si>
    <t>APT02543</t>
  </si>
  <si>
    <t>APT02544</t>
  </si>
  <si>
    <t>APT02545</t>
  </si>
  <si>
    <t>APT02546</t>
  </si>
  <si>
    <t>APT02547</t>
  </si>
  <si>
    <t>APT02548</t>
  </si>
  <si>
    <t>APT02549</t>
  </si>
  <si>
    <t>APT02550</t>
  </si>
  <si>
    <t>APT02551</t>
  </si>
  <si>
    <t>APT02552</t>
  </si>
  <si>
    <t>APT02553</t>
  </si>
  <si>
    <t>APT02554</t>
  </si>
  <si>
    <t>APT02555</t>
  </si>
  <si>
    <t>APT02556</t>
  </si>
  <si>
    <t>APT02557</t>
  </si>
  <si>
    <t>APT02558</t>
  </si>
  <si>
    <t>APT02559</t>
  </si>
  <si>
    <t>APT02560</t>
  </si>
  <si>
    <t>APT02561</t>
  </si>
  <si>
    <t>APT02562</t>
  </si>
  <si>
    <t>APT02563</t>
  </si>
  <si>
    <t>APT02564</t>
  </si>
  <si>
    <t>APT02565</t>
  </si>
  <si>
    <t>APT02566</t>
  </si>
  <si>
    <t>APT02567</t>
  </si>
  <si>
    <t>APT02568</t>
  </si>
  <si>
    <t>APT02569</t>
  </si>
  <si>
    <t>APT02570</t>
  </si>
  <si>
    <t>APT02571</t>
  </si>
  <si>
    <t>APT02572</t>
  </si>
  <si>
    <t>APT02573</t>
  </si>
  <si>
    <t>APT02574</t>
  </si>
  <si>
    <t>APT02575</t>
  </si>
  <si>
    <t>APT02576</t>
  </si>
  <si>
    <t>APT02577</t>
  </si>
  <si>
    <t>APT02578</t>
  </si>
  <si>
    <t>APT02579</t>
  </si>
  <si>
    <t>APT02580</t>
  </si>
  <si>
    <t>APT02581</t>
  </si>
  <si>
    <t>APT02582</t>
  </si>
  <si>
    <t>APT02583</t>
  </si>
  <si>
    <t>APT02584</t>
  </si>
  <si>
    <t>APT02585</t>
  </si>
  <si>
    <t>APT02586</t>
  </si>
  <si>
    <t>APT02587</t>
  </si>
  <si>
    <t>APT02588</t>
  </si>
  <si>
    <t>APT02589</t>
  </si>
  <si>
    <t>APT02590</t>
  </si>
  <si>
    <t>APT02591</t>
  </si>
  <si>
    <t>APT02592</t>
  </si>
  <si>
    <t>APT02593</t>
  </si>
  <si>
    <t>APT02594</t>
  </si>
  <si>
    <t>APT02595</t>
  </si>
  <si>
    <t>APT02596</t>
  </si>
  <si>
    <t>APT02597</t>
  </si>
  <si>
    <t>APT02598</t>
  </si>
  <si>
    <t>APT02599</t>
  </si>
  <si>
    <t>APT02600</t>
  </si>
  <si>
    <t>APT02601</t>
  </si>
  <si>
    <t>APT02602</t>
  </si>
  <si>
    <t>APT02603</t>
  </si>
  <si>
    <t>APT02604</t>
  </si>
  <si>
    <t>APT02605</t>
  </si>
  <si>
    <t>APT02606</t>
  </si>
  <si>
    <t>APT02607</t>
  </si>
  <si>
    <t>APT02608</t>
  </si>
  <si>
    <t>APT02609</t>
  </si>
  <si>
    <t>APT02610</t>
  </si>
  <si>
    <t>APT02611</t>
  </si>
  <si>
    <t>APT02612</t>
  </si>
  <si>
    <t>APT02613</t>
  </si>
  <si>
    <t>APT02614</t>
  </si>
  <si>
    <t>APT02615</t>
  </si>
  <si>
    <t>APT02616</t>
  </si>
  <si>
    <t>APT02617</t>
  </si>
  <si>
    <t>APT02618</t>
  </si>
  <si>
    <t>APT02619</t>
  </si>
  <si>
    <t>APT02620</t>
  </si>
  <si>
    <t>APT02621</t>
  </si>
  <si>
    <t>APT02622</t>
  </si>
  <si>
    <t>APT02623</t>
  </si>
  <si>
    <t>APT02624</t>
  </si>
  <si>
    <t>APT02625</t>
  </si>
  <si>
    <t>APT02626</t>
  </si>
  <si>
    <t>APT02627</t>
  </si>
  <si>
    <t>APT02628</t>
  </si>
  <si>
    <t>APT02629</t>
  </si>
  <si>
    <t>APT02630</t>
  </si>
  <si>
    <t>APT02631</t>
  </si>
  <si>
    <t>APT02632</t>
  </si>
  <si>
    <t>APT02633</t>
  </si>
  <si>
    <t>APT02634</t>
  </si>
  <si>
    <t>APT02635</t>
  </si>
  <si>
    <t>APT02636</t>
  </si>
  <si>
    <t>APT02637</t>
  </si>
  <si>
    <t>APT02638</t>
  </si>
  <si>
    <t>APT02639</t>
  </si>
  <si>
    <t>APT02640</t>
  </si>
  <si>
    <t>APT02641</t>
  </si>
  <si>
    <t>APT02642</t>
  </si>
  <si>
    <t>APT02643</t>
  </si>
  <si>
    <t>APT02644</t>
  </si>
  <si>
    <t>APT02645</t>
  </si>
  <si>
    <t>APT02646</t>
  </si>
  <si>
    <t>APT02647</t>
  </si>
  <si>
    <t>APT02648</t>
  </si>
  <si>
    <t>APT02649</t>
  </si>
  <si>
    <t>APT02650</t>
  </si>
  <si>
    <t>APT02651</t>
  </si>
  <si>
    <t>APT02652</t>
  </si>
  <si>
    <t>APT02653</t>
  </si>
  <si>
    <t>APT02654</t>
  </si>
  <si>
    <t>APT02655</t>
  </si>
  <si>
    <t>APT02656</t>
  </si>
  <si>
    <t>APT02657</t>
  </si>
  <si>
    <t>APT02658</t>
  </si>
  <si>
    <t>APT02659</t>
  </si>
  <si>
    <t>APT02660</t>
  </si>
  <si>
    <t>APT02661</t>
  </si>
  <si>
    <t>APT02662</t>
  </si>
  <si>
    <t>APT02663</t>
  </si>
  <si>
    <t>APT02664</t>
  </si>
  <si>
    <t>APT02665</t>
  </si>
  <si>
    <t>APT02666</t>
  </si>
  <si>
    <t>APT02667</t>
  </si>
  <si>
    <t>APT02668</t>
  </si>
  <si>
    <t>APT02669</t>
  </si>
  <si>
    <t>APT02670</t>
  </si>
  <si>
    <t>APT02671</t>
  </si>
  <si>
    <t>APT02672</t>
  </si>
  <si>
    <t>APT02673</t>
  </si>
  <si>
    <t>APT02674</t>
  </si>
  <si>
    <t>APT02675</t>
  </si>
  <si>
    <t>APT02676</t>
  </si>
  <si>
    <t>APT02677</t>
  </si>
  <si>
    <t>APT02678</t>
  </si>
  <si>
    <t>APT02679</t>
  </si>
  <si>
    <t>APT02680</t>
  </si>
  <si>
    <t>APT02681</t>
  </si>
  <si>
    <t>APT02682</t>
  </si>
  <si>
    <t>APT02683</t>
  </si>
  <si>
    <t>APT02684</t>
  </si>
  <si>
    <t>APT02685</t>
  </si>
  <si>
    <t>APT02686</t>
  </si>
  <si>
    <t>APT02687</t>
  </si>
  <si>
    <t>APT02688</t>
  </si>
  <si>
    <t>APT02689</t>
  </si>
  <si>
    <t>APT02690</t>
  </si>
  <si>
    <t>APT02691</t>
  </si>
  <si>
    <t>APT02692</t>
  </si>
  <si>
    <t>APT02693</t>
  </si>
  <si>
    <t>APT02694</t>
  </si>
  <si>
    <t>APT02695</t>
  </si>
  <si>
    <t>APT02696</t>
  </si>
  <si>
    <t>APT02697</t>
  </si>
  <si>
    <t>APT02698</t>
  </si>
  <si>
    <t>APT02699</t>
  </si>
  <si>
    <t>APT02700</t>
  </si>
  <si>
    <t>APT02701</t>
  </si>
  <si>
    <t>APT02702</t>
  </si>
  <si>
    <t>APT02703</t>
  </si>
  <si>
    <t>APT02704</t>
  </si>
  <si>
    <t>APT02705</t>
  </si>
  <si>
    <t>APT02706</t>
  </si>
  <si>
    <t>APT02707</t>
  </si>
  <si>
    <t>APT02708</t>
  </si>
  <si>
    <t>APT02709</t>
  </si>
  <si>
    <t>APT02710</t>
  </si>
  <si>
    <t>APT02711</t>
  </si>
  <si>
    <t>APT02712</t>
  </si>
  <si>
    <t>APT02713</t>
  </si>
  <si>
    <t>APT02714</t>
  </si>
  <si>
    <t>APT02715</t>
  </si>
  <si>
    <t>APT02716</t>
  </si>
  <si>
    <t>APT02717</t>
  </si>
  <si>
    <t>APT02718</t>
  </si>
  <si>
    <t>APT02719</t>
  </si>
  <si>
    <t>APT02720</t>
  </si>
  <si>
    <t>APT02721</t>
  </si>
  <si>
    <t>APT02722</t>
  </si>
  <si>
    <t>APT02723</t>
  </si>
  <si>
    <t>APT02724</t>
  </si>
  <si>
    <t>APT02725</t>
  </si>
  <si>
    <t>APT02726</t>
  </si>
  <si>
    <t>APT02727</t>
  </si>
  <si>
    <t>APT02728</t>
  </si>
  <si>
    <t>APT02729</t>
  </si>
  <si>
    <t>APT02730</t>
  </si>
  <si>
    <t>APT02731</t>
  </si>
  <si>
    <t>APT02732</t>
  </si>
  <si>
    <t>APT02733</t>
  </si>
  <si>
    <t>APT02734</t>
  </si>
  <si>
    <t>APT02735</t>
  </si>
  <si>
    <t>APT02736</t>
  </si>
  <si>
    <t>APT02737</t>
  </si>
  <si>
    <t>APT02738</t>
  </si>
  <si>
    <t>APT02739</t>
  </si>
  <si>
    <t>APT02740</t>
  </si>
  <si>
    <t>APT02741</t>
  </si>
  <si>
    <t>APT02742</t>
  </si>
  <si>
    <t>APT02743</t>
  </si>
  <si>
    <t>APT02744</t>
  </si>
  <si>
    <t>APT02745</t>
  </si>
  <si>
    <t>APT02746</t>
  </si>
  <si>
    <t>APT02747</t>
  </si>
  <si>
    <t>APT02748</t>
  </si>
  <si>
    <t>APT02749</t>
  </si>
  <si>
    <t>APT02750</t>
  </si>
  <si>
    <t>APT02751</t>
  </si>
  <si>
    <t>APT02752</t>
  </si>
  <si>
    <t>APT02753</t>
  </si>
  <si>
    <t>APT02754</t>
  </si>
  <si>
    <t>APT02755</t>
  </si>
  <si>
    <t>APT02756</t>
  </si>
  <si>
    <t>APT02757</t>
  </si>
  <si>
    <t>APT02758</t>
  </si>
  <si>
    <t>APT02759</t>
  </si>
  <si>
    <t>APT02760</t>
  </si>
  <si>
    <t>APT02761</t>
  </si>
  <si>
    <t>APT02762</t>
  </si>
  <si>
    <t>APT02763</t>
  </si>
  <si>
    <t>APT02764</t>
  </si>
  <si>
    <t>APT02765</t>
  </si>
  <si>
    <t>APT02766</t>
  </si>
  <si>
    <t>APT02767</t>
  </si>
  <si>
    <t>APT02768</t>
  </si>
  <si>
    <t>APT02769</t>
  </si>
  <si>
    <t>APT02770</t>
  </si>
  <si>
    <t>APT02771</t>
  </si>
  <si>
    <t>APT02772</t>
  </si>
  <si>
    <t>APT02773</t>
  </si>
  <si>
    <t>APT02774</t>
  </si>
  <si>
    <t>APT02775</t>
  </si>
  <si>
    <t>APT02776</t>
  </si>
  <si>
    <t>APT02777</t>
  </si>
  <si>
    <t>APT02778</t>
  </si>
  <si>
    <t>APT02779</t>
  </si>
  <si>
    <t>APT02780</t>
  </si>
  <si>
    <t>APT02781</t>
  </si>
  <si>
    <t>APT02782</t>
  </si>
  <si>
    <t>APT02783</t>
  </si>
  <si>
    <t>APT02784</t>
  </si>
  <si>
    <t>APT02785</t>
  </si>
  <si>
    <t>APT02786</t>
  </si>
  <si>
    <t>APT02787</t>
  </si>
  <si>
    <t>APT02788</t>
  </si>
  <si>
    <t>APT02789</t>
  </si>
  <si>
    <t>APT02790</t>
  </si>
  <si>
    <t>APT02791</t>
  </si>
  <si>
    <t>APT02792</t>
  </si>
  <si>
    <t>APT02793</t>
  </si>
  <si>
    <t>APT02794</t>
  </si>
  <si>
    <t>APT02795</t>
  </si>
  <si>
    <t>APT02796</t>
  </si>
  <si>
    <t>APT02797</t>
  </si>
  <si>
    <t>APT02798</t>
  </si>
  <si>
    <t>APT02799</t>
  </si>
  <si>
    <t>APT02800</t>
  </si>
  <si>
    <t>APT02801</t>
  </si>
  <si>
    <t>APT02802</t>
  </si>
  <si>
    <t>APT02803</t>
  </si>
  <si>
    <t>APT02804</t>
  </si>
  <si>
    <t>APT02805</t>
  </si>
  <si>
    <t>APT02806</t>
  </si>
  <si>
    <t>APT02807</t>
  </si>
  <si>
    <t>APT02808</t>
  </si>
  <si>
    <t>APT02809</t>
  </si>
  <si>
    <t>APT02810</t>
  </si>
  <si>
    <t>APT02811</t>
  </si>
  <si>
    <t>APT02812</t>
  </si>
  <si>
    <t>APT02813</t>
  </si>
  <si>
    <t>APT02814</t>
  </si>
  <si>
    <t>APT02815</t>
  </si>
  <si>
    <t>APT02816</t>
  </si>
  <si>
    <t>APT02817</t>
  </si>
  <si>
    <t>APT02818</t>
  </si>
  <si>
    <t>APT02819</t>
  </si>
  <si>
    <t>APT02820</t>
  </si>
  <si>
    <t>APT02821</t>
  </si>
  <si>
    <t>APT02822</t>
  </si>
  <si>
    <t>APT02823</t>
  </si>
  <si>
    <t>APT02824</t>
  </si>
  <si>
    <t>APT02825</t>
  </si>
  <si>
    <t>APT02826</t>
  </si>
  <si>
    <t>APT02827</t>
  </si>
  <si>
    <t>APT02828</t>
  </si>
  <si>
    <t>APT02829</t>
  </si>
  <si>
    <t>APT02830</t>
  </si>
  <si>
    <t>APT02831</t>
  </si>
  <si>
    <t>APT02832</t>
  </si>
  <si>
    <t>APT02833</t>
  </si>
  <si>
    <t>APT02834</t>
  </si>
  <si>
    <t>APT02835</t>
  </si>
  <si>
    <t>APT02836</t>
  </si>
  <si>
    <t>APT02837</t>
  </si>
  <si>
    <t>APT02838</t>
  </si>
  <si>
    <t>APT02839</t>
  </si>
  <si>
    <t>APT02840</t>
  </si>
  <si>
    <t>APT02841</t>
  </si>
  <si>
    <t>APT02842</t>
  </si>
  <si>
    <t>APT02843</t>
  </si>
  <si>
    <t>APT02844</t>
  </si>
  <si>
    <t>APT02845</t>
  </si>
  <si>
    <t>APT02846</t>
  </si>
  <si>
    <t>APT02847</t>
  </si>
  <si>
    <t>APT02848</t>
  </si>
  <si>
    <t>APT02849</t>
  </si>
  <si>
    <t>APT02850</t>
  </si>
  <si>
    <t>APT02851</t>
  </si>
  <si>
    <t>APT02852</t>
  </si>
  <si>
    <t>APT02853</t>
  </si>
  <si>
    <t>APT02854</t>
  </si>
  <si>
    <t>APT02855</t>
  </si>
  <si>
    <t>APT02856</t>
  </si>
  <si>
    <t>APT02857</t>
  </si>
  <si>
    <t>APT02858</t>
  </si>
  <si>
    <t>APT02859</t>
  </si>
  <si>
    <t>APT02860</t>
  </si>
  <si>
    <t>APT02861</t>
  </si>
  <si>
    <t>APT02862</t>
  </si>
  <si>
    <t>APT02863</t>
  </si>
  <si>
    <t>APT02864</t>
  </si>
  <si>
    <t>APT02865</t>
  </si>
  <si>
    <t>APT02866</t>
  </si>
  <si>
    <t>APT02867</t>
  </si>
  <si>
    <t>APT02868</t>
  </si>
  <si>
    <t>APT02869</t>
  </si>
  <si>
    <t>APT02870</t>
  </si>
  <si>
    <t>APT02871</t>
  </si>
  <si>
    <t>APT02872</t>
  </si>
  <si>
    <t>APT02873</t>
  </si>
  <si>
    <t>APT02874</t>
  </si>
  <si>
    <t>APT02875</t>
  </si>
  <si>
    <t>APT02876</t>
  </si>
  <si>
    <t>APT02877</t>
  </si>
  <si>
    <t>APT02878</t>
  </si>
  <si>
    <t>APT02879</t>
  </si>
  <si>
    <t>APT02880</t>
  </si>
  <si>
    <t>APT02881</t>
  </si>
  <si>
    <t>APT02882</t>
  </si>
  <si>
    <t>APT02883</t>
  </si>
  <si>
    <t>APT02884</t>
  </si>
  <si>
    <t>APT02885</t>
  </si>
  <si>
    <t>APT02886</t>
  </si>
  <si>
    <t>APT02887</t>
  </si>
  <si>
    <t>APT02888</t>
  </si>
  <si>
    <t>APT02889</t>
  </si>
  <si>
    <t>APT02890</t>
  </si>
  <si>
    <t>APT02891</t>
  </si>
  <si>
    <t>APT02892</t>
  </si>
  <si>
    <t>APT02893</t>
  </si>
  <si>
    <t>APT02894</t>
  </si>
  <si>
    <t>APT02895</t>
  </si>
  <si>
    <t>APT02896</t>
  </si>
  <si>
    <t>APT02897</t>
  </si>
  <si>
    <t>APT02898</t>
  </si>
  <si>
    <t>APT02899</t>
  </si>
  <si>
    <t>APT02900</t>
  </si>
  <si>
    <t>APT02901</t>
  </si>
  <si>
    <t>APT02902</t>
  </si>
  <si>
    <t>APT02903</t>
  </si>
  <si>
    <t>APT02904</t>
  </si>
  <si>
    <t>APT02905</t>
  </si>
  <si>
    <t>APT02906</t>
  </si>
  <si>
    <t>APT02907</t>
  </si>
  <si>
    <t>APT02908</t>
  </si>
  <si>
    <t>APT02909</t>
  </si>
  <si>
    <t>APT02910</t>
  </si>
  <si>
    <t>APT02911</t>
  </si>
  <si>
    <t>APT02912</t>
  </si>
  <si>
    <t>APT02913</t>
  </si>
  <si>
    <t>APT02914</t>
  </si>
  <si>
    <t>APT02915</t>
  </si>
  <si>
    <t>APT02916</t>
  </si>
  <si>
    <t>APT02917</t>
  </si>
  <si>
    <t>APT02918</t>
  </si>
  <si>
    <t>APT02919</t>
  </si>
  <si>
    <t>APT02920</t>
  </si>
  <si>
    <t>APT02921</t>
  </si>
  <si>
    <t>APT02922</t>
  </si>
  <si>
    <t>APT02923</t>
  </si>
  <si>
    <t>APT02924</t>
  </si>
  <si>
    <t>APT02925</t>
  </si>
  <si>
    <t>APT02926</t>
  </si>
  <si>
    <t>APT02927</t>
  </si>
  <si>
    <t>APT02928</t>
  </si>
  <si>
    <t>APT02929</t>
  </si>
  <si>
    <t>APT02930</t>
  </si>
  <si>
    <t>APT02931</t>
  </si>
  <si>
    <t>APT02932</t>
  </si>
  <si>
    <t>APT02933</t>
  </si>
  <si>
    <t>APT02934</t>
  </si>
  <si>
    <t>APT02935</t>
  </si>
  <si>
    <t>APT02936</t>
  </si>
  <si>
    <t>APT02937</t>
  </si>
  <si>
    <t>APT02938</t>
  </si>
  <si>
    <t>APT02939</t>
  </si>
  <si>
    <t>APT02940</t>
  </si>
  <si>
    <t>APT02941</t>
  </si>
  <si>
    <t>APT02942</t>
  </si>
  <si>
    <t>APT02943</t>
  </si>
  <si>
    <t>APT02944</t>
  </si>
  <si>
    <t>APT02945</t>
  </si>
  <si>
    <t>APT02946</t>
  </si>
  <si>
    <t>APT02947</t>
  </si>
  <si>
    <t>APT02948</t>
  </si>
  <si>
    <t>APT02949</t>
  </si>
  <si>
    <t>APT02950</t>
  </si>
  <si>
    <t>APT02951</t>
  </si>
  <si>
    <t>APT02952</t>
  </si>
  <si>
    <t>APT02953</t>
  </si>
  <si>
    <t>APT02954</t>
  </si>
  <si>
    <t>APT02955</t>
  </si>
  <si>
    <t>APT02956</t>
  </si>
  <si>
    <t>APT02957</t>
  </si>
  <si>
    <t>APT02958</t>
  </si>
  <si>
    <t>APT02959</t>
  </si>
  <si>
    <t>APT02960</t>
  </si>
  <si>
    <t>APT02961</t>
  </si>
  <si>
    <t>APT02962</t>
  </si>
  <si>
    <t>APT02963</t>
  </si>
  <si>
    <t>APT02964</t>
  </si>
  <si>
    <t>APT02965</t>
  </si>
  <si>
    <t>APT02966</t>
  </si>
  <si>
    <t>APT02967</t>
  </si>
  <si>
    <t>APT02968</t>
  </si>
  <si>
    <t>APT02969</t>
  </si>
  <si>
    <t>APT02970</t>
  </si>
  <si>
    <t>APT02971</t>
  </si>
  <si>
    <t>APT02972</t>
  </si>
  <si>
    <t>APT02973</t>
  </si>
  <si>
    <t>APT02974</t>
  </si>
  <si>
    <t>APT02975</t>
  </si>
  <si>
    <t>APT02976</t>
  </si>
  <si>
    <t>APT02977</t>
  </si>
  <si>
    <t>APT02978</t>
  </si>
  <si>
    <t>APT02979</t>
  </si>
  <si>
    <t>APT02980</t>
  </si>
  <si>
    <t>APT02981</t>
  </si>
  <si>
    <t>APT02982</t>
  </si>
  <si>
    <t>APT02983</t>
  </si>
  <si>
    <t>APT02984</t>
  </si>
  <si>
    <t>APT02985</t>
  </si>
  <si>
    <t>APT02986</t>
  </si>
  <si>
    <t>APT02987</t>
  </si>
  <si>
    <t>APT02988</t>
  </si>
  <si>
    <t>APT02989</t>
  </si>
  <si>
    <t>APT02990</t>
  </si>
  <si>
    <t>APT02991</t>
  </si>
  <si>
    <t>APT02992</t>
  </si>
  <si>
    <t>APT02993</t>
  </si>
  <si>
    <t>APT02994</t>
  </si>
  <si>
    <t>APT02995</t>
  </si>
  <si>
    <t>APT02996</t>
  </si>
  <si>
    <t>APT02997</t>
  </si>
  <si>
    <t>APT02998</t>
  </si>
  <si>
    <t>APT02999</t>
  </si>
  <si>
    <t>APT03000</t>
  </si>
  <si>
    <t>APT03001</t>
  </si>
  <si>
    <t>APT03002</t>
  </si>
  <si>
    <t>APT03003</t>
  </si>
  <si>
    <t>APT03004</t>
  </si>
  <si>
    <t>APT03005</t>
  </si>
  <si>
    <t>APT03006</t>
  </si>
  <si>
    <t>APT03007</t>
  </si>
  <si>
    <t>APT03008</t>
  </si>
  <si>
    <t>APT03009</t>
  </si>
  <si>
    <t>APT03010</t>
  </si>
  <si>
    <t>APT03011</t>
  </si>
  <si>
    <t>APT03012</t>
  </si>
  <si>
    <t>APT03013</t>
  </si>
  <si>
    <t>APT03014</t>
  </si>
  <si>
    <t>APT03015</t>
  </si>
  <si>
    <t>APT03016</t>
  </si>
  <si>
    <t>APT03017</t>
  </si>
  <si>
    <t>APT03018</t>
  </si>
  <si>
    <t>APT03019</t>
  </si>
  <si>
    <t>APT03020</t>
  </si>
  <si>
    <t>APT03021</t>
  </si>
  <si>
    <t>APT03022</t>
  </si>
  <si>
    <t>APT03023</t>
  </si>
  <si>
    <t>APT03024</t>
  </si>
  <si>
    <t>APT03025</t>
  </si>
  <si>
    <t>APT03026</t>
  </si>
  <si>
    <t>APT03027</t>
  </si>
  <si>
    <t>APT03028</t>
  </si>
  <si>
    <t>APT03029</t>
  </si>
  <si>
    <t>APT03030</t>
  </si>
  <si>
    <t>APT03031</t>
  </si>
  <si>
    <t>APT03032</t>
  </si>
  <si>
    <t>APT03033</t>
  </si>
  <si>
    <t>APT03034</t>
  </si>
  <si>
    <t>APT03035</t>
  </si>
  <si>
    <t>APT03036</t>
  </si>
  <si>
    <t>APT03037</t>
  </si>
  <si>
    <t>APT03038</t>
  </si>
  <si>
    <t>APT03039</t>
  </si>
  <si>
    <t>APT03040</t>
  </si>
  <si>
    <t>APT03041</t>
  </si>
  <si>
    <t>APT03042</t>
  </si>
  <si>
    <t>APT03043</t>
  </si>
  <si>
    <t>APT03044</t>
  </si>
  <si>
    <t>APT03045</t>
  </si>
  <si>
    <t>APT03046</t>
  </si>
  <si>
    <t>APT03047</t>
  </si>
  <si>
    <t>APT03048</t>
  </si>
  <si>
    <t>APT03049</t>
  </si>
  <si>
    <t>APT03050</t>
  </si>
  <si>
    <t>APT03051</t>
  </si>
  <si>
    <t>APT03052</t>
  </si>
  <si>
    <t>APT03053</t>
  </si>
  <si>
    <t>APT03054</t>
  </si>
  <si>
    <t>APT03055</t>
  </si>
  <si>
    <t>APT03056</t>
  </si>
  <si>
    <t>APT03057</t>
  </si>
  <si>
    <t>APT03058</t>
  </si>
  <si>
    <t>APT03059</t>
  </si>
  <si>
    <t>APT03060</t>
  </si>
  <si>
    <t>APT03061</t>
  </si>
  <si>
    <t>APT03062</t>
  </si>
  <si>
    <t>APT03063</t>
  </si>
  <si>
    <t>APT03064</t>
  </si>
  <si>
    <t>APT03065</t>
  </si>
  <si>
    <t>APT03066</t>
  </si>
  <si>
    <t>APT03067</t>
  </si>
  <si>
    <t>APT03068</t>
  </si>
  <si>
    <t>APT03069</t>
  </si>
  <si>
    <t>APT03070</t>
  </si>
  <si>
    <t>APT03071</t>
  </si>
  <si>
    <t>APT03072</t>
  </si>
  <si>
    <t>APT03073</t>
  </si>
  <si>
    <t>APT03074</t>
  </si>
  <si>
    <t>APT03075</t>
  </si>
  <si>
    <t>APT03076</t>
  </si>
  <si>
    <t>APT03077</t>
  </si>
  <si>
    <t>APT03078</t>
  </si>
  <si>
    <t>APT03079</t>
  </si>
  <si>
    <t>APT03080</t>
  </si>
  <si>
    <t>APT03081</t>
  </si>
  <si>
    <t>APT03082</t>
  </si>
  <si>
    <t>APT03083</t>
  </si>
  <si>
    <t>APT03084</t>
  </si>
  <si>
    <t>APT03085</t>
  </si>
  <si>
    <t>APT03086</t>
  </si>
  <si>
    <t>APT03087</t>
  </si>
  <si>
    <t>APT03088</t>
  </si>
  <si>
    <t>APT03089</t>
  </si>
  <si>
    <t>APT03090</t>
  </si>
  <si>
    <t>APT03091</t>
  </si>
  <si>
    <t>APT03092</t>
  </si>
  <si>
    <t>APT03093</t>
  </si>
  <si>
    <t>APT03094</t>
  </si>
  <si>
    <t>APT03095</t>
  </si>
  <si>
    <t>APT03096</t>
  </si>
  <si>
    <t>APT03097</t>
  </si>
  <si>
    <t>APT03098</t>
  </si>
  <si>
    <t>APT03099</t>
  </si>
  <si>
    <t>APT03100</t>
  </si>
  <si>
    <t>APT03101</t>
  </si>
  <si>
    <t>APT03102</t>
  </si>
  <si>
    <t>APT03103</t>
  </si>
  <si>
    <t>APT03104</t>
  </si>
  <si>
    <t>APT03105</t>
  </si>
  <si>
    <t>APT03106</t>
  </si>
  <si>
    <t>APT03107</t>
  </si>
  <si>
    <t>APT03108</t>
  </si>
  <si>
    <t>APT03109</t>
  </si>
  <si>
    <t>APT03110</t>
  </si>
  <si>
    <t>APT03111</t>
  </si>
  <si>
    <t>APT03112</t>
  </si>
  <si>
    <t>APT03113</t>
  </si>
  <si>
    <t>APT03114</t>
  </si>
  <si>
    <t>APT03115</t>
  </si>
  <si>
    <t>APT03116</t>
  </si>
  <si>
    <t>APT03117</t>
  </si>
  <si>
    <t>APT03118</t>
  </si>
  <si>
    <t>APT03119</t>
  </si>
  <si>
    <t>APT03120</t>
  </si>
  <si>
    <t>APT03121</t>
  </si>
  <si>
    <t>APT03122</t>
  </si>
  <si>
    <t>APT03123</t>
  </si>
  <si>
    <t>APT03124</t>
  </si>
  <si>
    <t>APT03125</t>
  </si>
  <si>
    <t>APT03126</t>
  </si>
  <si>
    <t>APT03127</t>
  </si>
  <si>
    <t>APT03128</t>
  </si>
  <si>
    <t>APT03129</t>
  </si>
  <si>
    <t>APT03130</t>
  </si>
  <si>
    <t>APT03131</t>
  </si>
  <si>
    <t>APT03132</t>
  </si>
  <si>
    <t>APT03133</t>
  </si>
  <si>
    <t>APT03134</t>
  </si>
  <si>
    <t>APT03135</t>
  </si>
  <si>
    <t>APT03136</t>
  </si>
  <si>
    <t>APT03137</t>
  </si>
  <si>
    <t>APT03138</t>
  </si>
  <si>
    <t>APT03139</t>
  </si>
  <si>
    <t>APT03140</t>
  </si>
  <si>
    <t>APT03141</t>
  </si>
  <si>
    <t>APT03142</t>
  </si>
  <si>
    <t>APT03143</t>
  </si>
  <si>
    <t>APT03144</t>
  </si>
  <si>
    <t>APT03145</t>
  </si>
  <si>
    <t>APT03146</t>
  </si>
  <si>
    <t>APT03147</t>
  </si>
  <si>
    <t>APT03148</t>
  </si>
  <si>
    <t>APT03149</t>
  </si>
  <si>
    <t>APT03150</t>
  </si>
  <si>
    <t>APT03151</t>
  </si>
  <si>
    <t>APT03152</t>
  </si>
  <si>
    <t>APT03153</t>
  </si>
  <si>
    <t>APT03154</t>
  </si>
  <si>
    <t>APT03155</t>
  </si>
  <si>
    <t>APT03156</t>
  </si>
  <si>
    <t>APT03157</t>
  </si>
  <si>
    <t>APT03158</t>
  </si>
  <si>
    <t>APT03159</t>
  </si>
  <si>
    <t>APT03160</t>
  </si>
  <si>
    <t>APT03161</t>
  </si>
  <si>
    <t>APT03162</t>
  </si>
  <si>
    <t>APT03163</t>
  </si>
  <si>
    <t>APT03164</t>
  </si>
  <si>
    <t>APT03165</t>
  </si>
  <si>
    <t>APT03166</t>
  </si>
  <si>
    <t>APT03167</t>
  </si>
  <si>
    <t>APT03168</t>
  </si>
  <si>
    <t>APT03169</t>
  </si>
  <si>
    <t>APT03170</t>
  </si>
  <si>
    <t>APT03171</t>
  </si>
  <si>
    <t>APT03172</t>
  </si>
  <si>
    <t>APT03173</t>
  </si>
  <si>
    <t>APT03174</t>
  </si>
  <si>
    <t>APT03175</t>
  </si>
  <si>
    <t>APT03176</t>
  </si>
  <si>
    <t>APT03177</t>
  </si>
  <si>
    <t>APT03178</t>
  </si>
  <si>
    <t>APT03179</t>
  </si>
  <si>
    <t>APT03180</t>
  </si>
  <si>
    <t>APT03181</t>
  </si>
  <si>
    <t>APT03182</t>
  </si>
  <si>
    <t>APT03183</t>
  </si>
  <si>
    <t>APT03184</t>
  </si>
  <si>
    <t>APT03185</t>
  </si>
  <si>
    <t>APT03186</t>
  </si>
  <si>
    <t>APT03187</t>
  </si>
  <si>
    <t>APT03188</t>
  </si>
  <si>
    <t>APT03189</t>
  </si>
  <si>
    <t>APT03190</t>
  </si>
  <si>
    <t>APT03191</t>
  </si>
  <si>
    <t>APT03192</t>
  </si>
  <si>
    <t>APT03193</t>
  </si>
  <si>
    <t>APT03194</t>
  </si>
  <si>
    <t>APT03195</t>
  </si>
  <si>
    <t>APT03196</t>
  </si>
  <si>
    <t>APT03197</t>
  </si>
  <si>
    <t>APT03198</t>
  </si>
  <si>
    <t>APT03199</t>
  </si>
  <si>
    <t>APT03200</t>
  </si>
  <si>
    <t>Month</t>
  </si>
  <si>
    <t>Available_Slots</t>
  </si>
  <si>
    <t>Demand</t>
  </si>
  <si>
    <t>Capacity</t>
  </si>
  <si>
    <t>Activity</t>
  </si>
  <si>
    <t>Demand-Capacity Gap</t>
  </si>
  <si>
    <t>Utilisation %</t>
  </si>
  <si>
    <t>DNA Rate</t>
  </si>
  <si>
    <t>Cancellation Rate</t>
  </si>
  <si>
    <t>Avg Waiting Days</t>
  </si>
  <si>
    <t>Closing Backlog</t>
  </si>
  <si>
    <t>Row Labels</t>
  </si>
  <si>
    <t>Grand Total</t>
  </si>
  <si>
    <t>Count of Appointment_ID</t>
  </si>
  <si>
    <t>(All)</t>
  </si>
  <si>
    <t>2026</t>
  </si>
  <si>
    <t>Mar</t>
  </si>
  <si>
    <t>Years (Appointment_Date)</t>
  </si>
  <si>
    <t>Months (Appointment_Date)</t>
  </si>
  <si>
    <t>Column Labels</t>
  </si>
  <si>
    <t>Average of DNA Rate</t>
  </si>
  <si>
    <t>Average of Cancellation Rate</t>
  </si>
  <si>
    <t>Count of Status</t>
  </si>
  <si>
    <t>Cancelled Rate</t>
  </si>
  <si>
    <t>Max of Closing Backlog</t>
  </si>
  <si>
    <t>Average of Utilisation %</t>
  </si>
  <si>
    <t>NHS Appointment Demand &amp; Capacity Dashboard</t>
  </si>
  <si>
    <t>TOTAL DEMAND</t>
  </si>
  <si>
    <t>TOTAL CAPACITY</t>
  </si>
  <si>
    <t>CLOSING BACKLOG</t>
  </si>
  <si>
    <t>AVERAGE UTILISATION</t>
  </si>
  <si>
    <t xml:space="preserve">Demand </t>
  </si>
  <si>
    <t xml:space="preserve">Capacity </t>
  </si>
  <si>
    <t xml:space="preserve">Activity </t>
  </si>
  <si>
    <t>Total Closing Backlog</t>
  </si>
  <si>
    <t>Reporting Period : April 2025 -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</si>
</sst>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Aptos Narrow"/>
      <family val="2"/>
      <scheme val="minor"/>
    </font>
    <font>
      <b/>
      <sz val="11"/>
      <color theme="1"/>
      <name val="Aptos Narrow"/>
      <family val="2"/>
      <scheme val="minor"/>
    </font>
    <font>
      <b/>
      <sz val="24"/>
      <color theme="1"/>
      <name val="Aptos Narrow"/>
      <family val="2"/>
      <scheme val="minor"/>
    </font>
    <font>
      <b/>
      <sz val="20"/>
      <color theme="1"/>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4" tint="0.59999389629810485"/>
        <bgColor indexed="64"/>
      </patternFill>
    </fill>
  </fills>
  <borders count="11">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0" xfId="0" applyNumberFormat="1"/>
    <xf numFmtId="14" fontId="0" fillId="0" borderId="0" xfId="0" applyNumberFormat="1"/>
    <xf numFmtId="0" fontId="0" fillId="2" borderId="2" xfId="0" applyNumberFormat="1" applyFont="1" applyFill="1" applyBorder="1"/>
    <xf numFmtId="0" fontId="0" fillId="0" borderId="2" xfId="0" applyNumberFormat="1" applyFont="1" applyBorder="1"/>
    <xf numFmtId="17" fontId="0" fillId="2" borderId="1" xfId="0" applyNumberFormat="1" applyFont="1" applyFill="1" applyBorder="1"/>
    <xf numFmtId="17" fontId="0" fillId="0" borderId="1" xfId="0" applyNumberFormat="1" applyFont="1" applyBorder="1"/>
    <xf numFmtId="10" fontId="0" fillId="0" borderId="0" xfId="0" applyNumberFormat="1"/>
    <xf numFmtId="0" fontId="1" fillId="0" borderId="0" xfId="0" applyFont="1"/>
    <xf numFmtId="10" fontId="1" fillId="0" borderId="0" xfId="0" applyNumberFormat="1" applyFont="1"/>
    <xf numFmtId="164" fontId="1" fillId="0" borderId="0" xfId="0" applyNumberFormat="1" applyFont="1"/>
    <xf numFmtId="164" fontId="0" fillId="0" borderId="0" xfId="0" applyNumberFormat="1"/>
    <xf numFmtId="0" fontId="0" fillId="0" borderId="0" xfId="0" pivotButton="1"/>
    <xf numFmtId="0" fontId="0" fillId="0" borderId="0" xfId="0" applyAlignment="1">
      <alignment horizontal="left"/>
    </xf>
    <xf numFmtId="17" fontId="0" fillId="0" borderId="0" xfId="0" applyNumberFormat="1" applyAlignment="1">
      <alignment horizontal="left"/>
    </xf>
    <xf numFmtId="0" fontId="0" fillId="3" borderId="0" xfId="0" applyFill="1"/>
    <xf numFmtId="0" fontId="1" fillId="3" borderId="0" xfId="0" applyFont="1" applyFill="1"/>
    <xf numFmtId="10" fontId="1" fillId="3" borderId="0" xfId="0" applyNumberFormat="1" applyFont="1" applyFill="1"/>
    <xf numFmtId="0" fontId="3" fillId="0" borderId="0" xfId="0" applyFont="1"/>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0" xfId="0" applyFont="1" applyFill="1" applyBorder="1" applyAlignment="1">
      <alignment horizontal="center"/>
    </xf>
    <xf numFmtId="0" fontId="3" fillId="3" borderId="7" xfId="0" applyFont="1" applyFill="1" applyBorder="1" applyAlignment="1">
      <alignment horizontal="center"/>
    </xf>
    <xf numFmtId="0" fontId="1" fillId="3" borderId="8" xfId="0" applyFont="1" applyFill="1" applyBorder="1" applyAlignment="1">
      <alignment horizontal="center"/>
    </xf>
    <xf numFmtId="0" fontId="1" fillId="3" borderId="9" xfId="0" applyFont="1" applyFill="1" applyBorder="1" applyAlignment="1">
      <alignment horizontal="center"/>
    </xf>
    <xf numFmtId="0" fontId="1" fillId="3" borderId="10" xfId="0" applyFont="1" applyFill="1" applyBorder="1" applyAlignment="1">
      <alignment horizontal="center"/>
    </xf>
    <xf numFmtId="10" fontId="3" fillId="3" borderId="3" xfId="0" applyNumberFormat="1" applyFont="1" applyFill="1" applyBorder="1" applyAlignment="1">
      <alignment horizontal="center"/>
    </xf>
    <xf numFmtId="0" fontId="2" fillId="0" borderId="0" xfId="0" applyFont="1" applyAlignment="1">
      <alignment horizontal="center"/>
    </xf>
    <xf numFmtId="0" fontId="1" fillId="0" borderId="0" xfId="0" applyFont="1" applyAlignment="1">
      <alignment horizontal="center"/>
    </xf>
  </cellXfs>
  <cellStyles count="1">
    <cellStyle name="Normal" xfId="0" builtinId="0"/>
  </cellStyles>
  <dxfs count="17">
    <dxf>
      <numFmt numFmtId="14" formatCode="0.00%"/>
    </dxf>
    <dxf>
      <numFmt numFmtId="14" formatCode="0.00%"/>
    </dxf>
    <dxf>
      <fill>
        <patternFill>
          <bgColor theme="4" tint="0.59999389629810485"/>
        </patternFill>
      </fill>
    </dxf>
    <dxf>
      <fill>
        <patternFill patternType="solid">
          <bgColor rgb="FF00B0F0"/>
        </patternFill>
      </fill>
    </dxf>
    <dxf>
      <numFmt numFmtId="14" formatCode="0.0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[NHS_Appointment_Demand_Capacity_Analysis.xlsx]Pivot_Tables!PivotTable2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Pivot_Tables!$H$3</c:f>
              <c:strCache>
                <c:ptCount val="1"/>
                <c:pt idx="0">
                  <c:v>Demand </c:v>
                </c:pt>
              </c:strCache>
            </c:strRef>
          </c:tx>
          <c:spPr>
            <a:solidFill>
              <a:schemeClr val="accent1"/>
            </a:solidFill>
            <a:ln>
              <a:noFill/>
            </a:ln>
            <a:effectLst/>
          </c:spPr>
          <c:invertIfNegative val="0"/>
          <c:cat>
            <c:strRef>
              <c:f>Pivot_Tables!$G$4:$G$9</c:f>
              <c:strCache>
                <c:ptCount val="5"/>
                <c:pt idx="0">
                  <c:v>Cardiology</c:v>
                </c:pt>
                <c:pt idx="1">
                  <c:v>Dermatology</c:v>
                </c:pt>
                <c:pt idx="2">
                  <c:v>Gastroenterology</c:v>
                </c:pt>
                <c:pt idx="3">
                  <c:v>Neurology</c:v>
                </c:pt>
                <c:pt idx="4">
                  <c:v>Orthopaedics</c:v>
                </c:pt>
              </c:strCache>
            </c:strRef>
          </c:cat>
          <c:val>
            <c:numRef>
              <c:f>Pivot_Tables!$H$4:$H$9</c:f>
              <c:numCache>
                <c:formatCode>General</c:formatCode>
                <c:ptCount val="5"/>
                <c:pt idx="0">
                  <c:v>632</c:v>
                </c:pt>
                <c:pt idx="1">
                  <c:v>536</c:v>
                </c:pt>
                <c:pt idx="2">
                  <c:v>567</c:v>
                </c:pt>
                <c:pt idx="3">
                  <c:v>453</c:v>
                </c:pt>
                <c:pt idx="4">
                  <c:v>696</c:v>
                </c:pt>
              </c:numCache>
            </c:numRef>
          </c:val>
          <c:extLst>
            <c:ext xmlns:c16="http://schemas.microsoft.com/office/drawing/2014/chart" uri="{C3380CC4-5D6E-409C-BE32-E72D297353CC}">
              <c16:uniqueId val="{00000000-1A4E-442F-B250-6AD0EEB49F43}"/>
            </c:ext>
          </c:extLst>
        </c:ser>
        <c:ser>
          <c:idx val="1"/>
          <c:order val="1"/>
          <c:tx>
            <c:strRef>
              <c:f>Pivot_Tables!$I$3</c:f>
              <c:strCache>
                <c:ptCount val="1"/>
                <c:pt idx="0">
                  <c:v>Capacity </c:v>
                </c:pt>
              </c:strCache>
            </c:strRef>
          </c:tx>
          <c:spPr>
            <a:solidFill>
              <a:schemeClr val="accent2"/>
            </a:solidFill>
            <a:ln>
              <a:noFill/>
            </a:ln>
            <a:effectLst/>
          </c:spPr>
          <c:invertIfNegative val="0"/>
          <c:cat>
            <c:strRef>
              <c:f>Pivot_Tables!$G$4:$G$9</c:f>
              <c:strCache>
                <c:ptCount val="5"/>
                <c:pt idx="0">
                  <c:v>Cardiology</c:v>
                </c:pt>
                <c:pt idx="1">
                  <c:v>Dermatology</c:v>
                </c:pt>
                <c:pt idx="2">
                  <c:v>Gastroenterology</c:v>
                </c:pt>
                <c:pt idx="3">
                  <c:v>Neurology</c:v>
                </c:pt>
                <c:pt idx="4">
                  <c:v>Orthopaedics</c:v>
                </c:pt>
              </c:strCache>
            </c:strRef>
          </c:cat>
          <c:val>
            <c:numRef>
              <c:f>Pivot_Tables!$I$4:$I$9</c:f>
              <c:numCache>
                <c:formatCode>General</c:formatCode>
                <c:ptCount val="5"/>
                <c:pt idx="0">
                  <c:v>558</c:v>
                </c:pt>
                <c:pt idx="1">
                  <c:v>529</c:v>
                </c:pt>
                <c:pt idx="2">
                  <c:v>441</c:v>
                </c:pt>
                <c:pt idx="3">
                  <c:v>416</c:v>
                </c:pt>
                <c:pt idx="4">
                  <c:v>525</c:v>
                </c:pt>
              </c:numCache>
            </c:numRef>
          </c:val>
          <c:extLst>
            <c:ext xmlns:c16="http://schemas.microsoft.com/office/drawing/2014/chart" uri="{C3380CC4-5D6E-409C-BE32-E72D297353CC}">
              <c16:uniqueId val="{00000001-1A4E-442F-B250-6AD0EEB49F43}"/>
            </c:ext>
          </c:extLst>
        </c:ser>
        <c:ser>
          <c:idx val="2"/>
          <c:order val="2"/>
          <c:tx>
            <c:strRef>
              <c:f>Pivot_Tables!$J$3</c:f>
              <c:strCache>
                <c:ptCount val="1"/>
                <c:pt idx="0">
                  <c:v>Activity </c:v>
                </c:pt>
              </c:strCache>
            </c:strRef>
          </c:tx>
          <c:spPr>
            <a:solidFill>
              <a:schemeClr val="accent3"/>
            </a:solidFill>
            <a:ln>
              <a:noFill/>
            </a:ln>
            <a:effectLst/>
          </c:spPr>
          <c:invertIfNegative val="0"/>
          <c:cat>
            <c:strRef>
              <c:f>Pivot_Tables!$G$4:$G$9</c:f>
              <c:strCache>
                <c:ptCount val="5"/>
                <c:pt idx="0">
                  <c:v>Cardiology</c:v>
                </c:pt>
                <c:pt idx="1">
                  <c:v>Dermatology</c:v>
                </c:pt>
                <c:pt idx="2">
                  <c:v>Gastroenterology</c:v>
                </c:pt>
                <c:pt idx="3">
                  <c:v>Neurology</c:v>
                </c:pt>
                <c:pt idx="4">
                  <c:v>Orthopaedics</c:v>
                </c:pt>
              </c:strCache>
            </c:strRef>
          </c:cat>
          <c:val>
            <c:numRef>
              <c:f>Pivot_Tables!$J$4:$J$9</c:f>
              <c:numCache>
                <c:formatCode>General</c:formatCode>
                <c:ptCount val="5"/>
                <c:pt idx="0">
                  <c:v>494</c:v>
                </c:pt>
                <c:pt idx="1">
                  <c:v>422</c:v>
                </c:pt>
                <c:pt idx="2">
                  <c:v>432</c:v>
                </c:pt>
                <c:pt idx="3">
                  <c:v>354</c:v>
                </c:pt>
                <c:pt idx="4">
                  <c:v>546</c:v>
                </c:pt>
              </c:numCache>
            </c:numRef>
          </c:val>
          <c:extLst>
            <c:ext xmlns:c16="http://schemas.microsoft.com/office/drawing/2014/chart" uri="{C3380CC4-5D6E-409C-BE32-E72D297353CC}">
              <c16:uniqueId val="{00000002-1A4E-442F-B250-6AD0EEB49F43}"/>
            </c:ext>
          </c:extLst>
        </c:ser>
        <c:dLbls>
          <c:showLegendKey val="0"/>
          <c:showVal val="0"/>
          <c:showCatName val="0"/>
          <c:showSerName val="0"/>
          <c:showPercent val="0"/>
          <c:showBubbleSize val="0"/>
        </c:dLbls>
        <c:gapWidth val="219"/>
        <c:overlap val="-27"/>
        <c:axId val="275141631"/>
        <c:axId val="275139711"/>
      </c:barChart>
      <c:catAx>
        <c:axId val="27514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39711"/>
        <c:crosses val="autoZero"/>
        <c:auto val="1"/>
        <c:lblAlgn val="ctr"/>
        <c:lblOffset val="100"/>
        <c:noMultiLvlLbl val="0"/>
      </c:catAx>
      <c:valAx>
        <c:axId val="275139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4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[NHS_Appointment_Demand_Capacity_Analysis.xlsx]Pivot_Tables!PivotTable3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914260717410325E-2"/>
          <c:y val="0.2572178477690289"/>
          <c:w val="0.6108344269466317"/>
          <c:h val="0.65890128317293672"/>
        </c:manualLayout>
      </c:layout>
      <c:lineChart>
        <c:grouping val="standard"/>
        <c:varyColors val="0"/>
        <c:ser>
          <c:idx val="0"/>
          <c:order val="0"/>
          <c:tx>
            <c:strRef>
              <c:f>Pivot_Tables!$D$39</c:f>
              <c:strCache>
                <c:ptCount val="1"/>
                <c:pt idx="0">
                  <c:v>Demand </c:v>
                </c:pt>
              </c:strCache>
            </c:strRef>
          </c:tx>
          <c:spPr>
            <a:ln w="28575" cap="rnd">
              <a:solidFill>
                <a:schemeClr val="accent1"/>
              </a:solidFill>
              <a:round/>
            </a:ln>
            <a:effectLst/>
          </c:spPr>
          <c:marker>
            <c:symbol val="none"/>
          </c:marker>
          <c:cat>
            <c:strRef>
              <c:f>Pivot_Tables!$C$40:$C$52</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Pivot_Tables!$D$40:$D$52</c:f>
              <c:numCache>
                <c:formatCode>General</c:formatCode>
                <c:ptCount val="12"/>
                <c:pt idx="0">
                  <c:v>37</c:v>
                </c:pt>
                <c:pt idx="1">
                  <c:v>201</c:v>
                </c:pt>
                <c:pt idx="2">
                  <c:v>263</c:v>
                </c:pt>
                <c:pt idx="3">
                  <c:v>276</c:v>
                </c:pt>
                <c:pt idx="4">
                  <c:v>249</c:v>
                </c:pt>
                <c:pt idx="5">
                  <c:v>280</c:v>
                </c:pt>
                <c:pt idx="6">
                  <c:v>274</c:v>
                </c:pt>
                <c:pt idx="7">
                  <c:v>271</c:v>
                </c:pt>
                <c:pt idx="8">
                  <c:v>267</c:v>
                </c:pt>
                <c:pt idx="9">
                  <c:v>261</c:v>
                </c:pt>
                <c:pt idx="10">
                  <c:v>233</c:v>
                </c:pt>
                <c:pt idx="11">
                  <c:v>272</c:v>
                </c:pt>
              </c:numCache>
            </c:numRef>
          </c:val>
          <c:smooth val="0"/>
          <c:extLst>
            <c:ext xmlns:c16="http://schemas.microsoft.com/office/drawing/2014/chart" uri="{C3380CC4-5D6E-409C-BE32-E72D297353CC}">
              <c16:uniqueId val="{00000000-031E-49BF-80DB-EAF5ECF1338A}"/>
            </c:ext>
          </c:extLst>
        </c:ser>
        <c:ser>
          <c:idx val="1"/>
          <c:order val="1"/>
          <c:tx>
            <c:strRef>
              <c:f>Pivot_Tables!$E$39</c:f>
              <c:strCache>
                <c:ptCount val="1"/>
                <c:pt idx="0">
                  <c:v>Capacity </c:v>
                </c:pt>
              </c:strCache>
            </c:strRef>
          </c:tx>
          <c:spPr>
            <a:ln w="28575" cap="rnd">
              <a:solidFill>
                <a:schemeClr val="accent2"/>
              </a:solidFill>
              <a:round/>
            </a:ln>
            <a:effectLst/>
          </c:spPr>
          <c:marker>
            <c:symbol val="none"/>
          </c:marker>
          <c:cat>
            <c:strRef>
              <c:f>Pivot_Tables!$C$40:$C$52</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Pivot_Tables!$E$40:$E$52</c:f>
              <c:numCache>
                <c:formatCode>General</c:formatCode>
                <c:ptCount val="12"/>
                <c:pt idx="0">
                  <c:v>50</c:v>
                </c:pt>
                <c:pt idx="1">
                  <c:v>160</c:v>
                </c:pt>
                <c:pt idx="2">
                  <c:v>213</c:v>
                </c:pt>
                <c:pt idx="3">
                  <c:v>240</c:v>
                </c:pt>
                <c:pt idx="4">
                  <c:v>218</c:v>
                </c:pt>
                <c:pt idx="5">
                  <c:v>234</c:v>
                </c:pt>
                <c:pt idx="6">
                  <c:v>237</c:v>
                </c:pt>
                <c:pt idx="7">
                  <c:v>233</c:v>
                </c:pt>
                <c:pt idx="8">
                  <c:v>222</c:v>
                </c:pt>
                <c:pt idx="9">
                  <c:v>231</c:v>
                </c:pt>
                <c:pt idx="10">
                  <c:v>198</c:v>
                </c:pt>
                <c:pt idx="11">
                  <c:v>233</c:v>
                </c:pt>
              </c:numCache>
            </c:numRef>
          </c:val>
          <c:smooth val="0"/>
          <c:extLst>
            <c:ext xmlns:c16="http://schemas.microsoft.com/office/drawing/2014/chart" uri="{C3380CC4-5D6E-409C-BE32-E72D297353CC}">
              <c16:uniqueId val="{00000001-031E-49BF-80DB-EAF5ECF1338A}"/>
            </c:ext>
          </c:extLst>
        </c:ser>
        <c:dLbls>
          <c:showLegendKey val="0"/>
          <c:showVal val="0"/>
          <c:showCatName val="0"/>
          <c:showSerName val="0"/>
          <c:showPercent val="0"/>
          <c:showBubbleSize val="0"/>
        </c:dLbls>
        <c:smooth val="0"/>
        <c:axId val="275132511"/>
        <c:axId val="275136351"/>
      </c:lineChart>
      <c:catAx>
        <c:axId val="27513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36351"/>
        <c:crosses val="autoZero"/>
        <c:auto val="1"/>
        <c:lblAlgn val="ctr"/>
        <c:lblOffset val="100"/>
        <c:noMultiLvlLbl val="0"/>
      </c:catAx>
      <c:valAx>
        <c:axId val="27513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3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[NHS_Appointment_Demand_Capacity_Analysis.xlsx]Pivot_Tables!PivotTable4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Pivot_Tables!$P$67:$P$68</c:f>
              <c:strCache>
                <c:ptCount val="1"/>
                <c:pt idx="0">
                  <c:v>0-14 days</c:v>
                </c:pt>
              </c:strCache>
            </c:strRef>
          </c:tx>
          <c:spPr>
            <a:solidFill>
              <a:schemeClr val="accent1"/>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Pivot_Tables!$P$69:$P$74</c:f>
              <c:numCache>
                <c:formatCode>0.00%</c:formatCode>
                <c:ptCount val="5"/>
                <c:pt idx="0">
                  <c:v>0.12340425531914893</c:v>
                </c:pt>
                <c:pt idx="1">
                  <c:v>0.11036789297658862</c:v>
                </c:pt>
                <c:pt idx="2">
                  <c:v>0.1492063492063492</c:v>
                </c:pt>
                <c:pt idx="3">
                  <c:v>0.12151394422310757</c:v>
                </c:pt>
                <c:pt idx="4">
                  <c:v>0.14248366013071895</c:v>
                </c:pt>
              </c:numCache>
            </c:numRef>
          </c:val>
          <c:extLst>
            <c:ext xmlns:c16="http://schemas.microsoft.com/office/drawing/2014/chart" uri="{C3380CC4-5D6E-409C-BE32-E72D297353CC}">
              <c16:uniqueId val="{00000000-5477-4511-A692-03AD8DEA2B98}"/>
            </c:ext>
          </c:extLst>
        </c:ser>
        <c:ser>
          <c:idx val="1"/>
          <c:order val="1"/>
          <c:tx>
            <c:strRef>
              <c:f>Pivot_Tables!$Q$67:$Q$68</c:f>
              <c:strCache>
                <c:ptCount val="1"/>
                <c:pt idx="0">
                  <c:v>15-28 days</c:v>
                </c:pt>
              </c:strCache>
            </c:strRef>
          </c:tx>
          <c:spPr>
            <a:solidFill>
              <a:schemeClr val="accent2"/>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Pivot_Tables!$Q$69:$Q$74</c:f>
              <c:numCache>
                <c:formatCode>0.00%</c:formatCode>
                <c:ptCount val="5"/>
                <c:pt idx="0">
                  <c:v>0.24964539007092199</c:v>
                </c:pt>
                <c:pt idx="1">
                  <c:v>0.23411371237458195</c:v>
                </c:pt>
                <c:pt idx="2">
                  <c:v>0.22698412698412698</c:v>
                </c:pt>
                <c:pt idx="3">
                  <c:v>0.25099601593625498</c:v>
                </c:pt>
                <c:pt idx="4">
                  <c:v>0.24444444444444444</c:v>
                </c:pt>
              </c:numCache>
            </c:numRef>
          </c:val>
          <c:extLst>
            <c:ext xmlns:c16="http://schemas.microsoft.com/office/drawing/2014/chart" uri="{C3380CC4-5D6E-409C-BE32-E72D297353CC}">
              <c16:uniqueId val="{00000001-5477-4511-A692-03AD8DEA2B98}"/>
            </c:ext>
          </c:extLst>
        </c:ser>
        <c:ser>
          <c:idx val="2"/>
          <c:order val="2"/>
          <c:tx>
            <c:strRef>
              <c:f>Pivot_Tables!$R$67:$R$68</c:f>
              <c:strCache>
                <c:ptCount val="1"/>
                <c:pt idx="0">
                  <c:v>29-42 days</c:v>
                </c:pt>
              </c:strCache>
            </c:strRef>
          </c:tx>
          <c:spPr>
            <a:solidFill>
              <a:schemeClr val="accent3"/>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Pivot_Tables!$R$69:$R$74</c:f>
              <c:numCache>
                <c:formatCode>0.00%</c:formatCode>
                <c:ptCount val="5"/>
                <c:pt idx="0">
                  <c:v>0.3219858156028369</c:v>
                </c:pt>
                <c:pt idx="1">
                  <c:v>0.32441471571906355</c:v>
                </c:pt>
                <c:pt idx="2">
                  <c:v>0.29523809523809524</c:v>
                </c:pt>
                <c:pt idx="3">
                  <c:v>0.27490039840637448</c:v>
                </c:pt>
                <c:pt idx="4">
                  <c:v>0.31895424836601305</c:v>
                </c:pt>
              </c:numCache>
            </c:numRef>
          </c:val>
          <c:extLst>
            <c:ext xmlns:c16="http://schemas.microsoft.com/office/drawing/2014/chart" uri="{C3380CC4-5D6E-409C-BE32-E72D297353CC}">
              <c16:uniqueId val="{00000002-5477-4511-A692-03AD8DEA2B98}"/>
            </c:ext>
          </c:extLst>
        </c:ser>
        <c:ser>
          <c:idx val="3"/>
          <c:order val="3"/>
          <c:tx>
            <c:strRef>
              <c:f>Pivot_Tables!$S$67:$S$68</c:f>
              <c:strCache>
                <c:ptCount val="1"/>
                <c:pt idx="0">
                  <c:v>43-56 days</c:v>
                </c:pt>
              </c:strCache>
            </c:strRef>
          </c:tx>
          <c:spPr>
            <a:solidFill>
              <a:schemeClr val="accent4"/>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Pivot_Tables!$S$69:$S$74</c:f>
              <c:numCache>
                <c:formatCode>0.00%</c:formatCode>
                <c:ptCount val="5"/>
                <c:pt idx="0">
                  <c:v>0.21702127659574469</c:v>
                </c:pt>
                <c:pt idx="1">
                  <c:v>0.21404682274247491</c:v>
                </c:pt>
                <c:pt idx="2">
                  <c:v>0.22857142857142856</c:v>
                </c:pt>
                <c:pt idx="3">
                  <c:v>0.2151394422310757</c:v>
                </c:pt>
                <c:pt idx="4">
                  <c:v>0.20392156862745098</c:v>
                </c:pt>
              </c:numCache>
            </c:numRef>
          </c:val>
          <c:extLst>
            <c:ext xmlns:c16="http://schemas.microsoft.com/office/drawing/2014/chart" uri="{C3380CC4-5D6E-409C-BE32-E72D297353CC}">
              <c16:uniqueId val="{00000003-5477-4511-A692-03AD8DEA2B98}"/>
            </c:ext>
          </c:extLst>
        </c:ser>
        <c:ser>
          <c:idx val="4"/>
          <c:order val="4"/>
          <c:tx>
            <c:strRef>
              <c:f>Pivot_Tables!$T$67:$T$68</c:f>
              <c:strCache>
                <c:ptCount val="1"/>
                <c:pt idx="0">
                  <c:v>57+ days</c:v>
                </c:pt>
              </c:strCache>
            </c:strRef>
          </c:tx>
          <c:spPr>
            <a:solidFill>
              <a:schemeClr val="accent5"/>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Pivot_Tables!$T$69:$T$74</c:f>
              <c:numCache>
                <c:formatCode>0.00%</c:formatCode>
                <c:ptCount val="5"/>
                <c:pt idx="0">
                  <c:v>8.794326241134752E-2</c:v>
                </c:pt>
                <c:pt idx="1">
                  <c:v>0.11705685618729098</c:v>
                </c:pt>
                <c:pt idx="2">
                  <c:v>0.1</c:v>
                </c:pt>
                <c:pt idx="3">
                  <c:v>0.13745019920318724</c:v>
                </c:pt>
                <c:pt idx="4">
                  <c:v>9.0196078431372548E-2</c:v>
                </c:pt>
              </c:numCache>
            </c:numRef>
          </c:val>
          <c:extLst>
            <c:ext xmlns:c16="http://schemas.microsoft.com/office/drawing/2014/chart" uri="{C3380CC4-5D6E-409C-BE32-E72D297353CC}">
              <c16:uniqueId val="{00000004-5477-4511-A692-03AD8DEA2B98}"/>
            </c:ext>
          </c:extLst>
        </c:ser>
        <c:dLbls>
          <c:showLegendKey val="0"/>
          <c:showVal val="0"/>
          <c:showCatName val="0"/>
          <c:showSerName val="0"/>
          <c:showPercent val="0"/>
          <c:showBubbleSize val="0"/>
        </c:dLbls>
        <c:gapWidth val="150"/>
        <c:overlap val="100"/>
        <c:axId val="274705247"/>
        <c:axId val="274705727"/>
      </c:barChart>
      <c:catAx>
        <c:axId val="27470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705727"/>
        <c:crosses val="autoZero"/>
        <c:auto val="1"/>
        <c:lblAlgn val="ctr"/>
        <c:lblOffset val="100"/>
        <c:noMultiLvlLbl val="0"/>
      </c:catAx>
      <c:valAx>
        <c:axId val="274705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70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[NHS_Appointment_Demand_Capacity_Analysis.xlsx]Pivot_Tables!PivotTable7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Pivot_Tables!$P$125:$P$126</c:f>
              <c:strCache>
                <c:ptCount val="1"/>
                <c:pt idx="0">
                  <c:v>Cardiology</c:v>
                </c:pt>
              </c:strCache>
            </c:strRef>
          </c:tx>
          <c:spPr>
            <a:ln w="28575" cap="rnd">
              <a:solidFill>
                <a:schemeClr val="accent1"/>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Pivot_Tables!$P$127:$P$139</c:f>
              <c:numCache>
                <c:formatCode>General</c:formatCode>
                <c:ptCount val="12"/>
                <c:pt idx="0">
                  <c:v>0</c:v>
                </c:pt>
                <c:pt idx="1">
                  <c:v>6</c:v>
                </c:pt>
                <c:pt idx="2">
                  <c:v>9</c:v>
                </c:pt>
                <c:pt idx="3">
                  <c:v>19</c:v>
                </c:pt>
                <c:pt idx="4">
                  <c:v>27</c:v>
                </c:pt>
                <c:pt idx="5">
                  <c:v>38</c:v>
                </c:pt>
                <c:pt idx="6">
                  <c:v>49</c:v>
                </c:pt>
                <c:pt idx="7">
                  <c:v>52</c:v>
                </c:pt>
                <c:pt idx="8">
                  <c:v>60</c:v>
                </c:pt>
                <c:pt idx="9">
                  <c:v>62</c:v>
                </c:pt>
                <c:pt idx="10">
                  <c:v>71</c:v>
                </c:pt>
                <c:pt idx="11">
                  <c:v>78</c:v>
                </c:pt>
              </c:numCache>
            </c:numRef>
          </c:val>
          <c:smooth val="0"/>
          <c:extLst>
            <c:ext xmlns:c16="http://schemas.microsoft.com/office/drawing/2014/chart" uri="{C3380CC4-5D6E-409C-BE32-E72D297353CC}">
              <c16:uniqueId val="{00000000-78F8-4724-B7AB-4E8B606F434C}"/>
            </c:ext>
          </c:extLst>
        </c:ser>
        <c:ser>
          <c:idx val="1"/>
          <c:order val="1"/>
          <c:tx>
            <c:strRef>
              <c:f>Pivot_Tables!$Q$125:$Q$126</c:f>
              <c:strCache>
                <c:ptCount val="1"/>
                <c:pt idx="0">
                  <c:v>Dermatology</c:v>
                </c:pt>
              </c:strCache>
            </c:strRef>
          </c:tx>
          <c:spPr>
            <a:ln w="28575" cap="rnd">
              <a:solidFill>
                <a:schemeClr val="accent2"/>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Pivot_Tables!$Q$127:$Q$139</c:f>
              <c:numCache>
                <c:formatCode>General</c:formatCode>
                <c:ptCount val="12"/>
                <c:pt idx="0">
                  <c:v>0</c:v>
                </c:pt>
                <c:pt idx="1">
                  <c:v>5</c:v>
                </c:pt>
                <c:pt idx="2">
                  <c:v>12</c:v>
                </c:pt>
                <c:pt idx="3">
                  <c:v>13</c:v>
                </c:pt>
                <c:pt idx="4">
                  <c:v>12</c:v>
                </c:pt>
                <c:pt idx="5">
                  <c:v>10</c:v>
                </c:pt>
                <c:pt idx="6">
                  <c:v>8</c:v>
                </c:pt>
                <c:pt idx="7">
                  <c:v>3</c:v>
                </c:pt>
                <c:pt idx="8">
                  <c:v>4</c:v>
                </c:pt>
                <c:pt idx="9">
                  <c:v>4</c:v>
                </c:pt>
                <c:pt idx="10">
                  <c:v>10</c:v>
                </c:pt>
                <c:pt idx="11">
                  <c:v>11</c:v>
                </c:pt>
              </c:numCache>
            </c:numRef>
          </c:val>
          <c:smooth val="0"/>
          <c:extLst>
            <c:ext xmlns:c16="http://schemas.microsoft.com/office/drawing/2014/chart" uri="{C3380CC4-5D6E-409C-BE32-E72D297353CC}">
              <c16:uniqueId val="{00000000-F12E-4844-BDC6-BD3E4DA9B52D}"/>
            </c:ext>
          </c:extLst>
        </c:ser>
        <c:ser>
          <c:idx val="2"/>
          <c:order val="2"/>
          <c:tx>
            <c:strRef>
              <c:f>Pivot_Tables!$R$125:$R$126</c:f>
              <c:strCache>
                <c:ptCount val="1"/>
                <c:pt idx="0">
                  <c:v>Gastroenterology</c:v>
                </c:pt>
              </c:strCache>
            </c:strRef>
          </c:tx>
          <c:spPr>
            <a:ln w="28575" cap="rnd">
              <a:solidFill>
                <a:schemeClr val="accent3"/>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Pivot_Tables!$R$127:$R$139</c:f>
              <c:numCache>
                <c:formatCode>General</c:formatCode>
                <c:ptCount val="12"/>
                <c:pt idx="0">
                  <c:v>0</c:v>
                </c:pt>
                <c:pt idx="1">
                  <c:v>9</c:v>
                </c:pt>
                <c:pt idx="2">
                  <c:v>23</c:v>
                </c:pt>
                <c:pt idx="3">
                  <c:v>32</c:v>
                </c:pt>
                <c:pt idx="4">
                  <c:v>44</c:v>
                </c:pt>
                <c:pt idx="5">
                  <c:v>56</c:v>
                </c:pt>
                <c:pt idx="6">
                  <c:v>68</c:v>
                </c:pt>
                <c:pt idx="7">
                  <c:v>87</c:v>
                </c:pt>
                <c:pt idx="8">
                  <c:v>100</c:v>
                </c:pt>
                <c:pt idx="9">
                  <c:v>111</c:v>
                </c:pt>
                <c:pt idx="10">
                  <c:v>117</c:v>
                </c:pt>
                <c:pt idx="11">
                  <c:v>127</c:v>
                </c:pt>
              </c:numCache>
            </c:numRef>
          </c:val>
          <c:smooth val="0"/>
          <c:extLst>
            <c:ext xmlns:c16="http://schemas.microsoft.com/office/drawing/2014/chart" uri="{C3380CC4-5D6E-409C-BE32-E72D297353CC}">
              <c16:uniqueId val="{00000001-F12E-4844-BDC6-BD3E4DA9B52D}"/>
            </c:ext>
          </c:extLst>
        </c:ser>
        <c:ser>
          <c:idx val="3"/>
          <c:order val="3"/>
          <c:tx>
            <c:strRef>
              <c:f>Pivot_Tables!$S$125:$S$126</c:f>
              <c:strCache>
                <c:ptCount val="1"/>
                <c:pt idx="0">
                  <c:v>Neurology</c:v>
                </c:pt>
              </c:strCache>
            </c:strRef>
          </c:tx>
          <c:spPr>
            <a:ln w="28575" cap="rnd">
              <a:solidFill>
                <a:schemeClr val="accent4"/>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Pivot_Tables!$S$127:$S$139</c:f>
              <c:numCache>
                <c:formatCode>General</c:formatCode>
                <c:ptCount val="12"/>
                <c:pt idx="0">
                  <c:v>0</c:v>
                </c:pt>
                <c:pt idx="1">
                  <c:v>4</c:v>
                </c:pt>
                <c:pt idx="2">
                  <c:v>5</c:v>
                </c:pt>
                <c:pt idx="3">
                  <c:v>7</c:v>
                </c:pt>
                <c:pt idx="4">
                  <c:v>10</c:v>
                </c:pt>
                <c:pt idx="5">
                  <c:v>23</c:v>
                </c:pt>
                <c:pt idx="6">
                  <c:v>24</c:v>
                </c:pt>
                <c:pt idx="7">
                  <c:v>26</c:v>
                </c:pt>
                <c:pt idx="8">
                  <c:v>35</c:v>
                </c:pt>
                <c:pt idx="9">
                  <c:v>35</c:v>
                </c:pt>
                <c:pt idx="10">
                  <c:v>37</c:v>
                </c:pt>
                <c:pt idx="11">
                  <c:v>41</c:v>
                </c:pt>
              </c:numCache>
            </c:numRef>
          </c:val>
          <c:smooth val="0"/>
          <c:extLst>
            <c:ext xmlns:c16="http://schemas.microsoft.com/office/drawing/2014/chart" uri="{C3380CC4-5D6E-409C-BE32-E72D297353CC}">
              <c16:uniqueId val="{00000002-F12E-4844-BDC6-BD3E4DA9B52D}"/>
            </c:ext>
          </c:extLst>
        </c:ser>
        <c:ser>
          <c:idx val="4"/>
          <c:order val="4"/>
          <c:tx>
            <c:strRef>
              <c:f>Pivot_Tables!$T$125:$T$126</c:f>
              <c:strCache>
                <c:ptCount val="1"/>
                <c:pt idx="0">
                  <c:v>Orthopaedics</c:v>
                </c:pt>
              </c:strCache>
            </c:strRef>
          </c:tx>
          <c:spPr>
            <a:ln w="28575" cap="rnd">
              <a:solidFill>
                <a:schemeClr val="accent5"/>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Pivot_Tables!$T$127:$T$139</c:f>
              <c:numCache>
                <c:formatCode>General</c:formatCode>
                <c:ptCount val="12"/>
                <c:pt idx="0">
                  <c:v>0</c:v>
                </c:pt>
                <c:pt idx="1">
                  <c:v>17</c:v>
                </c:pt>
                <c:pt idx="2">
                  <c:v>42</c:v>
                </c:pt>
                <c:pt idx="3">
                  <c:v>56</c:v>
                </c:pt>
                <c:pt idx="4">
                  <c:v>65</c:v>
                </c:pt>
                <c:pt idx="5">
                  <c:v>77</c:v>
                </c:pt>
                <c:pt idx="6">
                  <c:v>92</c:v>
                </c:pt>
                <c:pt idx="7">
                  <c:v>111</c:v>
                </c:pt>
                <c:pt idx="8">
                  <c:v>125</c:v>
                </c:pt>
                <c:pt idx="9">
                  <c:v>142</c:v>
                </c:pt>
                <c:pt idx="10">
                  <c:v>154</c:v>
                </c:pt>
                <c:pt idx="11">
                  <c:v>171</c:v>
                </c:pt>
              </c:numCache>
            </c:numRef>
          </c:val>
          <c:smooth val="0"/>
          <c:extLst>
            <c:ext xmlns:c16="http://schemas.microsoft.com/office/drawing/2014/chart" uri="{C3380CC4-5D6E-409C-BE32-E72D297353CC}">
              <c16:uniqueId val="{00000003-F12E-4844-BDC6-BD3E4DA9B52D}"/>
            </c:ext>
          </c:extLst>
        </c:ser>
        <c:dLbls>
          <c:showLegendKey val="0"/>
          <c:showVal val="0"/>
          <c:showCatName val="0"/>
          <c:showSerName val="0"/>
          <c:showPercent val="0"/>
          <c:showBubbleSize val="0"/>
        </c:dLbls>
        <c:smooth val="0"/>
        <c:axId val="890870879"/>
        <c:axId val="890861759"/>
      </c:lineChart>
      <c:catAx>
        <c:axId val="89087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61759"/>
        <c:crosses val="autoZero"/>
        <c:auto val="1"/>
        <c:lblAlgn val="ctr"/>
        <c:lblOffset val="100"/>
        <c:noMultiLvlLbl val="0"/>
      </c:catAx>
      <c:valAx>
        <c:axId val="89086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7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[NHS_Appointment_Demand_Capacity_Analysis.xlsx]Pivot_Tables!PivotTable2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Demand,</a:t>
            </a:r>
            <a:r>
              <a:rPr lang="en-US" b="1" baseline="0">
                <a:solidFill>
                  <a:schemeClr val="tx1"/>
                </a:solidFill>
              </a:rPr>
              <a:t> Capacity &amp; Activity by Specialty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Pivot_Tables!$H$3</c:f>
              <c:strCache>
                <c:ptCount val="1"/>
                <c:pt idx="0">
                  <c:v>Demand </c:v>
                </c:pt>
              </c:strCache>
            </c:strRef>
          </c:tx>
          <c:spPr>
            <a:solidFill>
              <a:schemeClr val="tx2"/>
            </a:solidFill>
            <a:ln>
              <a:noFill/>
            </a:ln>
            <a:effectLst/>
          </c:spPr>
          <c:invertIfNegative val="0"/>
          <c:cat>
            <c:strRef>
              <c:f>Pivot_Tables!$G$4:$G$9</c:f>
              <c:strCache>
                <c:ptCount val="5"/>
                <c:pt idx="0">
                  <c:v>Cardiology</c:v>
                </c:pt>
                <c:pt idx="1">
                  <c:v>Dermatology</c:v>
                </c:pt>
                <c:pt idx="2">
                  <c:v>Gastroenterology</c:v>
                </c:pt>
                <c:pt idx="3">
                  <c:v>Neurology</c:v>
                </c:pt>
                <c:pt idx="4">
                  <c:v>Orthopaedics</c:v>
                </c:pt>
              </c:strCache>
            </c:strRef>
          </c:cat>
          <c:val>
            <c:numRef>
              <c:f>Pivot_Tables!$H$4:$H$9</c:f>
              <c:numCache>
                <c:formatCode>General</c:formatCode>
                <c:ptCount val="5"/>
                <c:pt idx="0">
                  <c:v>632</c:v>
                </c:pt>
                <c:pt idx="1">
                  <c:v>536</c:v>
                </c:pt>
                <c:pt idx="2">
                  <c:v>567</c:v>
                </c:pt>
                <c:pt idx="3">
                  <c:v>453</c:v>
                </c:pt>
                <c:pt idx="4">
                  <c:v>696</c:v>
                </c:pt>
              </c:numCache>
            </c:numRef>
          </c:val>
          <c:extLst>
            <c:ext xmlns:c16="http://schemas.microsoft.com/office/drawing/2014/chart" uri="{C3380CC4-5D6E-409C-BE32-E72D297353CC}">
              <c16:uniqueId val="{00000000-C514-4340-83F1-BA3BE8637DA3}"/>
            </c:ext>
          </c:extLst>
        </c:ser>
        <c:ser>
          <c:idx val="1"/>
          <c:order val="1"/>
          <c:tx>
            <c:strRef>
              <c:f>Pivot_Tables!$I$3</c:f>
              <c:strCache>
                <c:ptCount val="1"/>
                <c:pt idx="0">
                  <c:v>Capacity </c:v>
                </c:pt>
              </c:strCache>
            </c:strRef>
          </c:tx>
          <c:spPr>
            <a:solidFill>
              <a:schemeClr val="accent4"/>
            </a:solidFill>
            <a:ln>
              <a:noFill/>
            </a:ln>
            <a:effectLst/>
          </c:spPr>
          <c:invertIfNegative val="0"/>
          <c:cat>
            <c:strRef>
              <c:f>Pivot_Tables!$G$4:$G$9</c:f>
              <c:strCache>
                <c:ptCount val="5"/>
                <c:pt idx="0">
                  <c:v>Cardiology</c:v>
                </c:pt>
                <c:pt idx="1">
                  <c:v>Dermatology</c:v>
                </c:pt>
                <c:pt idx="2">
                  <c:v>Gastroenterology</c:v>
                </c:pt>
                <c:pt idx="3">
                  <c:v>Neurology</c:v>
                </c:pt>
                <c:pt idx="4">
                  <c:v>Orthopaedics</c:v>
                </c:pt>
              </c:strCache>
            </c:strRef>
          </c:cat>
          <c:val>
            <c:numRef>
              <c:f>Pivot_Tables!$I$4:$I$9</c:f>
              <c:numCache>
                <c:formatCode>General</c:formatCode>
                <c:ptCount val="5"/>
                <c:pt idx="0">
                  <c:v>558</c:v>
                </c:pt>
                <c:pt idx="1">
                  <c:v>529</c:v>
                </c:pt>
                <c:pt idx="2">
                  <c:v>441</c:v>
                </c:pt>
                <c:pt idx="3">
                  <c:v>416</c:v>
                </c:pt>
                <c:pt idx="4">
                  <c:v>525</c:v>
                </c:pt>
              </c:numCache>
            </c:numRef>
          </c:val>
          <c:extLst>
            <c:ext xmlns:c16="http://schemas.microsoft.com/office/drawing/2014/chart" uri="{C3380CC4-5D6E-409C-BE32-E72D297353CC}">
              <c16:uniqueId val="{00000001-C514-4340-83F1-BA3BE8637DA3}"/>
            </c:ext>
          </c:extLst>
        </c:ser>
        <c:ser>
          <c:idx val="2"/>
          <c:order val="2"/>
          <c:tx>
            <c:strRef>
              <c:f>Pivot_Tables!$J$3</c:f>
              <c:strCache>
                <c:ptCount val="1"/>
                <c:pt idx="0">
                  <c:v>Activity </c:v>
                </c:pt>
              </c:strCache>
            </c:strRef>
          </c:tx>
          <c:spPr>
            <a:solidFill>
              <a:schemeClr val="bg1">
                <a:lumMod val="75000"/>
              </a:schemeClr>
            </a:solidFill>
            <a:ln>
              <a:noFill/>
            </a:ln>
            <a:effectLst/>
          </c:spPr>
          <c:invertIfNegative val="0"/>
          <c:cat>
            <c:strRef>
              <c:f>Pivot_Tables!$G$4:$G$9</c:f>
              <c:strCache>
                <c:ptCount val="5"/>
                <c:pt idx="0">
                  <c:v>Cardiology</c:v>
                </c:pt>
                <c:pt idx="1">
                  <c:v>Dermatology</c:v>
                </c:pt>
                <c:pt idx="2">
                  <c:v>Gastroenterology</c:v>
                </c:pt>
                <c:pt idx="3">
                  <c:v>Neurology</c:v>
                </c:pt>
                <c:pt idx="4">
                  <c:v>Orthopaedics</c:v>
                </c:pt>
              </c:strCache>
            </c:strRef>
          </c:cat>
          <c:val>
            <c:numRef>
              <c:f>Pivot_Tables!$J$4:$J$9</c:f>
              <c:numCache>
                <c:formatCode>General</c:formatCode>
                <c:ptCount val="5"/>
                <c:pt idx="0">
                  <c:v>494</c:v>
                </c:pt>
                <c:pt idx="1">
                  <c:v>422</c:v>
                </c:pt>
                <c:pt idx="2">
                  <c:v>432</c:v>
                </c:pt>
                <c:pt idx="3">
                  <c:v>354</c:v>
                </c:pt>
                <c:pt idx="4">
                  <c:v>546</c:v>
                </c:pt>
              </c:numCache>
            </c:numRef>
          </c:val>
          <c:extLst>
            <c:ext xmlns:c16="http://schemas.microsoft.com/office/drawing/2014/chart" uri="{C3380CC4-5D6E-409C-BE32-E72D297353CC}">
              <c16:uniqueId val="{00000002-C514-4340-83F1-BA3BE8637DA3}"/>
            </c:ext>
          </c:extLst>
        </c:ser>
        <c:dLbls>
          <c:showLegendKey val="0"/>
          <c:showVal val="0"/>
          <c:showCatName val="0"/>
          <c:showSerName val="0"/>
          <c:showPercent val="0"/>
          <c:showBubbleSize val="0"/>
        </c:dLbls>
        <c:gapWidth val="219"/>
        <c:overlap val="-27"/>
        <c:axId val="275141631"/>
        <c:axId val="275139711"/>
      </c:barChart>
      <c:catAx>
        <c:axId val="27514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39711"/>
        <c:crosses val="autoZero"/>
        <c:auto val="1"/>
        <c:lblAlgn val="ctr"/>
        <c:lblOffset val="100"/>
        <c:noMultiLvlLbl val="0"/>
      </c:catAx>
      <c:valAx>
        <c:axId val="275139711"/>
        <c:scaling>
          <c:orientation val="minMax"/>
        </c:scaling>
        <c:delete val="0"/>
        <c:axPos val="l"/>
        <c:majorGridlines>
          <c:spPr>
            <a:ln w="9525" cap="flat" cmpd="sng" algn="ctr">
              <a:solidFill>
                <a:schemeClr val="bg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4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[NHS_Appointment_Demand_Capacity_Analysis.xlsx]Pivot_Tables!PivotTable3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Monthly</a:t>
            </a:r>
            <a:r>
              <a:rPr lang="en-GB" b="1" baseline="0"/>
              <a:t> Demand Vs Capacity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7135051971823"/>
          <c:y val="0.14997703443555252"/>
          <c:w val="0.84617268660653411"/>
          <c:h val="0.70764721310636436"/>
        </c:manualLayout>
      </c:layout>
      <c:lineChart>
        <c:grouping val="standard"/>
        <c:varyColors val="0"/>
        <c:ser>
          <c:idx val="0"/>
          <c:order val="0"/>
          <c:tx>
            <c:strRef>
              <c:f>Pivot_Tables!$D$39</c:f>
              <c:strCache>
                <c:ptCount val="1"/>
                <c:pt idx="0">
                  <c:v>Demand </c:v>
                </c:pt>
              </c:strCache>
            </c:strRef>
          </c:tx>
          <c:spPr>
            <a:ln w="28575" cap="rnd">
              <a:solidFill>
                <a:schemeClr val="accent1"/>
              </a:solidFill>
              <a:round/>
            </a:ln>
            <a:effectLst/>
          </c:spPr>
          <c:marker>
            <c:symbol val="none"/>
          </c:marker>
          <c:cat>
            <c:strRef>
              <c:f>Pivot_Tables!$C$40:$C$52</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Pivot_Tables!$D$40:$D$52</c:f>
              <c:numCache>
                <c:formatCode>General</c:formatCode>
                <c:ptCount val="12"/>
                <c:pt idx="0">
                  <c:v>37</c:v>
                </c:pt>
                <c:pt idx="1">
                  <c:v>201</c:v>
                </c:pt>
                <c:pt idx="2">
                  <c:v>263</c:v>
                </c:pt>
                <c:pt idx="3">
                  <c:v>276</c:v>
                </c:pt>
                <c:pt idx="4">
                  <c:v>249</c:v>
                </c:pt>
                <c:pt idx="5">
                  <c:v>280</c:v>
                </c:pt>
                <c:pt idx="6">
                  <c:v>274</c:v>
                </c:pt>
                <c:pt idx="7">
                  <c:v>271</c:v>
                </c:pt>
                <c:pt idx="8">
                  <c:v>267</c:v>
                </c:pt>
                <c:pt idx="9">
                  <c:v>261</c:v>
                </c:pt>
                <c:pt idx="10">
                  <c:v>233</c:v>
                </c:pt>
                <c:pt idx="11">
                  <c:v>272</c:v>
                </c:pt>
              </c:numCache>
            </c:numRef>
          </c:val>
          <c:smooth val="0"/>
          <c:extLst>
            <c:ext xmlns:c16="http://schemas.microsoft.com/office/drawing/2014/chart" uri="{C3380CC4-5D6E-409C-BE32-E72D297353CC}">
              <c16:uniqueId val="{00000000-4E9B-4E0C-9A95-3F608DFDC7C6}"/>
            </c:ext>
          </c:extLst>
        </c:ser>
        <c:ser>
          <c:idx val="1"/>
          <c:order val="1"/>
          <c:tx>
            <c:strRef>
              <c:f>Pivot_Tables!$E$39</c:f>
              <c:strCache>
                <c:ptCount val="1"/>
                <c:pt idx="0">
                  <c:v>Capacity </c:v>
                </c:pt>
              </c:strCache>
            </c:strRef>
          </c:tx>
          <c:spPr>
            <a:ln w="28575" cap="rnd">
              <a:solidFill>
                <a:schemeClr val="accent1">
                  <a:lumMod val="60000"/>
                  <a:lumOff val="40000"/>
                </a:schemeClr>
              </a:solidFill>
              <a:round/>
            </a:ln>
            <a:effectLst/>
          </c:spPr>
          <c:marker>
            <c:symbol val="none"/>
          </c:marker>
          <c:cat>
            <c:strRef>
              <c:f>Pivot_Tables!$C$40:$C$52</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Pivot_Tables!$E$40:$E$52</c:f>
              <c:numCache>
                <c:formatCode>General</c:formatCode>
                <c:ptCount val="12"/>
                <c:pt idx="0">
                  <c:v>50</c:v>
                </c:pt>
                <c:pt idx="1">
                  <c:v>160</c:v>
                </c:pt>
                <c:pt idx="2">
                  <c:v>213</c:v>
                </c:pt>
                <c:pt idx="3">
                  <c:v>240</c:v>
                </c:pt>
                <c:pt idx="4">
                  <c:v>218</c:v>
                </c:pt>
                <c:pt idx="5">
                  <c:v>234</c:v>
                </c:pt>
                <c:pt idx="6">
                  <c:v>237</c:v>
                </c:pt>
                <c:pt idx="7">
                  <c:v>233</c:v>
                </c:pt>
                <c:pt idx="8">
                  <c:v>222</c:v>
                </c:pt>
                <c:pt idx="9">
                  <c:v>231</c:v>
                </c:pt>
                <c:pt idx="10">
                  <c:v>198</c:v>
                </c:pt>
                <c:pt idx="11">
                  <c:v>233</c:v>
                </c:pt>
              </c:numCache>
            </c:numRef>
          </c:val>
          <c:smooth val="0"/>
          <c:extLst>
            <c:ext xmlns:c16="http://schemas.microsoft.com/office/drawing/2014/chart" uri="{C3380CC4-5D6E-409C-BE32-E72D297353CC}">
              <c16:uniqueId val="{00000001-4E9B-4E0C-9A95-3F608DFDC7C6}"/>
            </c:ext>
          </c:extLst>
        </c:ser>
        <c:dLbls>
          <c:showLegendKey val="0"/>
          <c:showVal val="0"/>
          <c:showCatName val="0"/>
          <c:showSerName val="0"/>
          <c:showPercent val="0"/>
          <c:showBubbleSize val="0"/>
        </c:dLbls>
        <c:smooth val="0"/>
        <c:axId val="275132511"/>
        <c:axId val="275136351"/>
      </c:lineChart>
      <c:catAx>
        <c:axId val="275132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36351"/>
        <c:crosses val="autoZero"/>
        <c:auto val="1"/>
        <c:lblAlgn val="ctr"/>
        <c:lblOffset val="100"/>
        <c:noMultiLvlLbl val="0"/>
      </c:catAx>
      <c:valAx>
        <c:axId val="27513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132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[NHS_Appointment_Demand_Capacity_Analysis.xlsx]Pivot_Tables!PivotTable4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t>Waiting</a:t>
            </a:r>
            <a:r>
              <a:rPr lang="en-GB" sz="1400" b="1" baseline="0"/>
              <a:t> Time Distribution by Specialty</a:t>
            </a:r>
            <a:endParaRPr lang="en-GB"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Pivot_Tables!$P$67:$P$68</c:f>
              <c:strCache>
                <c:ptCount val="1"/>
                <c:pt idx="0">
                  <c:v>0-14 days</c:v>
                </c:pt>
              </c:strCache>
            </c:strRef>
          </c:tx>
          <c:spPr>
            <a:solidFill>
              <a:schemeClr val="accent1">
                <a:lumMod val="20000"/>
                <a:lumOff val="80000"/>
              </a:schemeClr>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Pivot_Tables!$P$69:$P$74</c:f>
              <c:numCache>
                <c:formatCode>0.00%</c:formatCode>
                <c:ptCount val="5"/>
                <c:pt idx="0">
                  <c:v>0.12340425531914893</c:v>
                </c:pt>
                <c:pt idx="1">
                  <c:v>0.11036789297658862</c:v>
                </c:pt>
                <c:pt idx="2">
                  <c:v>0.1492063492063492</c:v>
                </c:pt>
                <c:pt idx="3">
                  <c:v>0.12151394422310757</c:v>
                </c:pt>
                <c:pt idx="4">
                  <c:v>0.14248366013071895</c:v>
                </c:pt>
              </c:numCache>
            </c:numRef>
          </c:val>
          <c:extLst>
            <c:ext xmlns:c16="http://schemas.microsoft.com/office/drawing/2014/chart" uri="{C3380CC4-5D6E-409C-BE32-E72D297353CC}">
              <c16:uniqueId val="{00000000-4FE6-48EF-9B60-84122D863EAB}"/>
            </c:ext>
          </c:extLst>
        </c:ser>
        <c:ser>
          <c:idx val="1"/>
          <c:order val="1"/>
          <c:tx>
            <c:strRef>
              <c:f>Pivot_Tables!$Q$67:$Q$68</c:f>
              <c:strCache>
                <c:ptCount val="1"/>
                <c:pt idx="0">
                  <c:v>15-28 days</c:v>
                </c:pt>
              </c:strCache>
            </c:strRef>
          </c:tx>
          <c:spPr>
            <a:solidFill>
              <a:schemeClr val="accent1">
                <a:lumMod val="40000"/>
                <a:lumOff val="60000"/>
              </a:schemeClr>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Pivot_Tables!$Q$69:$Q$74</c:f>
              <c:numCache>
                <c:formatCode>0.00%</c:formatCode>
                <c:ptCount val="5"/>
                <c:pt idx="0">
                  <c:v>0.24964539007092199</c:v>
                </c:pt>
                <c:pt idx="1">
                  <c:v>0.23411371237458195</c:v>
                </c:pt>
                <c:pt idx="2">
                  <c:v>0.22698412698412698</c:v>
                </c:pt>
                <c:pt idx="3">
                  <c:v>0.25099601593625498</c:v>
                </c:pt>
                <c:pt idx="4">
                  <c:v>0.24444444444444444</c:v>
                </c:pt>
              </c:numCache>
            </c:numRef>
          </c:val>
          <c:extLst>
            <c:ext xmlns:c16="http://schemas.microsoft.com/office/drawing/2014/chart" uri="{C3380CC4-5D6E-409C-BE32-E72D297353CC}">
              <c16:uniqueId val="{00000001-4FE6-48EF-9B60-84122D863EAB}"/>
            </c:ext>
          </c:extLst>
        </c:ser>
        <c:ser>
          <c:idx val="2"/>
          <c:order val="2"/>
          <c:tx>
            <c:strRef>
              <c:f>Pivot_Tables!$R$67:$R$68</c:f>
              <c:strCache>
                <c:ptCount val="1"/>
                <c:pt idx="0">
                  <c:v>29-42 days</c:v>
                </c:pt>
              </c:strCache>
            </c:strRef>
          </c:tx>
          <c:spPr>
            <a:solidFill>
              <a:schemeClr val="accent1">
                <a:lumMod val="60000"/>
                <a:lumOff val="40000"/>
              </a:schemeClr>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Pivot_Tables!$R$69:$R$74</c:f>
              <c:numCache>
                <c:formatCode>0.00%</c:formatCode>
                <c:ptCount val="5"/>
                <c:pt idx="0">
                  <c:v>0.3219858156028369</c:v>
                </c:pt>
                <c:pt idx="1">
                  <c:v>0.32441471571906355</c:v>
                </c:pt>
                <c:pt idx="2">
                  <c:v>0.29523809523809524</c:v>
                </c:pt>
                <c:pt idx="3">
                  <c:v>0.27490039840637448</c:v>
                </c:pt>
                <c:pt idx="4">
                  <c:v>0.31895424836601305</c:v>
                </c:pt>
              </c:numCache>
            </c:numRef>
          </c:val>
          <c:extLst>
            <c:ext xmlns:c16="http://schemas.microsoft.com/office/drawing/2014/chart" uri="{C3380CC4-5D6E-409C-BE32-E72D297353CC}">
              <c16:uniqueId val="{00000002-4FE6-48EF-9B60-84122D863EAB}"/>
            </c:ext>
          </c:extLst>
        </c:ser>
        <c:ser>
          <c:idx val="3"/>
          <c:order val="3"/>
          <c:tx>
            <c:strRef>
              <c:f>Pivot_Tables!$S$67:$S$68</c:f>
              <c:strCache>
                <c:ptCount val="1"/>
                <c:pt idx="0">
                  <c:v>43-56 days</c:v>
                </c:pt>
              </c:strCache>
            </c:strRef>
          </c:tx>
          <c:spPr>
            <a:solidFill>
              <a:schemeClr val="accent1">
                <a:lumMod val="75000"/>
              </a:schemeClr>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Pivot_Tables!$S$69:$S$74</c:f>
              <c:numCache>
                <c:formatCode>0.00%</c:formatCode>
                <c:ptCount val="5"/>
                <c:pt idx="0">
                  <c:v>0.21702127659574469</c:v>
                </c:pt>
                <c:pt idx="1">
                  <c:v>0.21404682274247491</c:v>
                </c:pt>
                <c:pt idx="2">
                  <c:v>0.22857142857142856</c:v>
                </c:pt>
                <c:pt idx="3">
                  <c:v>0.2151394422310757</c:v>
                </c:pt>
                <c:pt idx="4">
                  <c:v>0.20392156862745098</c:v>
                </c:pt>
              </c:numCache>
            </c:numRef>
          </c:val>
          <c:extLst>
            <c:ext xmlns:c16="http://schemas.microsoft.com/office/drawing/2014/chart" uri="{C3380CC4-5D6E-409C-BE32-E72D297353CC}">
              <c16:uniqueId val="{00000003-4FE6-48EF-9B60-84122D863EAB}"/>
            </c:ext>
          </c:extLst>
        </c:ser>
        <c:ser>
          <c:idx val="4"/>
          <c:order val="4"/>
          <c:tx>
            <c:strRef>
              <c:f>Pivot_Tables!$T$67:$T$68</c:f>
              <c:strCache>
                <c:ptCount val="1"/>
                <c:pt idx="0">
                  <c:v>57+ days</c:v>
                </c:pt>
              </c:strCache>
            </c:strRef>
          </c:tx>
          <c:spPr>
            <a:solidFill>
              <a:schemeClr val="accent1">
                <a:lumMod val="50000"/>
              </a:schemeClr>
            </a:solidFill>
            <a:ln>
              <a:noFill/>
            </a:ln>
            <a:effectLst/>
          </c:spPr>
          <c:invertIfNegative val="0"/>
          <c:cat>
            <c:strRef>
              <c:f>Pivot_Tables!$O$69:$O$74</c:f>
              <c:strCache>
                <c:ptCount val="5"/>
                <c:pt idx="0">
                  <c:v>Cardiology</c:v>
                </c:pt>
                <c:pt idx="1">
                  <c:v>Dermatology</c:v>
                </c:pt>
                <c:pt idx="2">
                  <c:v>Gastroenterology</c:v>
                </c:pt>
                <c:pt idx="3">
                  <c:v>Neurology</c:v>
                </c:pt>
                <c:pt idx="4">
                  <c:v>Orthopaedics</c:v>
                </c:pt>
              </c:strCache>
            </c:strRef>
          </c:cat>
          <c:val>
            <c:numRef>
              <c:f>Pivot_Tables!$T$69:$T$74</c:f>
              <c:numCache>
                <c:formatCode>0.00%</c:formatCode>
                <c:ptCount val="5"/>
                <c:pt idx="0">
                  <c:v>8.794326241134752E-2</c:v>
                </c:pt>
                <c:pt idx="1">
                  <c:v>0.11705685618729098</c:v>
                </c:pt>
                <c:pt idx="2">
                  <c:v>0.1</c:v>
                </c:pt>
                <c:pt idx="3">
                  <c:v>0.13745019920318724</c:v>
                </c:pt>
                <c:pt idx="4">
                  <c:v>9.0196078431372548E-2</c:v>
                </c:pt>
              </c:numCache>
            </c:numRef>
          </c:val>
          <c:extLst>
            <c:ext xmlns:c16="http://schemas.microsoft.com/office/drawing/2014/chart" uri="{C3380CC4-5D6E-409C-BE32-E72D297353CC}">
              <c16:uniqueId val="{00000004-4FE6-48EF-9B60-84122D863EAB}"/>
            </c:ext>
          </c:extLst>
        </c:ser>
        <c:dLbls>
          <c:showLegendKey val="0"/>
          <c:showVal val="0"/>
          <c:showCatName val="0"/>
          <c:showSerName val="0"/>
          <c:showPercent val="0"/>
          <c:showBubbleSize val="0"/>
        </c:dLbls>
        <c:gapWidth val="150"/>
        <c:overlap val="100"/>
        <c:axId val="274705247"/>
        <c:axId val="274705727"/>
      </c:barChart>
      <c:catAx>
        <c:axId val="274705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705727"/>
        <c:crosses val="autoZero"/>
        <c:auto val="1"/>
        <c:lblAlgn val="ctr"/>
        <c:lblOffset val="100"/>
        <c:noMultiLvlLbl val="0"/>
      </c:catAx>
      <c:valAx>
        <c:axId val="274705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7052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[NHS_Appointment_Demand_Capacity_Analysis.xlsx]Pivot_Tables!PivotTable7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Closing</a:t>
            </a:r>
            <a:r>
              <a:rPr lang="en-GB" b="1" baseline="0"/>
              <a:t> Backlog Trend by Specialty</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Pivot_Tables!$P$125:$P$126</c:f>
              <c:strCache>
                <c:ptCount val="1"/>
                <c:pt idx="0">
                  <c:v>Cardiology</c:v>
                </c:pt>
              </c:strCache>
            </c:strRef>
          </c:tx>
          <c:spPr>
            <a:ln w="28575" cap="rnd">
              <a:solidFill>
                <a:schemeClr val="accent1"/>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Pivot_Tables!$P$127:$P$139</c:f>
              <c:numCache>
                <c:formatCode>General</c:formatCode>
                <c:ptCount val="12"/>
                <c:pt idx="0">
                  <c:v>0</c:v>
                </c:pt>
                <c:pt idx="1">
                  <c:v>6</c:v>
                </c:pt>
                <c:pt idx="2">
                  <c:v>9</c:v>
                </c:pt>
                <c:pt idx="3">
                  <c:v>19</c:v>
                </c:pt>
                <c:pt idx="4">
                  <c:v>27</c:v>
                </c:pt>
                <c:pt idx="5">
                  <c:v>38</c:v>
                </c:pt>
                <c:pt idx="6">
                  <c:v>49</c:v>
                </c:pt>
                <c:pt idx="7">
                  <c:v>52</c:v>
                </c:pt>
                <c:pt idx="8">
                  <c:v>60</c:v>
                </c:pt>
                <c:pt idx="9">
                  <c:v>62</c:v>
                </c:pt>
                <c:pt idx="10">
                  <c:v>71</c:v>
                </c:pt>
                <c:pt idx="11">
                  <c:v>78</c:v>
                </c:pt>
              </c:numCache>
            </c:numRef>
          </c:val>
          <c:smooth val="0"/>
          <c:extLst>
            <c:ext xmlns:c16="http://schemas.microsoft.com/office/drawing/2014/chart" uri="{C3380CC4-5D6E-409C-BE32-E72D297353CC}">
              <c16:uniqueId val="{00000000-DD88-4E7D-8266-4A8B1E4E00F6}"/>
            </c:ext>
          </c:extLst>
        </c:ser>
        <c:ser>
          <c:idx val="1"/>
          <c:order val="1"/>
          <c:tx>
            <c:strRef>
              <c:f>Pivot_Tables!$Q$125:$Q$126</c:f>
              <c:strCache>
                <c:ptCount val="1"/>
                <c:pt idx="0">
                  <c:v>Dermatology</c:v>
                </c:pt>
              </c:strCache>
            </c:strRef>
          </c:tx>
          <c:spPr>
            <a:ln w="28575" cap="rnd">
              <a:solidFill>
                <a:schemeClr val="accent2"/>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Pivot_Tables!$Q$127:$Q$139</c:f>
              <c:numCache>
                <c:formatCode>General</c:formatCode>
                <c:ptCount val="12"/>
                <c:pt idx="0">
                  <c:v>0</c:v>
                </c:pt>
                <c:pt idx="1">
                  <c:v>5</c:v>
                </c:pt>
                <c:pt idx="2">
                  <c:v>12</c:v>
                </c:pt>
                <c:pt idx="3">
                  <c:v>13</c:v>
                </c:pt>
                <c:pt idx="4">
                  <c:v>12</c:v>
                </c:pt>
                <c:pt idx="5">
                  <c:v>10</c:v>
                </c:pt>
                <c:pt idx="6">
                  <c:v>8</c:v>
                </c:pt>
                <c:pt idx="7">
                  <c:v>3</c:v>
                </c:pt>
                <c:pt idx="8">
                  <c:v>4</c:v>
                </c:pt>
                <c:pt idx="9">
                  <c:v>4</c:v>
                </c:pt>
                <c:pt idx="10">
                  <c:v>10</c:v>
                </c:pt>
                <c:pt idx="11">
                  <c:v>11</c:v>
                </c:pt>
              </c:numCache>
            </c:numRef>
          </c:val>
          <c:smooth val="0"/>
          <c:extLst>
            <c:ext xmlns:c16="http://schemas.microsoft.com/office/drawing/2014/chart" uri="{C3380CC4-5D6E-409C-BE32-E72D297353CC}">
              <c16:uniqueId val="{00000001-72A3-48AB-9C98-CC584B973D5C}"/>
            </c:ext>
          </c:extLst>
        </c:ser>
        <c:ser>
          <c:idx val="2"/>
          <c:order val="2"/>
          <c:tx>
            <c:strRef>
              <c:f>Pivot_Tables!$R$125:$R$126</c:f>
              <c:strCache>
                <c:ptCount val="1"/>
                <c:pt idx="0">
                  <c:v>Gastroenterology</c:v>
                </c:pt>
              </c:strCache>
            </c:strRef>
          </c:tx>
          <c:spPr>
            <a:ln w="28575" cap="rnd">
              <a:solidFill>
                <a:schemeClr val="accent3"/>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Pivot_Tables!$R$127:$R$139</c:f>
              <c:numCache>
                <c:formatCode>General</c:formatCode>
                <c:ptCount val="12"/>
                <c:pt idx="0">
                  <c:v>0</c:v>
                </c:pt>
                <c:pt idx="1">
                  <c:v>9</c:v>
                </c:pt>
                <c:pt idx="2">
                  <c:v>23</c:v>
                </c:pt>
                <c:pt idx="3">
                  <c:v>32</c:v>
                </c:pt>
                <c:pt idx="4">
                  <c:v>44</c:v>
                </c:pt>
                <c:pt idx="5">
                  <c:v>56</c:v>
                </c:pt>
                <c:pt idx="6">
                  <c:v>68</c:v>
                </c:pt>
                <c:pt idx="7">
                  <c:v>87</c:v>
                </c:pt>
                <c:pt idx="8">
                  <c:v>100</c:v>
                </c:pt>
                <c:pt idx="9">
                  <c:v>111</c:v>
                </c:pt>
                <c:pt idx="10">
                  <c:v>117</c:v>
                </c:pt>
                <c:pt idx="11">
                  <c:v>127</c:v>
                </c:pt>
              </c:numCache>
            </c:numRef>
          </c:val>
          <c:smooth val="0"/>
          <c:extLst>
            <c:ext xmlns:c16="http://schemas.microsoft.com/office/drawing/2014/chart" uri="{C3380CC4-5D6E-409C-BE32-E72D297353CC}">
              <c16:uniqueId val="{00000002-72A3-48AB-9C98-CC584B973D5C}"/>
            </c:ext>
          </c:extLst>
        </c:ser>
        <c:ser>
          <c:idx val="3"/>
          <c:order val="3"/>
          <c:tx>
            <c:strRef>
              <c:f>Pivot_Tables!$S$125:$S$126</c:f>
              <c:strCache>
                <c:ptCount val="1"/>
                <c:pt idx="0">
                  <c:v>Neurology</c:v>
                </c:pt>
              </c:strCache>
            </c:strRef>
          </c:tx>
          <c:spPr>
            <a:ln w="28575" cap="rnd">
              <a:solidFill>
                <a:schemeClr val="accent4"/>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Pivot_Tables!$S$127:$S$139</c:f>
              <c:numCache>
                <c:formatCode>General</c:formatCode>
                <c:ptCount val="12"/>
                <c:pt idx="0">
                  <c:v>0</c:v>
                </c:pt>
                <c:pt idx="1">
                  <c:v>4</c:v>
                </c:pt>
                <c:pt idx="2">
                  <c:v>5</c:v>
                </c:pt>
                <c:pt idx="3">
                  <c:v>7</c:v>
                </c:pt>
                <c:pt idx="4">
                  <c:v>10</c:v>
                </c:pt>
                <c:pt idx="5">
                  <c:v>23</c:v>
                </c:pt>
                <c:pt idx="6">
                  <c:v>24</c:v>
                </c:pt>
                <c:pt idx="7">
                  <c:v>26</c:v>
                </c:pt>
                <c:pt idx="8">
                  <c:v>35</c:v>
                </c:pt>
                <c:pt idx="9">
                  <c:v>35</c:v>
                </c:pt>
                <c:pt idx="10">
                  <c:v>37</c:v>
                </c:pt>
                <c:pt idx="11">
                  <c:v>41</c:v>
                </c:pt>
              </c:numCache>
            </c:numRef>
          </c:val>
          <c:smooth val="0"/>
          <c:extLst>
            <c:ext xmlns:c16="http://schemas.microsoft.com/office/drawing/2014/chart" uri="{C3380CC4-5D6E-409C-BE32-E72D297353CC}">
              <c16:uniqueId val="{00000003-72A3-48AB-9C98-CC584B973D5C}"/>
            </c:ext>
          </c:extLst>
        </c:ser>
        <c:ser>
          <c:idx val="4"/>
          <c:order val="4"/>
          <c:tx>
            <c:strRef>
              <c:f>Pivot_Tables!$T$125:$T$126</c:f>
              <c:strCache>
                <c:ptCount val="1"/>
                <c:pt idx="0">
                  <c:v>Orthopaedics</c:v>
                </c:pt>
              </c:strCache>
            </c:strRef>
          </c:tx>
          <c:spPr>
            <a:ln w="28575" cap="rnd">
              <a:solidFill>
                <a:schemeClr val="accent5"/>
              </a:solidFill>
              <a:round/>
            </a:ln>
            <a:effectLst/>
          </c:spPr>
          <c:marker>
            <c:symbol val="none"/>
          </c:marker>
          <c:cat>
            <c:strRef>
              <c:f>Pivot_Tables!$O$127:$O$139</c:f>
              <c:strCache>
                <c:ptCount val="12"/>
                <c:pt idx="0">
                  <c:v>Apr-25</c:v>
                </c:pt>
                <c:pt idx="1">
                  <c:v>May-25</c:v>
                </c:pt>
                <c:pt idx="2">
                  <c:v>Jun-25</c:v>
                </c:pt>
                <c:pt idx="3">
                  <c:v>Jul-25</c:v>
                </c:pt>
                <c:pt idx="4">
                  <c:v>Aug-25</c:v>
                </c:pt>
                <c:pt idx="5">
                  <c:v>Sep-25</c:v>
                </c:pt>
                <c:pt idx="6">
                  <c:v>Oct-25</c:v>
                </c:pt>
                <c:pt idx="7">
                  <c:v>Nov-25</c:v>
                </c:pt>
                <c:pt idx="8">
                  <c:v>Dec-25</c:v>
                </c:pt>
                <c:pt idx="9">
                  <c:v>Jan-26</c:v>
                </c:pt>
                <c:pt idx="10">
                  <c:v>Feb-26</c:v>
                </c:pt>
                <c:pt idx="11">
                  <c:v>Mar-26</c:v>
                </c:pt>
              </c:strCache>
            </c:strRef>
          </c:cat>
          <c:val>
            <c:numRef>
              <c:f>Pivot_Tables!$T$127:$T$139</c:f>
              <c:numCache>
                <c:formatCode>General</c:formatCode>
                <c:ptCount val="12"/>
                <c:pt idx="0">
                  <c:v>0</c:v>
                </c:pt>
                <c:pt idx="1">
                  <c:v>17</c:v>
                </c:pt>
                <c:pt idx="2">
                  <c:v>42</c:v>
                </c:pt>
                <c:pt idx="3">
                  <c:v>56</c:v>
                </c:pt>
                <c:pt idx="4">
                  <c:v>65</c:v>
                </c:pt>
                <c:pt idx="5">
                  <c:v>77</c:v>
                </c:pt>
                <c:pt idx="6">
                  <c:v>92</c:v>
                </c:pt>
                <c:pt idx="7">
                  <c:v>111</c:v>
                </c:pt>
                <c:pt idx="8">
                  <c:v>125</c:v>
                </c:pt>
                <c:pt idx="9">
                  <c:v>142</c:v>
                </c:pt>
                <c:pt idx="10">
                  <c:v>154</c:v>
                </c:pt>
                <c:pt idx="11">
                  <c:v>171</c:v>
                </c:pt>
              </c:numCache>
            </c:numRef>
          </c:val>
          <c:smooth val="0"/>
          <c:extLst>
            <c:ext xmlns:c16="http://schemas.microsoft.com/office/drawing/2014/chart" uri="{C3380CC4-5D6E-409C-BE32-E72D297353CC}">
              <c16:uniqueId val="{00000004-72A3-48AB-9C98-CC584B973D5C}"/>
            </c:ext>
          </c:extLst>
        </c:ser>
        <c:dLbls>
          <c:showLegendKey val="0"/>
          <c:showVal val="0"/>
          <c:showCatName val="0"/>
          <c:showSerName val="0"/>
          <c:showPercent val="0"/>
          <c:showBubbleSize val="0"/>
        </c:dLbls>
        <c:smooth val="0"/>
        <c:axId val="890870879"/>
        <c:axId val="890861759"/>
      </c:lineChart>
      <c:catAx>
        <c:axId val="89087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61759"/>
        <c:crosses val="autoZero"/>
        <c:auto val="1"/>
        <c:lblAlgn val="ctr"/>
        <c:lblOffset val="100"/>
        <c:noMultiLvlLbl val="0"/>
      </c:catAx>
      <c:valAx>
        <c:axId val="89086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70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403860</xdr:colOff>
      <xdr:row>1</xdr:row>
      <xdr:rowOff>148590</xdr:rowOff>
    </xdr:from>
    <xdr:to>
      <xdr:col>16</xdr:col>
      <xdr:colOff>365760</xdr:colOff>
      <xdr:row>16</xdr:row>
      <xdr:rowOff>148590</xdr:rowOff>
    </xdr:to>
    <xdr:graphicFrame macro="">
      <xdr:nvGraphicFramePr>
        <xdr:cNvPr id="2" name="Chart 1">
          <a:extLst>
            <a:ext uri="{FF2B5EF4-FFF2-40B4-BE49-F238E27FC236}">
              <a16:creationId xmlns:a16="http://schemas.microsoft.com/office/drawing/2014/main" id="{C90B95B8-89D4-6EE4-FD30-25E4AA562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373380</xdr:colOff>
      <xdr:row>38</xdr:row>
      <xdr:rowOff>45720</xdr:rowOff>
    </xdr:from>
    <xdr:to>
      <xdr:col>12</xdr:col>
      <xdr:colOff>335280</xdr:colOff>
      <xdr:row>59</xdr:row>
      <xdr:rowOff>91440</xdr:rowOff>
    </xdr:to>
    <xdr:graphicFrame macro="">
      <xdr:nvGraphicFramePr>
        <xdr:cNvPr id="3" name="Chart 2">
          <a:extLst>
            <a:ext uri="{FF2B5EF4-FFF2-40B4-BE49-F238E27FC236}">
              <a16:creationId xmlns:a16="http://schemas.microsoft.com/office/drawing/2014/main" id="{17BCF1D3-E2E3-58D2-A03E-2C69366A3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1463040</xdr:colOff>
      <xdr:row>75</xdr:row>
      <xdr:rowOff>110490</xdr:rowOff>
    </xdr:from>
    <xdr:to>
      <xdr:col>8</xdr:col>
      <xdr:colOff>403860</xdr:colOff>
      <xdr:row>90</xdr:row>
      <xdr:rowOff>110490</xdr:rowOff>
    </xdr:to>
    <xdr:graphicFrame macro="">
      <xdr:nvGraphicFramePr>
        <xdr:cNvPr id="4" name="Chart 3">
          <a:extLst>
            <a:ext uri="{FF2B5EF4-FFF2-40B4-BE49-F238E27FC236}">
              <a16:creationId xmlns:a16="http://schemas.microsoft.com/office/drawing/2014/main" id="{DE2F881B-1EBA-1E57-CE92-0CC99D4C0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388620</xdr:colOff>
      <xdr:row>105</xdr:row>
      <xdr:rowOff>144780</xdr:rowOff>
    </xdr:from>
    <xdr:to>
      <xdr:col>8</xdr:col>
      <xdr:colOff>114300</xdr:colOff>
      <xdr:row>113</xdr:row>
      <xdr:rowOff>53340</xdr:rowOff>
    </xdr:to>
    <mc:AlternateContent xmlns:mc="http://schemas.openxmlformats.org/markup-compatibility/2006" xmlns:tsle="http://schemas.microsoft.com/office/drawing/2012/timeslicer">
      <mc:Choice Requires="tsle">
        <xdr:graphicFrame macro="">
          <xdr:nvGraphicFramePr>
            <xdr:cNvPr id="5" name="Appointment_Date">
              <a:extLst>
                <a:ext uri="{FF2B5EF4-FFF2-40B4-BE49-F238E27FC236}">
                  <a16:creationId xmlns:a16="http://schemas.microsoft.com/office/drawing/2014/main" id="{86E7D366-8581-DECC-8D0E-6CD269F61E92}"/>
                </a:ext>
              </a:extLst>
            </xdr:cNvPr>
            <xdr:cNvGraphicFramePr/>
          </xdr:nvGraphicFramePr>
          <xdr:xfrm>
            <a:off x="0" y="0"/>
            <a:ext cx="0" cy="0"/>
          </xdr:xfrm>
          <a:graphic>
            <a:graphicData uri="http://schemas.microsoft.com/office/drawing/2012/timeslicer">
              <tsle:timeslicer name="Appointment_Date"/>
            </a:graphicData>
          </a:graphic>
        </xdr:graphicFrame>
      </mc:Choice>
      <mc:Fallback xmlns="">
        <xdr:sp macro="" textlink="">
          <xdr:nvSpPr>
            <xdr:cNvPr id="0" name=""/>
            <xdr:cNvSpPr>
              <a:spLocks noTextEdit="1"/>
            </xdr:cNvSpPr>
          </xdr:nvSpPr>
          <xdr:spPr>
            <a:xfrm>
              <a:off x="5737860" y="19347180"/>
              <a:ext cx="333756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13</xdr:col>
      <xdr:colOff>510540</xdr:colOff>
      <xdr:row>141</xdr:row>
      <xdr:rowOff>68580</xdr:rowOff>
    </xdr:from>
    <xdr:to>
      <xdr:col>18</xdr:col>
      <xdr:colOff>205740</xdr:colOff>
      <xdr:row>156</xdr:row>
      <xdr:rowOff>68580</xdr:rowOff>
    </xdr:to>
    <xdr:graphicFrame macro="">
      <xdr:nvGraphicFramePr>
        <xdr:cNvPr id="6" name="Chart 5">
          <a:extLst>
            <a:ext uri="{FF2B5EF4-FFF2-40B4-BE49-F238E27FC236}">
              <a16:creationId xmlns:a16="http://schemas.microsoft.com/office/drawing/2014/main" id="{CFC0CEDE-3E28-9C98-91C3-BC8BDD6132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609599</xdr:colOff>
      <xdr:row>9</xdr:row>
      <xdr:rowOff>171449</xdr:rowOff>
    </xdr:from>
    <xdr:to>
      <xdr:col>6</xdr:col>
      <xdr:colOff>685799</xdr:colOff>
      <xdr:row>31</xdr:row>
      <xdr:rowOff>9524</xdr:rowOff>
    </xdr:to>
    <xdr:graphicFrame macro="">
      <xdr:nvGraphicFramePr>
        <xdr:cNvPr id="2" name="Chart 1">
          <a:extLst>
            <a:ext uri="{FF2B5EF4-FFF2-40B4-BE49-F238E27FC236}">
              <a16:creationId xmlns:a16="http://schemas.microsoft.com/office/drawing/2014/main" id="{D5D4989F-7553-432F-B3C2-5803B9192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676274</xdr:colOff>
      <xdr:row>9</xdr:row>
      <xdr:rowOff>142875</xdr:rowOff>
    </xdr:from>
    <xdr:to>
      <xdr:col>15</xdr:col>
      <xdr:colOff>371474</xdr:colOff>
      <xdr:row>31</xdr:row>
      <xdr:rowOff>19051</xdr:rowOff>
    </xdr:to>
    <xdr:graphicFrame macro="">
      <xdr:nvGraphicFramePr>
        <xdr:cNvPr id="3" name="Chart 2">
          <a:extLst>
            <a:ext uri="{FF2B5EF4-FFF2-40B4-BE49-F238E27FC236}">
              <a16:creationId xmlns:a16="http://schemas.microsoft.com/office/drawing/2014/main" id="{A33C88C6-F069-4BD2-868E-2443973E3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40511</xdr:colOff>
      <xdr:row>35</xdr:row>
      <xdr:rowOff>1789</xdr:rowOff>
    </xdr:from>
    <xdr:to>
      <xdr:col>6</xdr:col>
      <xdr:colOff>735269</xdr:colOff>
      <xdr:row>54</xdr:row>
      <xdr:rowOff>97969</xdr:rowOff>
    </xdr:to>
    <xdr:graphicFrame macro="">
      <xdr:nvGraphicFramePr>
        <xdr:cNvPr id="4" name="Chart 3">
          <a:extLst>
            <a:ext uri="{FF2B5EF4-FFF2-40B4-BE49-F238E27FC236}">
              <a16:creationId xmlns:a16="http://schemas.microsoft.com/office/drawing/2014/main" id="{B67BA5A4-CC14-492E-961D-FF7BC0871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685800</xdr:colOff>
      <xdr:row>32</xdr:row>
      <xdr:rowOff>108856</xdr:rowOff>
    </xdr:from>
    <xdr:to>
      <xdr:col>15</xdr:col>
      <xdr:colOff>370115</xdr:colOff>
      <xdr:row>52</xdr:row>
      <xdr:rowOff>87086</xdr:rowOff>
    </xdr:to>
    <xdr:graphicFrame macro="">
      <xdr:nvGraphicFramePr>
        <xdr:cNvPr id="5" name="Chart 4">
          <a:extLst>
            <a:ext uri="{FF2B5EF4-FFF2-40B4-BE49-F238E27FC236}">
              <a16:creationId xmlns:a16="http://schemas.microsoft.com/office/drawing/2014/main" id="{F244887B-FC28-4434-BFB1-5049002C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387873</xdr:colOff>
      <xdr:row>35</xdr:row>
      <xdr:rowOff>14542</xdr:rowOff>
    </xdr:from>
    <xdr:to>
      <xdr:col>19</xdr:col>
      <xdr:colOff>437483</xdr:colOff>
      <xdr:row>44</xdr:row>
      <xdr:rowOff>148850</xdr:rowOff>
    </xdr:to>
    <mc:AlternateContent xmlns:mc="http://schemas.openxmlformats.org/markup-compatibility/2006" xmlns:a14="http://schemas.microsoft.com/office/drawing/2010/main">
      <mc:Choice Requires="a14">
        <xdr:graphicFrame macro="">
          <xdr:nvGraphicFramePr>
            <xdr:cNvPr id="6" name="Specialty">
              <a:extLst>
                <a:ext uri="{FF2B5EF4-FFF2-40B4-BE49-F238E27FC236}">
                  <a16:creationId xmlns:a16="http://schemas.microsoft.com/office/drawing/2014/main" id="{3E531C04-A952-5CFA-4766-41C1263C8125}"/>
                </a:ext>
              </a:extLst>
            </xdr:cNvPr>
            <xdr:cNvGraphicFramePr/>
          </xdr:nvGraphicFramePr>
          <xdr:xfrm>
            <a:off x="0" y="0"/>
            <a:ext cx="0" cy="0"/>
          </xdr:xfrm>
          <a:graphic>
            <a:graphicData uri="http://schemas.microsoft.com/office/drawing/2010/slicer">
              <sle:slicer xmlns:sle="http://schemas.microsoft.com/office/drawing/2010/slicer" name="Specialty"/>
            </a:graphicData>
          </a:graphic>
        </xdr:graphicFrame>
      </mc:Choice>
      <mc:Fallback xmlns="">
        <xdr:sp macro="" textlink="">
          <xdr:nvSpPr>
            <xdr:cNvPr id="0" name=""/>
            <xdr:cNvSpPr>
              <a:spLocks noTextEdit="1"/>
            </xdr:cNvSpPr>
          </xdr:nvSpPr>
          <xdr:spPr>
            <a:xfrm>
              <a:off x="17238959" y="6774571"/>
              <a:ext cx="1878410" cy="17998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762000</xdr:colOff>
      <xdr:row>11</xdr:row>
      <xdr:rowOff>115747</xdr:rowOff>
    </xdr:from>
    <xdr:to>
      <xdr:col>20</xdr:col>
      <xdr:colOff>443697</xdr:colOff>
      <xdr:row>24</xdr:row>
      <xdr:rowOff>77164</xdr:rowOff>
    </xdr:to>
    <xdr:sp macro="" textlink="">
      <xdr:nvSpPr>
        <xdr:cNvPr id="7" name="TextBox 6">
          <a:extLst>
            <a:ext uri="{FF2B5EF4-FFF2-40B4-BE49-F238E27FC236}">
              <a16:creationId xmlns:a16="http://schemas.microsoft.com/office/drawing/2014/main" id="{47B7A9FE-88AE-71C6-212F-5D70C3929187}"/>
            </a:ext>
          </a:extLst>
        </xdr:cNvPr>
        <xdr:cNvSpPr txBox="1"/>
      </xdr:nvSpPr>
      <xdr:spPr>
        <a:xfrm>
          <a:off x="16561443" y="2421038"/>
          <a:ext cx="3192684" cy="2343873"/>
        </a:xfrm>
        <a:prstGeom prst="rect">
          <a:avLst/>
        </a:prstGeom>
        <a:solidFill>
          <a:schemeClr val="accent1">
            <a:lumMod val="20000"/>
            <a:lumOff val="80000"/>
          </a:schemeClr>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KEY INSIGHTS</a:t>
          </a:r>
        </a:p>
        <a:p>
          <a:endParaRPr lang="en-GB" sz="1400" b="1"/>
        </a:p>
        <a:p>
          <a:pPr marL="171450" indent="-171450">
            <a:buFont typeface="Arial" panose="020B0604020202020204" pitchFamily="34" charset="0"/>
            <a:buChar char="•"/>
          </a:pPr>
          <a:r>
            <a:rPr lang="en-GB" sz="1100"/>
            <a:t>Deman</a:t>
          </a:r>
          <a:r>
            <a:rPr lang="en-GB" sz="1100" baseline="0"/>
            <a:t>d exceeded capacity in every month from May 2025 to March 2026, indcating sustained capacity pressure.</a:t>
          </a:r>
        </a:p>
        <a:p>
          <a:pPr marL="171450" indent="-171450">
            <a:buFont typeface="Arial" panose="020B0604020202020204" pitchFamily="34" charset="0"/>
            <a:buChar char="•"/>
          </a:pPr>
          <a:r>
            <a:rPr lang="en-GB" sz="1100" baseline="0"/>
            <a:t>Orthopaedics experienced the greatest capacity pressure and ended the reporting period with the highest closing backlog (171).</a:t>
          </a:r>
        </a:p>
        <a:p>
          <a:pPr marL="171450" indent="-171450">
            <a:buFont typeface="Arial" panose="020B0604020202020204" pitchFamily="34" charset="0"/>
            <a:buChar char="•"/>
          </a:pPr>
          <a:r>
            <a:rPr lang="en-GB" sz="1100" baseline="0"/>
            <a:t>Backlogs increased substantially over the year, particularly in Orthopaedics and Gastroenterology, which closed at 171 and 127 respectively/</a:t>
          </a:r>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Ajala" refreshedDate="46288.710397337964" createdVersion="8" refreshedVersion="8" minRefreshableVersion="3" recordCount="3200" xr:uid="{5E7330B6-FE14-44E1-B808-7B88D40BA62B}">
  <cacheSource type="worksheet">
    <worksheetSource name="Appointments"/>
  </cacheSource>
  <cacheFields count="14">
    <cacheField name="Appointment_ID" numFmtId="0">
      <sharedItems/>
    </cacheField>
    <cacheField name="Referral_Date" numFmtId="14">
      <sharedItems containsSemiMixedTypes="0" containsNonDate="0" containsDate="1" containsString="0" minDate="2025-04-01T00:00:00" maxDate="2026-03-31T00:00:00"/>
    </cacheField>
    <cacheField name="Appointment_Date" numFmtId="14">
      <sharedItems containsSemiMixedTypes="0" containsNonDate="0" containsDate="1" containsString="0" minDate="2025-04-07T00:00:00" maxDate="2026-06-24T00:00:00" count="410">
        <d v="2025-05-30T00:00:00"/>
        <d v="2026-02-13T00:00:00"/>
        <d v="2025-12-15T00:00:00"/>
        <d v="2025-09-21T00:00:00"/>
        <d v="2025-09-23T00:00:00"/>
        <d v="2026-03-02T00:00:00"/>
        <d v="2025-05-16T00:00:00"/>
        <d v="2026-01-16T00:00:00"/>
        <d v="2025-07-31T00:00:00"/>
        <d v="2025-05-11T00:00:00"/>
        <d v="2025-11-13T00:00:00"/>
        <d v="2026-04-22T00:00:00"/>
        <d v="2026-02-03T00:00:00"/>
        <d v="2026-02-06T00:00:00"/>
        <d v="2025-12-26T00:00:00"/>
        <d v="2026-01-24T00:00:00"/>
        <d v="2025-11-08T00:00:00"/>
        <d v="2025-07-09T00:00:00"/>
        <d v="2026-02-02T00:00:00"/>
        <d v="2025-10-22T00:00:00"/>
        <d v="2025-11-25T00:00:00"/>
        <d v="2025-09-14T00:00:00"/>
        <d v="2025-07-20T00:00:00"/>
        <d v="2026-03-26T00:00:00"/>
        <d v="2026-02-11T00:00:00"/>
        <d v="2025-11-26T00:00:00"/>
        <d v="2025-08-27T00:00:00"/>
        <d v="2026-03-17T00:00:00"/>
        <d v="2025-11-02T00:00:00"/>
        <d v="2025-10-05T00:00:00"/>
        <d v="2025-07-01T00:00:00"/>
        <d v="2025-06-04T00:00:00"/>
        <d v="2025-11-09T00:00:00"/>
        <d v="2026-03-31T00:00:00"/>
        <d v="2025-06-06T00:00:00"/>
        <d v="2026-03-19T00:00:00"/>
        <d v="2026-03-07T00:00:00"/>
        <d v="2025-09-11T00:00:00"/>
        <d v="2025-12-01T00:00:00"/>
        <d v="2025-07-04T00:00:00"/>
        <d v="2026-02-25T00:00:00"/>
        <d v="2025-08-17T00:00:00"/>
        <d v="2025-05-24T00:00:00"/>
        <d v="2026-05-18T00:00:00"/>
        <d v="2025-10-24T00:00:00"/>
        <d v="2026-03-30T00:00:00"/>
        <d v="2026-01-03T00:00:00"/>
        <d v="2025-07-10T00:00:00"/>
        <d v="2025-10-23T00:00:00"/>
        <d v="2025-10-21T00:00:00"/>
        <d v="2026-01-11T00:00:00"/>
        <d v="2026-02-05T00:00:00"/>
        <d v="2026-04-16T00:00:00"/>
        <d v="2026-02-01T00:00:00"/>
        <d v="2025-09-29T00:00:00"/>
        <d v="2026-05-14T00:00:00"/>
        <d v="2026-02-26T00:00:00"/>
        <d v="2025-10-15T00:00:00"/>
        <d v="2025-06-08T00:00:00"/>
        <d v="2025-11-11T00:00:00"/>
        <d v="2026-01-28T00:00:00"/>
        <d v="2025-06-28T00:00:00"/>
        <d v="2025-06-21T00:00:00"/>
        <d v="2026-01-15T00:00:00"/>
        <d v="2025-11-14T00:00:00"/>
        <d v="2025-08-02T00:00:00"/>
        <d v="2025-08-13T00:00:00"/>
        <d v="2025-11-27T00:00:00"/>
        <d v="2025-12-31T00:00:00"/>
        <d v="2025-05-31T00:00:00"/>
        <d v="2026-03-16T00:00:00"/>
        <d v="2025-11-24T00:00:00"/>
        <d v="2025-06-07T00:00:00"/>
        <d v="2025-09-17T00:00:00"/>
        <d v="2026-02-19T00:00:00"/>
        <d v="2025-10-01T00:00:00"/>
        <d v="2026-03-23T00:00:00"/>
        <d v="2025-08-07T00:00:00"/>
        <d v="2025-12-08T00:00:00"/>
        <d v="2026-01-05T00:00:00"/>
        <d v="2025-06-27T00:00:00"/>
        <d v="2026-02-20T00:00:00"/>
        <d v="2025-06-09T00:00:00"/>
        <d v="2026-03-13T00:00:00"/>
        <d v="2026-02-18T00:00:00"/>
        <d v="2025-10-29T00:00:00"/>
        <d v="2026-01-04T00:00:00"/>
        <d v="2025-08-12T00:00:00"/>
        <d v="2025-10-28T00:00:00"/>
        <d v="2025-11-01T00:00:00"/>
        <d v="2025-10-30T00:00:00"/>
        <d v="2025-06-05T00:00:00"/>
        <d v="2025-06-10T00:00:00"/>
        <d v="2025-09-15T00:00:00"/>
        <d v="2025-12-16T00:00:00"/>
        <d v="2025-12-20T00:00:00"/>
        <d v="2025-11-15T00:00:00"/>
        <d v="2026-03-01T00:00:00"/>
        <d v="2026-02-12T00:00:00"/>
        <d v="2025-11-28T00:00:00"/>
        <d v="2026-01-07T00:00:00"/>
        <d v="2025-11-17T00:00:00"/>
        <d v="2025-10-25T00:00:00"/>
        <d v="2025-05-13T00:00:00"/>
        <d v="2026-01-27T00:00:00"/>
        <d v="2025-08-31T00:00:00"/>
        <d v="2025-12-02T00:00:00"/>
        <d v="2025-08-08T00:00:00"/>
        <d v="2025-10-14T00:00:00"/>
        <d v="2026-04-07T00:00:00"/>
        <d v="2025-07-14T00:00:00"/>
        <d v="2025-08-16T00:00:00"/>
        <d v="2025-08-29T00:00:00"/>
        <d v="2026-05-06T00:00:00"/>
        <d v="2026-04-15T00:00:00"/>
        <d v="2025-05-09T00:00:00"/>
        <d v="2025-08-03T00:00:00"/>
        <d v="2025-09-22T00:00:00"/>
        <d v="2026-01-21T00:00:00"/>
        <d v="2026-05-21T00:00:00"/>
        <d v="2025-12-07T00:00:00"/>
        <d v="2025-09-19T00:00:00"/>
        <d v="2025-11-03T00:00:00"/>
        <d v="2026-02-27T00:00:00"/>
        <d v="2025-06-25T00:00:00"/>
        <d v="2025-09-05T00:00:00"/>
        <d v="2025-05-14T00:00:00"/>
        <d v="2025-06-11T00:00:00"/>
        <d v="2025-12-28T00:00:00"/>
        <d v="2025-11-06T00:00:00"/>
        <d v="2025-06-29T00:00:00"/>
        <d v="2026-03-14T00:00:00"/>
        <d v="2026-04-05T00:00:00"/>
        <d v="2025-07-26T00:00:00"/>
        <d v="2025-11-12T00:00:00"/>
        <d v="2025-12-21T00:00:00"/>
        <d v="2025-06-24T00:00:00"/>
        <d v="2025-09-26T00:00:00"/>
        <d v="2025-07-22T00:00:00"/>
        <d v="2025-09-08T00:00:00"/>
        <d v="2025-12-09T00:00:00"/>
        <d v="2025-09-03T00:00:00"/>
        <d v="2026-05-09T00:00:00"/>
        <d v="2025-06-17T00:00:00"/>
        <d v="2025-10-07T00:00:00"/>
        <d v="2025-07-27T00:00:00"/>
        <d v="2025-08-18T00:00:00"/>
        <d v="2025-08-25T00:00:00"/>
        <d v="2026-03-18T00:00:00"/>
        <d v="2025-09-30T00:00:00"/>
        <d v="2026-01-17T00:00:00"/>
        <d v="2026-05-08T00:00:00"/>
        <d v="2025-07-23T00:00:00"/>
        <d v="2026-04-04T00:00:00"/>
        <d v="2026-01-22T00:00:00"/>
        <d v="2025-06-13T00:00:00"/>
        <d v="2025-09-24T00:00:00"/>
        <d v="2026-04-25T00:00:00"/>
        <d v="2025-07-05T00:00:00"/>
        <d v="2025-10-19T00:00:00"/>
        <d v="2025-06-30T00:00:00"/>
        <d v="2026-02-04T00:00:00"/>
        <d v="2026-03-15T00:00:00"/>
        <d v="2026-03-12T00:00:00"/>
        <d v="2025-05-17T00:00:00"/>
        <d v="2026-01-31T00:00:00"/>
        <d v="2025-12-27T00:00:00"/>
        <d v="2025-08-15T00:00:00"/>
        <d v="2025-12-12T00:00:00"/>
        <d v="2025-12-11T00:00:00"/>
        <d v="2025-06-03T00:00:00"/>
        <d v="2025-05-03T00:00:00"/>
        <d v="2025-10-03T00:00:00"/>
        <d v="2026-02-16T00:00:00"/>
        <d v="2025-07-17T00:00:00"/>
        <d v="2025-09-02T00:00:00"/>
        <d v="2025-06-18T00:00:00"/>
        <d v="2026-01-18T00:00:00"/>
        <d v="2025-07-16T00:00:00"/>
        <d v="2025-11-30T00:00:00"/>
        <d v="2025-09-13T00:00:00"/>
        <d v="2026-04-18T00:00:00"/>
        <d v="2025-05-15T00:00:00"/>
        <d v="2026-04-26T00:00:00"/>
        <d v="2025-10-26T00:00:00"/>
        <d v="2026-02-09T00:00:00"/>
        <d v="2025-05-19T00:00:00"/>
        <d v="2026-01-20T00:00:00"/>
        <d v="2025-10-04T00:00:00"/>
        <d v="2026-03-10T00:00:00"/>
        <d v="2025-07-03T00:00:00"/>
        <d v="2025-11-05T00:00:00"/>
        <d v="2026-04-12T00:00:00"/>
        <d v="2025-08-24T00:00:00"/>
        <d v="2025-04-17T00:00:00"/>
        <d v="2026-02-10T00:00:00"/>
        <d v="2025-08-19T00:00:00"/>
        <d v="2025-12-05T00:00:00"/>
        <d v="2025-08-21T00:00:00"/>
        <d v="2025-12-25T00:00:00"/>
        <d v="2025-07-25T00:00:00"/>
        <d v="2025-07-13T00:00:00"/>
        <d v="2025-11-29T00:00:00"/>
        <d v="2026-02-08T00:00:00"/>
        <d v="2026-05-07T00:00:00"/>
        <d v="2026-01-10T00:00:00"/>
        <d v="2025-09-12T00:00:00"/>
        <d v="2025-12-06T00:00:00"/>
        <d v="2025-08-01T00:00:00"/>
        <d v="2025-07-11T00:00:00"/>
        <d v="2025-05-22T00:00:00"/>
        <d v="2025-05-28T00:00:00"/>
        <d v="2025-08-05T00:00:00"/>
        <d v="2026-01-30T00:00:00"/>
        <d v="2026-03-24T00:00:00"/>
        <d v="2025-09-06T00:00:00"/>
        <d v="2026-03-28T00:00:00"/>
        <d v="2025-12-13T00:00:00"/>
        <d v="2025-09-07T00:00:00"/>
        <d v="2026-04-11T00:00:00"/>
        <d v="2026-05-01T00:00:00"/>
        <d v="2026-04-13T00:00:00"/>
        <d v="2025-06-02T00:00:00"/>
        <d v="2026-01-06T00:00:00"/>
        <d v="2026-02-17T00:00:00"/>
        <d v="2025-06-23T00:00:00"/>
        <d v="2025-06-16T00:00:00"/>
        <d v="2025-10-12T00:00:00"/>
        <d v="2025-08-09T00:00:00"/>
        <d v="2025-05-29T00:00:00"/>
        <d v="2026-02-24T00:00:00"/>
        <d v="2025-12-24T00:00:00"/>
        <d v="2025-09-16T00:00:00"/>
        <d v="2025-07-07T00:00:00"/>
        <d v="2025-04-14T00:00:00"/>
        <d v="2025-05-10T00:00:00"/>
        <d v="2026-02-15T00:00:00"/>
        <d v="2026-01-26T00:00:00"/>
        <d v="2025-08-10T00:00:00"/>
        <d v="2026-04-19T00:00:00"/>
        <d v="2025-10-20T00:00:00"/>
        <d v="2026-04-03T00:00:00"/>
        <d v="2025-05-25T00:00:00"/>
        <d v="2026-03-21T00:00:00"/>
        <d v="2025-06-22T00:00:00"/>
        <d v="2025-09-18T00:00:00"/>
        <d v="2026-01-02T00:00:00"/>
        <d v="2025-04-30T00:00:00"/>
        <d v="2025-06-12T00:00:00"/>
        <d v="2026-02-07T00:00:00"/>
        <d v="2026-03-06T00:00:00"/>
        <d v="2025-10-11T00:00:00"/>
        <d v="2025-12-03T00:00:00"/>
        <d v="2026-04-06T00:00:00"/>
        <d v="2025-08-11T00:00:00"/>
        <d v="2025-08-26T00:00:00"/>
        <d v="2026-03-29T00:00:00"/>
        <d v="2025-12-10T00:00:00"/>
        <d v="2025-04-13T00:00:00"/>
        <d v="2025-07-15T00:00:00"/>
        <d v="2026-04-01T00:00:00"/>
        <d v="2026-02-21T00:00:00"/>
        <d v="2026-02-28T00:00:00"/>
        <d v="2025-06-19T00:00:00"/>
        <d v="2025-11-23T00:00:00"/>
        <d v="2025-11-21T00:00:00"/>
        <d v="2026-04-23T00:00:00"/>
        <d v="2026-02-22T00:00:00"/>
        <d v="2025-10-13T00:00:00"/>
        <d v="2025-05-20T00:00:00"/>
        <d v="2026-01-29T00:00:00"/>
        <d v="2025-08-20T00:00:00"/>
        <d v="2026-04-21T00:00:00"/>
        <d v="2025-09-20T00:00:00"/>
        <d v="2026-03-04T00:00:00"/>
        <d v="2026-04-14T00:00:00"/>
        <d v="2025-10-16T00:00:00"/>
        <d v="2026-01-23T00:00:00"/>
        <d v="2025-04-25T00:00:00"/>
        <d v="2025-07-02T00:00:00"/>
        <d v="2025-07-21T00:00:00"/>
        <d v="2025-11-18T00:00:00"/>
        <d v="2025-09-01T00:00:00"/>
        <d v="2025-10-31T00:00:00"/>
        <d v="2025-05-21T00:00:00"/>
        <d v="2025-10-17T00:00:00"/>
        <d v="2025-07-12T00:00:00"/>
        <d v="2026-01-01T00:00:00"/>
        <d v="2025-12-18T00:00:00"/>
        <d v="2026-04-17T00:00:00"/>
        <d v="2025-04-23T00:00:00"/>
        <d v="2026-03-25T00:00:00"/>
        <d v="2026-03-11T00:00:00"/>
        <d v="2026-03-03T00:00:00"/>
        <d v="2025-10-09T00:00:00"/>
        <d v="2026-04-08T00:00:00"/>
        <d v="2025-07-29T00:00:00"/>
        <d v="2025-09-25T00:00:00"/>
        <d v="2025-08-22T00:00:00"/>
        <d v="2026-02-14T00:00:00"/>
        <d v="2025-11-07T00:00:00"/>
        <d v="2026-04-30T00:00:00"/>
        <d v="2026-01-14T00:00:00"/>
        <d v="2025-11-19T00:00:00"/>
        <d v="2025-07-08T00:00:00"/>
        <d v="2025-05-18T00:00:00"/>
        <d v="2025-12-04T00:00:00"/>
        <d v="2026-04-09T00:00:00"/>
        <d v="2025-11-16T00:00:00"/>
        <d v="2026-04-27T00:00:00"/>
        <d v="2026-01-19T00:00:00"/>
        <d v="2025-08-04T00:00:00"/>
        <d v="2025-12-19T00:00:00"/>
        <d v="2025-08-28T00:00:00"/>
        <d v="2025-07-06T00:00:00"/>
        <d v="2026-05-04T00:00:00"/>
        <d v="2025-10-18T00:00:00"/>
        <d v="2026-02-23T00:00:00"/>
        <d v="2025-11-22T00:00:00"/>
        <d v="2025-10-06T00:00:00"/>
        <d v="2026-04-02T00:00:00"/>
        <d v="2025-08-30T00:00:00"/>
        <d v="2025-06-15T00:00:00"/>
        <d v="2025-11-10T00:00:00"/>
        <d v="2025-12-17T00:00:00"/>
        <d v="2025-05-23T00:00:00"/>
        <d v="2025-06-20T00:00:00"/>
        <d v="2026-03-05T00:00:00"/>
        <d v="2025-07-19T00:00:00"/>
        <d v="2025-09-09T00:00:00"/>
        <d v="2026-05-17T00:00:00"/>
        <d v="2025-05-02T00:00:00"/>
        <d v="2026-05-02T00:00:00"/>
        <d v="2025-05-27T00:00:00"/>
        <d v="2025-12-30T00:00:00"/>
        <d v="2025-05-26T00:00:00"/>
        <d v="2025-04-29T00:00:00"/>
        <d v="2025-05-06T00:00:00"/>
        <d v="2025-04-21T00:00:00"/>
        <d v="2025-04-07T00:00:00"/>
        <d v="2026-04-10T00:00:00"/>
        <d v="2026-01-09T00:00:00"/>
        <d v="2025-09-28T00:00:00"/>
        <d v="2025-06-01T00:00:00"/>
        <d v="2026-01-25T00:00:00"/>
        <d v="2025-04-28T00:00:00"/>
        <d v="2025-04-27T00:00:00"/>
        <d v="2025-11-20T00:00:00"/>
        <d v="2026-04-20T00:00:00"/>
        <d v="2025-06-26T00:00:00"/>
        <d v="2025-12-14T00:00:00"/>
        <d v="2026-05-22T00:00:00"/>
        <d v="2026-05-03T00:00:00"/>
        <d v="2026-05-20T00:00:00"/>
        <d v="2025-10-27T00:00:00"/>
        <d v="2025-08-14T00:00:00"/>
        <d v="2026-05-16T00:00:00"/>
        <d v="2026-03-20T00:00:00"/>
        <d v="2025-05-08T00:00:00"/>
        <d v="2026-03-09T00:00:00"/>
        <d v="2025-09-10T00:00:00"/>
        <d v="2025-05-01T00:00:00"/>
        <d v="2026-01-08T00:00:00"/>
        <d v="2025-10-02T00:00:00"/>
        <d v="2025-12-29T00:00:00"/>
        <d v="2025-07-24T00:00:00"/>
        <d v="2026-01-13T00:00:00"/>
        <d v="2026-04-29T00:00:00"/>
        <d v="2026-03-22T00:00:00"/>
        <d v="2025-10-08T00:00:00"/>
        <d v="2025-10-10T00:00:00"/>
        <d v="2026-03-27T00:00:00"/>
        <d v="2025-08-23T00:00:00"/>
        <d v="2026-05-31T00:00:00"/>
        <d v="2025-12-23T00:00:00"/>
        <d v="2025-04-26T00:00:00"/>
        <d v="2026-06-06T00:00:00"/>
        <d v="2026-03-08T00:00:00"/>
        <d v="2025-06-14T00:00:00"/>
        <d v="2025-05-04T00:00:00"/>
        <d v="2025-07-18T00:00:00"/>
        <d v="2025-11-04T00:00:00"/>
        <d v="2025-07-30T00:00:00"/>
        <d v="2026-05-26T00:00:00"/>
        <d v="2026-05-30T00:00:00"/>
        <d v="2026-05-15T00:00:00"/>
        <d v="2025-04-22T00:00:00"/>
        <d v="2026-05-05T00:00:00"/>
        <d v="2025-09-04T00:00:00"/>
        <d v="2025-04-10T00:00:00"/>
        <d v="2026-01-12T00:00:00"/>
        <d v="2025-08-06T00:00:00"/>
        <d v="2025-04-24T00:00:00"/>
        <d v="2025-07-28T00:00:00"/>
        <d v="2026-04-24T00:00:00"/>
        <d v="2025-05-05T00:00:00"/>
        <d v="2025-12-22T00:00:00"/>
        <d v="2026-06-23T00:00:00"/>
        <d v="2026-05-12T00:00:00"/>
        <d v="2025-05-07T00:00:00"/>
        <d v="2026-05-10T00:00:00"/>
        <d v="2026-04-28T00:00:00"/>
        <d v="2026-05-11T00:00:00"/>
        <d v="2026-05-13T00:00:00"/>
        <d v="2026-05-19T00:00:00"/>
        <d v="2026-05-27T00:00:00"/>
        <d v="2026-05-24T00:00:00"/>
        <d v="2025-05-12T00:00:00"/>
        <d v="2026-05-23T00:00:00"/>
        <d v="2025-09-27T00:00:00"/>
      </sharedItems>
      <fieldGroup par="13"/>
    </cacheField>
    <cacheField name="Specialty" numFmtId="0">
      <sharedItems count="5">
        <s v="Dermatology"/>
        <s v="Cardiology"/>
        <s v="Gastroenterology"/>
        <s v="Neurology"/>
        <s v="Orthopaedics"/>
      </sharedItems>
    </cacheField>
    <cacheField name="Appointment_Type" numFmtId="0">
      <sharedItems/>
    </cacheField>
    <cacheField name="Priority" numFmtId="0">
      <sharedItems/>
    </cacheField>
    <cacheField name="Status" numFmtId="0">
      <sharedItems count="3">
        <s v="Attended"/>
        <s v="DNA"/>
        <s v="Cancelled"/>
      </sharedItems>
    </cacheField>
    <cacheField name="Clinic" numFmtId="0">
      <sharedItems/>
    </cacheField>
    <cacheField name="Location" numFmtId="0">
      <sharedItems/>
    </cacheField>
    <cacheField name="Slot_Duration_Minutes" numFmtId="0">
      <sharedItems containsSemiMixedTypes="0" containsString="0" containsNumber="1" containsInteger="1" minValue="15" maxValue="45"/>
    </cacheField>
    <cacheField name="Waiting_Days" numFmtId="0">
      <sharedItems containsSemiMixedTypes="0" containsString="0" containsNumber="1" containsInteger="1" minValue="2" maxValue="97"/>
    </cacheField>
    <cacheField name="Waiting_Time_Band" numFmtId="0">
      <sharedItems count="5">
        <s v="15-28 days"/>
        <s v="29-42 days"/>
        <s v="0-14 days"/>
        <s v="43-56 days"/>
        <s v="57+ days"/>
      </sharedItems>
    </cacheField>
    <cacheField name="Months (Appointment_Date)" numFmtId="0" databaseField="0">
      <fieldGroup base="2">
        <rangePr groupBy="months" startDate="2025-04-07T00:00:00" endDate="2026-06-24T00:00:00"/>
        <groupItems count="14">
          <s v="&lt;07/04/2025"/>
          <s v="Jan"/>
          <s v="Feb"/>
          <s v="Mar"/>
          <s v="Apr"/>
          <s v="May"/>
          <s v="Jun"/>
          <s v="Jul"/>
          <s v="Aug"/>
          <s v="Sep"/>
          <s v="Oct"/>
          <s v="Nov"/>
          <s v="Dec"/>
          <s v="&gt;24/06/2026"/>
        </groupItems>
      </fieldGroup>
    </cacheField>
    <cacheField name="Years (Appointment_Date)" numFmtId="0" databaseField="0">
      <fieldGroup base="2">
        <rangePr groupBy="years" startDate="2025-04-07T00:00:00" endDate="2026-06-24T00:00:00"/>
        <groupItems count="4">
          <s v="&lt;07/04/2025"/>
          <s v="2025"/>
          <s v="2026"/>
          <s v="&gt;24/06/2026"/>
        </groupItems>
      </fieldGroup>
    </cacheField>
  </cacheFields>
  <extLst>
    <ext xmlns:x14="http://schemas.microsoft.com/office/spreadsheetml/2009/9/main" uri="{725AE2AE-9491-48be-B2B4-4EB974FC3084}">
      <x14:pivotCacheDefinition pivotCacheId="11650412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Ajala" refreshedDate="46288.730789120367" createdVersion="8" refreshedVersion="8" minRefreshableVersion="3" recordCount="60" xr:uid="{3F077740-3DDA-4108-A2AD-ED9C49DEC0BB}">
  <cacheSource type="worksheet">
    <worksheetSource ref="A1:K61" sheet="Analysis"/>
  </cacheSource>
  <cacheFields count="11">
    <cacheField name="Month" numFmtId="17">
      <sharedItems containsSemiMixedTypes="0" containsNonDate="0" containsDate="1" containsString="0" minDate="2025-04-01T00:00:00" maxDate="2026-03-02T00:00:00" count="12">
        <d v="2025-04-01T00:00:00"/>
        <d v="2025-05-01T00:00:00"/>
        <d v="2025-06-01T00:00:00"/>
        <d v="2025-07-01T00:00:00"/>
        <d v="2025-08-01T00:00:00"/>
        <d v="2025-09-01T00:00:00"/>
        <d v="2025-10-01T00:00:00"/>
        <d v="2025-11-01T00:00:00"/>
        <d v="2025-12-01T00:00:00"/>
        <d v="2026-01-01T00:00:00"/>
        <d v="2026-02-01T00:00:00"/>
        <d v="2026-03-01T00:00:00"/>
      </sharedItems>
    </cacheField>
    <cacheField name="Specialty" numFmtId="0">
      <sharedItems count="5">
        <s v="Cardiology"/>
        <s v="Dermatology"/>
        <s v="Gastroenterology"/>
        <s v="Neurology"/>
        <s v="Orthopaedics"/>
      </sharedItems>
    </cacheField>
    <cacheField name="Demand" numFmtId="0">
      <sharedItems containsSemiMixedTypes="0" containsString="0" containsNumber="1" containsInteger="1" minValue="6" maxValue="73"/>
    </cacheField>
    <cacheField name="Capacity" numFmtId="0">
      <sharedItems containsSemiMixedTypes="0" containsString="0" containsNumber="1" containsInteger="1" minValue="10" maxValue="63"/>
    </cacheField>
    <cacheField name="Activity" numFmtId="0">
      <sharedItems containsSemiMixedTypes="0" containsString="0" containsNumber="1" containsInteger="1" minValue="3" maxValue="57"/>
    </cacheField>
    <cacheField name="Demand-Capacity Gap" numFmtId="0">
      <sharedItems containsSemiMixedTypes="0" containsString="0" containsNumber="1" containsInteger="1" minValue="-5" maxValue="25"/>
    </cacheField>
    <cacheField name="Utilisation %" numFmtId="10">
      <sharedItems containsSemiMixedTypes="0" containsString="0" containsNumber="1" minValue="0.3" maxValue="1.2162162162162162"/>
    </cacheField>
    <cacheField name="DNA Rate" numFmtId="10">
      <sharedItems containsSemiMixedTypes="0" containsString="0" containsNumber="1" minValue="0" maxValue="0.22222222222222221"/>
    </cacheField>
    <cacheField name="Cancellation Rate" numFmtId="10">
      <sharedItems containsSemiMixedTypes="0" containsString="0" containsNumber="1" minValue="0" maxValue="0.5"/>
    </cacheField>
    <cacheField name="Avg Waiting Days" numFmtId="164">
      <sharedItems containsSemiMixedTypes="0" containsString="0" containsNumber="1" minValue="12.7" maxValue="39.568627450980394"/>
    </cacheField>
    <cacheField name="Closing Backlog" numFmtId="0">
      <sharedItems containsSemiMixedTypes="0" containsString="0" containsNumber="1" containsInteger="1" minValue="0" maxValue="171"/>
    </cacheField>
  </cacheFields>
  <extLst>
    <ext xmlns:x14="http://schemas.microsoft.com/office/spreadsheetml/2009/9/main" uri="{725AE2AE-9491-48be-B2B4-4EB974FC3084}">
      <x14:pivotCacheDefinition pivotCacheId="8122160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0">
  <r>
    <s v="APT00001"/>
    <d v="2025-05-03T00:00:00"/>
    <x v="0"/>
    <x v="0"/>
    <s v="Follow-up"/>
    <s v="Routine"/>
    <x v="0"/>
    <s v="Dermatology B"/>
    <s v="Riverside Clinic"/>
    <n v="15"/>
    <n v="27"/>
    <x v="0"/>
  </r>
  <r>
    <s v="APT00002"/>
    <d v="2026-01-07T00:00:00"/>
    <x v="1"/>
    <x v="0"/>
    <s v="Follow-up"/>
    <s v="Routine"/>
    <x v="0"/>
    <s v="Dermatology B"/>
    <s v="Riverside Clinic"/>
    <n v="15"/>
    <n v="37"/>
    <x v="1"/>
  </r>
  <r>
    <s v="APT00003"/>
    <d v="2025-11-25T00:00:00"/>
    <x v="2"/>
    <x v="1"/>
    <s v="New"/>
    <s v="Routine"/>
    <x v="0"/>
    <s v="Cardiology A"/>
    <s v="Royal South Hospital"/>
    <n v="45"/>
    <n v="20"/>
    <x v="0"/>
  </r>
  <r>
    <s v="APT00004"/>
    <d v="2025-09-07T00:00:00"/>
    <x v="3"/>
    <x v="2"/>
    <s v="Follow-up"/>
    <s v="Routine"/>
    <x v="0"/>
    <s v="Gastro B"/>
    <s v="Royal South Hospital"/>
    <n v="15"/>
    <n v="14"/>
    <x v="2"/>
  </r>
  <r>
    <s v="APT00005"/>
    <d v="2025-09-05T00:00:00"/>
    <x v="4"/>
    <x v="3"/>
    <s v="New"/>
    <s v="Routine"/>
    <x v="1"/>
    <s v="Neurology A"/>
    <s v="Riverside Clinic"/>
    <n v="30"/>
    <n v="18"/>
    <x v="0"/>
  </r>
  <r>
    <s v="APT00006"/>
    <d v="2026-02-07T00:00:00"/>
    <x v="5"/>
    <x v="0"/>
    <s v="Follow-up"/>
    <s v="Routine"/>
    <x v="0"/>
    <s v="Dermatology B"/>
    <s v="Royal South Hospital"/>
    <n v="15"/>
    <n v="23"/>
    <x v="0"/>
  </r>
  <r>
    <s v="APT00007"/>
    <d v="2025-05-02T00:00:00"/>
    <x v="6"/>
    <x v="4"/>
    <s v="New"/>
    <s v="Urgent"/>
    <x v="0"/>
    <s v="Orthopaedics A"/>
    <s v="Royal South Hospital"/>
    <n v="30"/>
    <n v="14"/>
    <x v="2"/>
  </r>
  <r>
    <s v="APT00008"/>
    <d v="2025-12-10T00:00:00"/>
    <x v="7"/>
    <x v="4"/>
    <s v="Follow-up"/>
    <s v="Routine"/>
    <x v="0"/>
    <s v="Orthopaedics A"/>
    <s v="Central Outpatients"/>
    <n v="15"/>
    <n v="37"/>
    <x v="1"/>
  </r>
  <r>
    <s v="APT00009"/>
    <d v="2025-06-13T00:00:00"/>
    <x v="8"/>
    <x v="1"/>
    <s v="Follow-up"/>
    <s v="Urgent"/>
    <x v="0"/>
    <s v="Cardiology B"/>
    <s v="Riverside Clinic"/>
    <n v="30"/>
    <n v="48"/>
    <x v="3"/>
  </r>
  <r>
    <s v="APT00010"/>
    <d v="2025-05-05T00:00:00"/>
    <x v="9"/>
    <x v="3"/>
    <s v="New"/>
    <s v="Urgent"/>
    <x v="1"/>
    <s v="Neurology A"/>
    <s v="Royal South Hospital"/>
    <n v="30"/>
    <n v="6"/>
    <x v="2"/>
  </r>
  <r>
    <s v="APT00011"/>
    <d v="2025-10-09T00:00:00"/>
    <x v="10"/>
    <x v="0"/>
    <s v="Follow-up"/>
    <s v="Routine"/>
    <x v="0"/>
    <s v="Dermatology A"/>
    <s v="Royal South Hospital"/>
    <n v="15"/>
    <n v="35"/>
    <x v="1"/>
  </r>
  <r>
    <s v="APT00012"/>
    <d v="2026-03-22T00:00:00"/>
    <x v="11"/>
    <x v="4"/>
    <s v="New"/>
    <s v="Routine"/>
    <x v="0"/>
    <s v="Orthopaedics B"/>
    <s v="Royal South Hospital"/>
    <n v="45"/>
    <n v="31"/>
    <x v="1"/>
  </r>
  <r>
    <s v="APT00013"/>
    <d v="2025-12-24T00:00:00"/>
    <x v="12"/>
    <x v="0"/>
    <s v="New"/>
    <s v="Urgent"/>
    <x v="0"/>
    <s v="Dermatology B"/>
    <s v="Royal South Hospital"/>
    <n v="30"/>
    <n v="41"/>
    <x v="1"/>
  </r>
  <r>
    <s v="APT00014"/>
    <d v="2026-01-03T00:00:00"/>
    <x v="13"/>
    <x v="0"/>
    <s v="New"/>
    <s v="Routine"/>
    <x v="0"/>
    <s v="Dermatology B"/>
    <s v="Central Outpatients"/>
    <n v="30"/>
    <n v="34"/>
    <x v="1"/>
  </r>
  <r>
    <s v="APT00015"/>
    <d v="2025-12-18T00:00:00"/>
    <x v="14"/>
    <x v="2"/>
    <s v="New"/>
    <s v="Routine"/>
    <x v="2"/>
    <s v="Gastro A"/>
    <s v="Riverside Clinic"/>
    <n v="45"/>
    <n v="8"/>
    <x v="2"/>
  </r>
  <r>
    <s v="APT00016"/>
    <d v="2026-01-12T00:00:00"/>
    <x v="15"/>
    <x v="0"/>
    <s v="Follow-up"/>
    <s v="Routine"/>
    <x v="2"/>
    <s v="Dermatology A"/>
    <s v="Royal South Hospital"/>
    <n v="30"/>
    <n v="12"/>
    <x v="2"/>
  </r>
  <r>
    <s v="APT00017"/>
    <d v="2025-10-04T00:00:00"/>
    <x v="16"/>
    <x v="3"/>
    <s v="New"/>
    <s v="Routine"/>
    <x v="0"/>
    <s v="Neurology A"/>
    <s v="Royal South Hospital"/>
    <n v="45"/>
    <n v="35"/>
    <x v="1"/>
  </r>
  <r>
    <s v="APT00018"/>
    <d v="2025-05-17T00:00:00"/>
    <x v="17"/>
    <x v="2"/>
    <s v="Follow-up"/>
    <s v="Urgent"/>
    <x v="0"/>
    <s v="Gastro A"/>
    <s v="Royal South Hospital"/>
    <n v="15"/>
    <n v="53"/>
    <x v="3"/>
  </r>
  <r>
    <s v="APT00019"/>
    <d v="2026-01-31T00:00:00"/>
    <x v="18"/>
    <x v="0"/>
    <s v="New"/>
    <s v="Routine"/>
    <x v="2"/>
    <s v="Dermatology B"/>
    <s v="Royal South Hospital"/>
    <n v="30"/>
    <n v="2"/>
    <x v="2"/>
  </r>
  <r>
    <s v="APT00020"/>
    <d v="2025-09-11T00:00:00"/>
    <x v="19"/>
    <x v="2"/>
    <s v="Follow-up"/>
    <s v="Urgent"/>
    <x v="0"/>
    <s v="Gastro A"/>
    <s v="Riverside Clinic"/>
    <n v="30"/>
    <n v="41"/>
    <x v="1"/>
  </r>
  <r>
    <s v="APT00021"/>
    <d v="2025-09-30T00:00:00"/>
    <x v="20"/>
    <x v="4"/>
    <s v="Follow-up"/>
    <s v="Routine"/>
    <x v="0"/>
    <s v="Orthopaedics A"/>
    <s v="Royal South Hospital"/>
    <n v="30"/>
    <n v="56"/>
    <x v="3"/>
  </r>
  <r>
    <s v="APT00022"/>
    <d v="2025-08-13T00:00:00"/>
    <x v="21"/>
    <x v="4"/>
    <s v="Follow-up"/>
    <s v="Routine"/>
    <x v="2"/>
    <s v="Orthopaedics B"/>
    <s v="Central Outpatients"/>
    <n v="30"/>
    <n v="32"/>
    <x v="1"/>
  </r>
  <r>
    <s v="APT00023"/>
    <d v="2025-06-06T00:00:00"/>
    <x v="22"/>
    <x v="2"/>
    <s v="New"/>
    <s v="Routine"/>
    <x v="0"/>
    <s v="Gastro B"/>
    <s v="Riverside Clinic"/>
    <n v="30"/>
    <n v="44"/>
    <x v="3"/>
  </r>
  <r>
    <s v="APT00024"/>
    <d v="2026-03-04T00:00:00"/>
    <x v="23"/>
    <x v="0"/>
    <s v="New"/>
    <s v="Urgent"/>
    <x v="2"/>
    <s v="Dermatology A"/>
    <s v="Central Outpatients"/>
    <n v="30"/>
    <n v="22"/>
    <x v="0"/>
  </r>
  <r>
    <s v="APT00025"/>
    <d v="2026-01-10T00:00:00"/>
    <x v="24"/>
    <x v="1"/>
    <s v="Follow-up"/>
    <s v="Urgent"/>
    <x v="0"/>
    <s v="Cardiology A"/>
    <s v="Central Outpatients"/>
    <n v="30"/>
    <n v="32"/>
    <x v="1"/>
  </r>
  <r>
    <s v="APT00026"/>
    <d v="2025-11-21T00:00:00"/>
    <x v="25"/>
    <x v="4"/>
    <s v="Follow-up"/>
    <s v="Urgent"/>
    <x v="2"/>
    <s v="Orthopaedics A"/>
    <s v="Central Outpatients"/>
    <n v="15"/>
    <n v="5"/>
    <x v="2"/>
  </r>
  <r>
    <s v="APT00027"/>
    <d v="2025-08-25T00:00:00"/>
    <x v="26"/>
    <x v="3"/>
    <s v="Follow-up"/>
    <s v="Routine"/>
    <x v="0"/>
    <s v="Neurology A"/>
    <s v="Central Outpatients"/>
    <n v="15"/>
    <n v="2"/>
    <x v="2"/>
  </r>
  <r>
    <s v="APT00028"/>
    <d v="2026-01-25T00:00:00"/>
    <x v="27"/>
    <x v="2"/>
    <s v="New"/>
    <s v="Routine"/>
    <x v="0"/>
    <s v="Gastro A"/>
    <s v="Royal South Hospital"/>
    <n v="45"/>
    <n v="51"/>
    <x v="3"/>
  </r>
  <r>
    <s v="APT00029"/>
    <d v="2025-10-16T00:00:00"/>
    <x v="28"/>
    <x v="4"/>
    <s v="New"/>
    <s v="Routine"/>
    <x v="0"/>
    <s v="Orthopaedics A"/>
    <s v="Royal South Hospital"/>
    <n v="30"/>
    <n v="17"/>
    <x v="0"/>
  </r>
  <r>
    <s v="APT00030"/>
    <d v="2025-09-09T00:00:00"/>
    <x v="29"/>
    <x v="1"/>
    <s v="Follow-up"/>
    <s v="Urgent"/>
    <x v="0"/>
    <s v="Cardiology B"/>
    <s v="Royal South Hospital"/>
    <n v="15"/>
    <n v="26"/>
    <x v="0"/>
  </r>
  <r>
    <s v="APT00031"/>
    <d v="2025-09-11T00:00:00"/>
    <x v="3"/>
    <x v="3"/>
    <s v="Follow-up"/>
    <s v="Routine"/>
    <x v="0"/>
    <s v="Neurology B"/>
    <s v="Riverside Clinic"/>
    <n v="15"/>
    <n v="10"/>
    <x v="2"/>
  </r>
  <r>
    <s v="APT00032"/>
    <d v="2025-06-22T00:00:00"/>
    <x v="30"/>
    <x v="1"/>
    <s v="Follow-up"/>
    <s v="Routine"/>
    <x v="2"/>
    <s v="Cardiology B"/>
    <s v="Riverside Clinic"/>
    <n v="30"/>
    <n v="9"/>
    <x v="2"/>
  </r>
  <r>
    <s v="APT00033"/>
    <d v="2025-05-04T00:00:00"/>
    <x v="31"/>
    <x v="1"/>
    <s v="New"/>
    <s v="Routine"/>
    <x v="2"/>
    <s v="Cardiology B"/>
    <s v="Royal South Hospital"/>
    <n v="30"/>
    <n v="31"/>
    <x v="1"/>
  </r>
  <r>
    <s v="APT00034"/>
    <d v="2025-10-19T00:00:00"/>
    <x v="32"/>
    <x v="2"/>
    <s v="New"/>
    <s v="Routine"/>
    <x v="2"/>
    <s v="Gastro A"/>
    <s v="Central Outpatients"/>
    <n v="45"/>
    <n v="21"/>
    <x v="0"/>
  </r>
  <r>
    <s v="APT00035"/>
    <d v="2026-02-18T00:00:00"/>
    <x v="33"/>
    <x v="0"/>
    <s v="Follow-up"/>
    <s v="Routine"/>
    <x v="0"/>
    <s v="Dermatology B"/>
    <s v="Central Outpatients"/>
    <n v="15"/>
    <n v="41"/>
    <x v="1"/>
  </r>
  <r>
    <s v="APT00036"/>
    <d v="2025-04-24T00:00:00"/>
    <x v="34"/>
    <x v="4"/>
    <s v="Follow-up"/>
    <s v="Routine"/>
    <x v="0"/>
    <s v="Orthopaedics B"/>
    <s v="Riverside Clinic"/>
    <n v="30"/>
    <n v="43"/>
    <x v="3"/>
  </r>
  <r>
    <s v="APT00037"/>
    <d v="2026-02-07T00:00:00"/>
    <x v="35"/>
    <x v="0"/>
    <s v="New"/>
    <s v="Routine"/>
    <x v="0"/>
    <s v="Dermatology A"/>
    <s v="Royal South Hospital"/>
    <n v="30"/>
    <n v="40"/>
    <x v="1"/>
  </r>
  <r>
    <s v="APT00038"/>
    <d v="2026-01-27T00:00:00"/>
    <x v="36"/>
    <x v="4"/>
    <s v="Follow-up"/>
    <s v="Routine"/>
    <x v="0"/>
    <s v="Orthopaedics A"/>
    <s v="Royal South Hospital"/>
    <n v="15"/>
    <n v="39"/>
    <x v="1"/>
  </r>
  <r>
    <s v="APT00039"/>
    <d v="2025-07-10T00:00:00"/>
    <x v="37"/>
    <x v="3"/>
    <s v="Follow-up"/>
    <s v="Routine"/>
    <x v="0"/>
    <s v="Neurology A"/>
    <s v="Riverside Clinic"/>
    <n v="15"/>
    <n v="63"/>
    <x v="4"/>
  </r>
  <r>
    <s v="APT00040"/>
    <d v="2025-11-16T00:00:00"/>
    <x v="38"/>
    <x v="3"/>
    <s v="New"/>
    <s v="Routine"/>
    <x v="0"/>
    <s v="Neurology B"/>
    <s v="Royal South Hospital"/>
    <n v="30"/>
    <n v="15"/>
    <x v="0"/>
  </r>
  <r>
    <s v="APT00041"/>
    <d v="2025-05-31T00:00:00"/>
    <x v="39"/>
    <x v="4"/>
    <s v="New"/>
    <s v="Routine"/>
    <x v="0"/>
    <s v="Orthopaedics B"/>
    <s v="Riverside Clinic"/>
    <n v="30"/>
    <n v="34"/>
    <x v="1"/>
  </r>
  <r>
    <s v="APT00042"/>
    <d v="2026-01-01T00:00:00"/>
    <x v="40"/>
    <x v="2"/>
    <s v="Follow-up"/>
    <s v="Routine"/>
    <x v="0"/>
    <s v="Gastro B"/>
    <s v="Royal South Hospital"/>
    <n v="30"/>
    <n v="55"/>
    <x v="3"/>
  </r>
  <r>
    <s v="APT00043"/>
    <d v="2025-12-11T00:00:00"/>
    <x v="13"/>
    <x v="0"/>
    <s v="New"/>
    <s v="Routine"/>
    <x v="0"/>
    <s v="Dermatology B"/>
    <s v="Royal South Hospital"/>
    <n v="30"/>
    <n v="57"/>
    <x v="4"/>
  </r>
  <r>
    <s v="APT00044"/>
    <d v="2025-08-08T00:00:00"/>
    <x v="41"/>
    <x v="1"/>
    <s v="Follow-up"/>
    <s v="Routine"/>
    <x v="0"/>
    <s v="Cardiology A"/>
    <s v="Royal South Hospital"/>
    <n v="30"/>
    <n v="9"/>
    <x v="2"/>
  </r>
  <r>
    <s v="APT00045"/>
    <d v="2025-04-25T00:00:00"/>
    <x v="42"/>
    <x v="0"/>
    <s v="Follow-up"/>
    <s v="Routine"/>
    <x v="0"/>
    <s v="Dermatology A"/>
    <s v="Riverside Clinic"/>
    <n v="15"/>
    <n v="29"/>
    <x v="1"/>
  </r>
  <r>
    <s v="APT00046"/>
    <d v="2026-03-20T00:00:00"/>
    <x v="43"/>
    <x v="4"/>
    <s v="New"/>
    <s v="Urgent"/>
    <x v="1"/>
    <s v="Orthopaedics B"/>
    <s v="Royal South Hospital"/>
    <n v="30"/>
    <n v="59"/>
    <x v="4"/>
  </r>
  <r>
    <s v="APT00047"/>
    <d v="2025-09-10T00:00:00"/>
    <x v="44"/>
    <x v="2"/>
    <s v="Follow-up"/>
    <s v="Routine"/>
    <x v="2"/>
    <s v="Gastro B"/>
    <s v="Central Outpatients"/>
    <n v="30"/>
    <n v="44"/>
    <x v="3"/>
  </r>
  <r>
    <s v="APT00048"/>
    <d v="2026-02-20T00:00:00"/>
    <x v="45"/>
    <x v="0"/>
    <s v="New"/>
    <s v="Routine"/>
    <x v="0"/>
    <s v="Dermatology B"/>
    <s v="Royal South Hospital"/>
    <n v="30"/>
    <n v="38"/>
    <x v="1"/>
  </r>
  <r>
    <s v="APT00049"/>
    <d v="2025-12-03T00:00:00"/>
    <x v="46"/>
    <x v="1"/>
    <s v="New"/>
    <s v="Routine"/>
    <x v="2"/>
    <s v="Cardiology A"/>
    <s v="Central Outpatients"/>
    <n v="30"/>
    <n v="31"/>
    <x v="1"/>
  </r>
  <r>
    <s v="APT00050"/>
    <d v="2026-01-09T00:00:00"/>
    <x v="13"/>
    <x v="2"/>
    <s v="Follow-up"/>
    <s v="Routine"/>
    <x v="2"/>
    <s v="Gastro A"/>
    <s v="Royal South Hospital"/>
    <n v="15"/>
    <n v="28"/>
    <x v="0"/>
  </r>
  <r>
    <s v="APT00051"/>
    <d v="2026-01-02T00:00:00"/>
    <x v="24"/>
    <x v="3"/>
    <s v="Follow-up"/>
    <s v="Urgent"/>
    <x v="0"/>
    <s v="Neurology B"/>
    <s v="Royal South Hospital"/>
    <n v="30"/>
    <n v="40"/>
    <x v="1"/>
  </r>
  <r>
    <s v="APT00052"/>
    <d v="2025-06-10T00:00:00"/>
    <x v="47"/>
    <x v="0"/>
    <s v="Follow-up"/>
    <s v="Urgent"/>
    <x v="0"/>
    <s v="Dermatology A"/>
    <s v="Central Outpatients"/>
    <n v="30"/>
    <n v="30"/>
    <x v="1"/>
  </r>
  <r>
    <s v="APT00053"/>
    <d v="2025-08-11T00:00:00"/>
    <x v="21"/>
    <x v="4"/>
    <s v="Follow-up"/>
    <s v="Routine"/>
    <x v="0"/>
    <s v="Orthopaedics A"/>
    <s v="Riverside Clinic"/>
    <n v="15"/>
    <n v="34"/>
    <x v="1"/>
  </r>
  <r>
    <s v="APT00054"/>
    <d v="2025-09-17T00:00:00"/>
    <x v="48"/>
    <x v="3"/>
    <s v="Follow-up"/>
    <s v="Urgent"/>
    <x v="0"/>
    <s v="Neurology B"/>
    <s v="Riverside Clinic"/>
    <n v="30"/>
    <n v="36"/>
    <x v="1"/>
  </r>
  <r>
    <s v="APT00055"/>
    <d v="2025-09-29T00:00:00"/>
    <x v="49"/>
    <x v="4"/>
    <s v="Follow-up"/>
    <s v="Routine"/>
    <x v="0"/>
    <s v="Orthopaedics B"/>
    <s v="Riverside Clinic"/>
    <n v="15"/>
    <n v="22"/>
    <x v="0"/>
  </r>
  <r>
    <s v="APT00056"/>
    <d v="2025-04-16T00:00:00"/>
    <x v="0"/>
    <x v="0"/>
    <s v="Follow-up"/>
    <s v="Routine"/>
    <x v="0"/>
    <s v="Dermatology A"/>
    <s v="Royal South Hospital"/>
    <n v="15"/>
    <n v="44"/>
    <x v="3"/>
  </r>
  <r>
    <s v="APT00057"/>
    <d v="2025-10-16T00:00:00"/>
    <x v="50"/>
    <x v="3"/>
    <s v="New"/>
    <s v="Routine"/>
    <x v="2"/>
    <s v="Neurology B"/>
    <s v="Central Outpatients"/>
    <n v="45"/>
    <n v="87"/>
    <x v="4"/>
  </r>
  <r>
    <s v="APT00058"/>
    <d v="2025-05-27T00:00:00"/>
    <x v="0"/>
    <x v="1"/>
    <s v="New"/>
    <s v="Routine"/>
    <x v="0"/>
    <s v="Cardiology B"/>
    <s v="Royal South Hospital"/>
    <n v="30"/>
    <n v="3"/>
    <x v="2"/>
  </r>
  <r>
    <s v="APT00059"/>
    <d v="2025-12-27T00:00:00"/>
    <x v="51"/>
    <x v="0"/>
    <s v="Follow-up"/>
    <s v="Routine"/>
    <x v="0"/>
    <s v="Dermatology A"/>
    <s v="Central Outpatients"/>
    <n v="15"/>
    <n v="40"/>
    <x v="1"/>
  </r>
  <r>
    <s v="APT00060"/>
    <d v="2025-12-05T00:00:00"/>
    <x v="14"/>
    <x v="3"/>
    <s v="New"/>
    <s v="Routine"/>
    <x v="2"/>
    <s v="Neurology A"/>
    <s v="Central Outpatients"/>
    <n v="30"/>
    <n v="21"/>
    <x v="0"/>
  </r>
  <r>
    <s v="APT00061"/>
    <d v="2026-03-02T00:00:00"/>
    <x v="52"/>
    <x v="3"/>
    <s v="Follow-up"/>
    <s v="Routine"/>
    <x v="2"/>
    <s v="Neurology A"/>
    <s v="Central Outpatients"/>
    <n v="30"/>
    <n v="45"/>
    <x v="3"/>
  </r>
  <r>
    <s v="APT00062"/>
    <d v="2025-12-28T00:00:00"/>
    <x v="53"/>
    <x v="1"/>
    <s v="New"/>
    <s v="Routine"/>
    <x v="0"/>
    <s v="Cardiology B"/>
    <s v="Riverside Clinic"/>
    <n v="45"/>
    <n v="35"/>
    <x v="1"/>
  </r>
  <r>
    <s v="APT00063"/>
    <d v="2025-08-12T00:00:00"/>
    <x v="54"/>
    <x v="4"/>
    <s v="New"/>
    <s v="Routine"/>
    <x v="1"/>
    <s v="Orthopaedics A"/>
    <s v="Riverside Clinic"/>
    <n v="30"/>
    <n v="48"/>
    <x v="3"/>
  </r>
  <r>
    <s v="APT00064"/>
    <d v="2026-03-19T00:00:00"/>
    <x v="55"/>
    <x v="1"/>
    <s v="New"/>
    <s v="Routine"/>
    <x v="2"/>
    <s v="Cardiology B"/>
    <s v="Riverside Clinic"/>
    <n v="45"/>
    <n v="56"/>
    <x v="3"/>
  </r>
  <r>
    <s v="APT00065"/>
    <d v="2025-08-28T00:00:00"/>
    <x v="29"/>
    <x v="2"/>
    <s v="New"/>
    <s v="Routine"/>
    <x v="0"/>
    <s v="Gastro A"/>
    <s v="Royal South Hospital"/>
    <n v="30"/>
    <n v="38"/>
    <x v="1"/>
  </r>
  <r>
    <s v="APT00066"/>
    <d v="2025-07-28T00:00:00"/>
    <x v="3"/>
    <x v="4"/>
    <s v="New"/>
    <s v="Routine"/>
    <x v="2"/>
    <s v="Orthopaedics B"/>
    <s v="Central Outpatients"/>
    <n v="30"/>
    <n v="55"/>
    <x v="3"/>
  </r>
  <r>
    <s v="APT00067"/>
    <d v="2026-02-24T00:00:00"/>
    <x v="56"/>
    <x v="2"/>
    <s v="Follow-up"/>
    <s v="Routine"/>
    <x v="0"/>
    <s v="Gastro B"/>
    <s v="Riverside Clinic"/>
    <n v="15"/>
    <n v="2"/>
    <x v="2"/>
  </r>
  <r>
    <s v="APT00068"/>
    <d v="2025-08-13T00:00:00"/>
    <x v="57"/>
    <x v="4"/>
    <s v="Follow-up"/>
    <s v="Routine"/>
    <x v="0"/>
    <s v="Orthopaedics A"/>
    <s v="Royal South Hospital"/>
    <n v="30"/>
    <n v="63"/>
    <x v="4"/>
  </r>
  <r>
    <s v="APT00069"/>
    <d v="2025-04-28T00:00:00"/>
    <x v="58"/>
    <x v="2"/>
    <s v="New"/>
    <s v="Routine"/>
    <x v="0"/>
    <s v="Gastro A"/>
    <s v="Central Outpatients"/>
    <n v="30"/>
    <n v="41"/>
    <x v="1"/>
  </r>
  <r>
    <s v="APT00070"/>
    <d v="2025-09-18T00:00:00"/>
    <x v="59"/>
    <x v="4"/>
    <s v="New"/>
    <s v="Routine"/>
    <x v="0"/>
    <s v="Orthopaedics B"/>
    <s v="Royal South Hospital"/>
    <n v="30"/>
    <n v="54"/>
    <x v="3"/>
  </r>
  <r>
    <s v="APT00071"/>
    <d v="2026-01-15T00:00:00"/>
    <x v="60"/>
    <x v="3"/>
    <s v="Follow-up"/>
    <s v="Routine"/>
    <x v="0"/>
    <s v="Neurology B"/>
    <s v="Central Outpatients"/>
    <n v="15"/>
    <n v="13"/>
    <x v="2"/>
  </r>
  <r>
    <s v="APT00072"/>
    <d v="2025-06-08T00:00:00"/>
    <x v="61"/>
    <x v="3"/>
    <s v="New"/>
    <s v="Urgent"/>
    <x v="0"/>
    <s v="Neurology B"/>
    <s v="Central Outpatients"/>
    <n v="30"/>
    <n v="20"/>
    <x v="0"/>
  </r>
  <r>
    <s v="APT00073"/>
    <d v="2025-09-16T00:00:00"/>
    <x v="48"/>
    <x v="0"/>
    <s v="Follow-up"/>
    <s v="Routine"/>
    <x v="0"/>
    <s v="Dermatology A"/>
    <s v="Royal South Hospital"/>
    <n v="15"/>
    <n v="37"/>
    <x v="1"/>
  </r>
  <r>
    <s v="APT00074"/>
    <d v="2025-05-18T00:00:00"/>
    <x v="62"/>
    <x v="3"/>
    <s v="Follow-up"/>
    <s v="Routine"/>
    <x v="0"/>
    <s v="Neurology B"/>
    <s v="Royal South Hospital"/>
    <n v="15"/>
    <n v="34"/>
    <x v="1"/>
  </r>
  <r>
    <s v="APT00075"/>
    <d v="2025-12-06T00:00:00"/>
    <x v="63"/>
    <x v="0"/>
    <s v="Follow-up"/>
    <s v="Routine"/>
    <x v="0"/>
    <s v="Dermatology A"/>
    <s v="Riverside Clinic"/>
    <n v="15"/>
    <n v="40"/>
    <x v="1"/>
  </r>
  <r>
    <s v="APT00076"/>
    <d v="2025-09-21T00:00:00"/>
    <x v="64"/>
    <x v="4"/>
    <s v="Follow-up"/>
    <s v="Routine"/>
    <x v="1"/>
    <s v="Orthopaedics B"/>
    <s v="Royal South Hospital"/>
    <n v="15"/>
    <n v="54"/>
    <x v="3"/>
  </r>
  <r>
    <s v="APT00077"/>
    <d v="2025-07-30T00:00:00"/>
    <x v="65"/>
    <x v="0"/>
    <s v="Follow-up"/>
    <s v="Routine"/>
    <x v="0"/>
    <s v="Dermatology B"/>
    <s v="Central Outpatients"/>
    <n v="15"/>
    <n v="3"/>
    <x v="2"/>
  </r>
  <r>
    <s v="APT00078"/>
    <d v="2025-06-22T00:00:00"/>
    <x v="66"/>
    <x v="0"/>
    <s v="Follow-up"/>
    <s v="Routine"/>
    <x v="0"/>
    <s v="Dermatology A"/>
    <s v="Royal South Hospital"/>
    <n v="30"/>
    <n v="52"/>
    <x v="3"/>
  </r>
  <r>
    <s v="APT00079"/>
    <d v="2025-10-23T00:00:00"/>
    <x v="67"/>
    <x v="4"/>
    <s v="Follow-up"/>
    <s v="Routine"/>
    <x v="0"/>
    <s v="Orthopaedics A"/>
    <s v="Royal South Hospital"/>
    <n v="15"/>
    <n v="35"/>
    <x v="1"/>
  </r>
  <r>
    <s v="APT00080"/>
    <d v="2025-11-30T00:00:00"/>
    <x v="68"/>
    <x v="0"/>
    <s v="New"/>
    <s v="Urgent"/>
    <x v="1"/>
    <s v="Dermatology B"/>
    <s v="Royal South Hospital"/>
    <n v="45"/>
    <n v="31"/>
    <x v="1"/>
  </r>
  <r>
    <s v="APT00081"/>
    <d v="2026-03-09T00:00:00"/>
    <x v="27"/>
    <x v="0"/>
    <s v="New"/>
    <s v="Routine"/>
    <x v="0"/>
    <s v="Dermatology B"/>
    <s v="Central Outpatients"/>
    <n v="30"/>
    <n v="8"/>
    <x v="2"/>
  </r>
  <r>
    <s v="APT00082"/>
    <d v="2025-09-07T00:00:00"/>
    <x v="49"/>
    <x v="3"/>
    <s v="New"/>
    <s v="Routine"/>
    <x v="0"/>
    <s v="Neurology A"/>
    <s v="Riverside Clinic"/>
    <n v="45"/>
    <n v="44"/>
    <x v="3"/>
  </r>
  <r>
    <s v="APT00083"/>
    <d v="2025-05-29T00:00:00"/>
    <x v="69"/>
    <x v="1"/>
    <s v="New"/>
    <s v="Urgent"/>
    <x v="0"/>
    <s v="Cardiology B"/>
    <s v="Central Outpatients"/>
    <n v="45"/>
    <n v="2"/>
    <x v="2"/>
  </r>
  <r>
    <s v="APT00084"/>
    <d v="2026-01-29T00:00:00"/>
    <x v="70"/>
    <x v="1"/>
    <s v="Follow-up"/>
    <s v="Routine"/>
    <x v="2"/>
    <s v="Cardiology A"/>
    <s v="Central Outpatients"/>
    <n v="15"/>
    <n v="46"/>
    <x v="3"/>
  </r>
  <r>
    <s v="APT00085"/>
    <d v="2025-11-16T00:00:00"/>
    <x v="71"/>
    <x v="2"/>
    <s v="New"/>
    <s v="Urgent"/>
    <x v="2"/>
    <s v="Gastro B"/>
    <s v="Riverside Clinic"/>
    <n v="30"/>
    <n v="8"/>
    <x v="2"/>
  </r>
  <r>
    <s v="APT00086"/>
    <d v="2025-12-11T00:00:00"/>
    <x v="63"/>
    <x v="0"/>
    <s v="New"/>
    <s v="Routine"/>
    <x v="0"/>
    <s v="Dermatology B"/>
    <s v="Royal South Hospital"/>
    <n v="30"/>
    <n v="35"/>
    <x v="1"/>
  </r>
  <r>
    <s v="APT00087"/>
    <d v="2025-05-06T00:00:00"/>
    <x v="72"/>
    <x v="0"/>
    <s v="New"/>
    <s v="Routine"/>
    <x v="0"/>
    <s v="Dermatology A"/>
    <s v="Royal South Hospital"/>
    <n v="30"/>
    <n v="32"/>
    <x v="1"/>
  </r>
  <r>
    <s v="APT00088"/>
    <d v="2025-07-23T00:00:00"/>
    <x v="73"/>
    <x v="1"/>
    <s v="Follow-up"/>
    <s v="Urgent"/>
    <x v="0"/>
    <s v="Cardiology A"/>
    <s v="Central Outpatients"/>
    <n v="15"/>
    <n v="56"/>
    <x v="3"/>
  </r>
  <r>
    <s v="APT00089"/>
    <d v="2026-01-05T00:00:00"/>
    <x v="51"/>
    <x v="0"/>
    <s v="Follow-up"/>
    <s v="Routine"/>
    <x v="0"/>
    <s v="Dermatology B"/>
    <s v="Royal South Hospital"/>
    <n v="30"/>
    <n v="31"/>
    <x v="1"/>
  </r>
  <r>
    <s v="APT00090"/>
    <d v="2026-01-28T00:00:00"/>
    <x v="74"/>
    <x v="0"/>
    <s v="Follow-up"/>
    <s v="Routine"/>
    <x v="0"/>
    <s v="Dermatology B"/>
    <s v="Central Outpatients"/>
    <n v="15"/>
    <n v="22"/>
    <x v="0"/>
  </r>
  <r>
    <s v="APT00091"/>
    <d v="2025-09-06T00:00:00"/>
    <x v="75"/>
    <x v="1"/>
    <s v="New"/>
    <s v="Routine"/>
    <x v="0"/>
    <s v="Cardiology B"/>
    <s v="Central Outpatients"/>
    <n v="45"/>
    <n v="25"/>
    <x v="0"/>
  </r>
  <r>
    <s v="APT00092"/>
    <d v="2026-01-18T00:00:00"/>
    <x v="70"/>
    <x v="3"/>
    <s v="New"/>
    <s v="Routine"/>
    <x v="2"/>
    <s v="Neurology A"/>
    <s v="Riverside Clinic"/>
    <n v="30"/>
    <n v="57"/>
    <x v="4"/>
  </r>
  <r>
    <s v="APT00093"/>
    <d v="2026-02-01T00:00:00"/>
    <x v="27"/>
    <x v="3"/>
    <s v="Follow-up"/>
    <s v="Routine"/>
    <x v="2"/>
    <s v="Neurology A"/>
    <s v="Riverside Clinic"/>
    <n v="15"/>
    <n v="44"/>
    <x v="3"/>
  </r>
  <r>
    <s v="APT00094"/>
    <d v="2025-08-20T00:00:00"/>
    <x v="73"/>
    <x v="1"/>
    <s v="Follow-up"/>
    <s v="Routine"/>
    <x v="0"/>
    <s v="Cardiology A"/>
    <s v="Central Outpatients"/>
    <n v="30"/>
    <n v="28"/>
    <x v="0"/>
  </r>
  <r>
    <s v="APT00095"/>
    <d v="2026-02-21T00:00:00"/>
    <x v="76"/>
    <x v="0"/>
    <s v="Follow-up"/>
    <s v="Routine"/>
    <x v="0"/>
    <s v="Dermatology B"/>
    <s v="Riverside Clinic"/>
    <n v="15"/>
    <n v="30"/>
    <x v="1"/>
  </r>
  <r>
    <s v="APT00096"/>
    <d v="2025-07-14T00:00:00"/>
    <x v="22"/>
    <x v="4"/>
    <s v="Follow-up"/>
    <s v="Urgent"/>
    <x v="0"/>
    <s v="Orthopaedics B"/>
    <s v="Riverside Clinic"/>
    <n v="15"/>
    <n v="6"/>
    <x v="2"/>
  </r>
  <r>
    <s v="APT00097"/>
    <d v="2025-06-27T00:00:00"/>
    <x v="77"/>
    <x v="2"/>
    <s v="New"/>
    <s v="Routine"/>
    <x v="0"/>
    <s v="Gastro A"/>
    <s v="Royal South Hospital"/>
    <n v="45"/>
    <n v="41"/>
    <x v="1"/>
  </r>
  <r>
    <s v="APT00098"/>
    <d v="2025-12-05T00:00:00"/>
    <x v="78"/>
    <x v="2"/>
    <s v="Follow-up"/>
    <s v="Routine"/>
    <x v="0"/>
    <s v="Gastro A"/>
    <s v="Royal South Hospital"/>
    <n v="15"/>
    <n v="3"/>
    <x v="2"/>
  </r>
  <r>
    <s v="APT00099"/>
    <d v="2025-11-18T00:00:00"/>
    <x v="79"/>
    <x v="2"/>
    <s v="Follow-up"/>
    <s v="Urgent"/>
    <x v="0"/>
    <s v="Gastro A"/>
    <s v="Royal South Hospital"/>
    <n v="30"/>
    <n v="48"/>
    <x v="3"/>
  </r>
  <r>
    <s v="APT00100"/>
    <d v="2025-05-21T00:00:00"/>
    <x v="80"/>
    <x v="1"/>
    <s v="Follow-up"/>
    <s v="Routine"/>
    <x v="0"/>
    <s v="Cardiology B"/>
    <s v="Central Outpatients"/>
    <n v="15"/>
    <n v="37"/>
    <x v="1"/>
  </r>
  <r>
    <s v="APT00101"/>
    <d v="2026-01-29T00:00:00"/>
    <x v="52"/>
    <x v="4"/>
    <s v="Follow-up"/>
    <s v="Routine"/>
    <x v="0"/>
    <s v="Orthopaedics B"/>
    <s v="Riverside Clinic"/>
    <n v="30"/>
    <n v="77"/>
    <x v="4"/>
  </r>
  <r>
    <s v="APT00102"/>
    <d v="2025-06-12T00:00:00"/>
    <x v="80"/>
    <x v="4"/>
    <s v="New"/>
    <s v="Routine"/>
    <x v="0"/>
    <s v="Orthopaedics B"/>
    <s v="Central Outpatients"/>
    <n v="45"/>
    <n v="15"/>
    <x v="0"/>
  </r>
  <r>
    <s v="APT00103"/>
    <d v="2026-01-18T00:00:00"/>
    <x v="81"/>
    <x v="4"/>
    <s v="New"/>
    <s v="Routine"/>
    <x v="0"/>
    <s v="Orthopaedics A"/>
    <s v="Royal South Hospital"/>
    <n v="30"/>
    <n v="33"/>
    <x v="1"/>
  </r>
  <r>
    <s v="APT00104"/>
    <d v="2025-04-03T00:00:00"/>
    <x v="82"/>
    <x v="0"/>
    <s v="Follow-up"/>
    <s v="Routine"/>
    <x v="0"/>
    <s v="Dermatology A"/>
    <s v="Central Outpatients"/>
    <n v="15"/>
    <n v="67"/>
    <x v="4"/>
  </r>
  <r>
    <s v="APT00105"/>
    <d v="2026-01-16T00:00:00"/>
    <x v="83"/>
    <x v="0"/>
    <s v="Follow-up"/>
    <s v="Routine"/>
    <x v="0"/>
    <s v="Dermatology A"/>
    <s v="Royal South Hospital"/>
    <n v="15"/>
    <n v="56"/>
    <x v="3"/>
  </r>
  <r>
    <s v="APT00106"/>
    <d v="2026-01-12T00:00:00"/>
    <x v="12"/>
    <x v="1"/>
    <s v="New"/>
    <s v="Routine"/>
    <x v="0"/>
    <s v="Cardiology A"/>
    <s v="Riverside Clinic"/>
    <n v="45"/>
    <n v="22"/>
    <x v="0"/>
  </r>
  <r>
    <s v="APT00107"/>
    <d v="2026-01-10T00:00:00"/>
    <x v="84"/>
    <x v="0"/>
    <s v="New"/>
    <s v="Routine"/>
    <x v="0"/>
    <s v="Dermatology A"/>
    <s v="Royal South Hospital"/>
    <n v="30"/>
    <n v="39"/>
    <x v="1"/>
  </r>
  <r>
    <s v="APT00108"/>
    <d v="2025-11-29T00:00:00"/>
    <x v="46"/>
    <x v="0"/>
    <s v="Follow-up"/>
    <s v="Routine"/>
    <x v="0"/>
    <s v="Dermatology A"/>
    <s v="Central Outpatients"/>
    <n v="15"/>
    <n v="35"/>
    <x v="1"/>
  </r>
  <r>
    <s v="APT00109"/>
    <d v="2025-09-19T00:00:00"/>
    <x v="85"/>
    <x v="3"/>
    <s v="New"/>
    <s v="Routine"/>
    <x v="0"/>
    <s v="Neurology A"/>
    <s v="Riverside Clinic"/>
    <n v="45"/>
    <n v="40"/>
    <x v="1"/>
  </r>
  <r>
    <s v="APT00110"/>
    <d v="2025-12-13T00:00:00"/>
    <x v="86"/>
    <x v="1"/>
    <s v="New"/>
    <s v="Routine"/>
    <x v="0"/>
    <s v="Cardiology B"/>
    <s v="Royal South Hospital"/>
    <n v="30"/>
    <n v="22"/>
    <x v="0"/>
  </r>
  <r>
    <s v="APT00111"/>
    <d v="2025-07-10T00:00:00"/>
    <x v="87"/>
    <x v="4"/>
    <s v="Follow-up"/>
    <s v="Routine"/>
    <x v="0"/>
    <s v="Orthopaedics A"/>
    <s v="Royal South Hospital"/>
    <n v="30"/>
    <n v="33"/>
    <x v="1"/>
  </r>
  <r>
    <s v="APT00112"/>
    <d v="2026-01-10T00:00:00"/>
    <x v="7"/>
    <x v="1"/>
    <s v="Follow-up"/>
    <s v="Routine"/>
    <x v="0"/>
    <s v="Cardiology A"/>
    <s v="Royal South Hospital"/>
    <n v="15"/>
    <n v="6"/>
    <x v="2"/>
  </r>
  <r>
    <s v="APT00113"/>
    <d v="2025-10-20T00:00:00"/>
    <x v="25"/>
    <x v="1"/>
    <s v="Follow-up"/>
    <s v="Routine"/>
    <x v="2"/>
    <s v="Cardiology A"/>
    <s v="Royal South Hospital"/>
    <n v="30"/>
    <n v="37"/>
    <x v="1"/>
  </r>
  <r>
    <s v="APT00114"/>
    <d v="2025-09-15T00:00:00"/>
    <x v="88"/>
    <x v="4"/>
    <s v="Follow-up"/>
    <s v="Routine"/>
    <x v="2"/>
    <s v="Orthopaedics B"/>
    <s v="Royal South Hospital"/>
    <n v="30"/>
    <n v="43"/>
    <x v="3"/>
  </r>
  <r>
    <s v="APT00115"/>
    <d v="2025-10-02T00:00:00"/>
    <x v="89"/>
    <x v="3"/>
    <s v="New"/>
    <s v="Routine"/>
    <x v="0"/>
    <s v="Neurology A"/>
    <s v="Royal South Hospital"/>
    <n v="30"/>
    <n v="30"/>
    <x v="1"/>
  </r>
  <r>
    <s v="APT00116"/>
    <d v="2025-10-25T00:00:00"/>
    <x v="90"/>
    <x v="0"/>
    <s v="Follow-up"/>
    <s v="Routine"/>
    <x v="2"/>
    <s v="Dermatology B"/>
    <s v="Royal South Hospital"/>
    <n v="15"/>
    <n v="5"/>
    <x v="2"/>
  </r>
  <r>
    <s v="APT00117"/>
    <d v="2025-04-14T00:00:00"/>
    <x v="91"/>
    <x v="2"/>
    <s v="Follow-up"/>
    <s v="Urgent"/>
    <x v="0"/>
    <s v="Gastro A"/>
    <s v="Royal South Hospital"/>
    <n v="30"/>
    <n v="52"/>
    <x v="3"/>
  </r>
  <r>
    <s v="APT00118"/>
    <d v="2025-05-21T00:00:00"/>
    <x v="30"/>
    <x v="0"/>
    <s v="Follow-up"/>
    <s v="Routine"/>
    <x v="0"/>
    <s v="Dermatology A"/>
    <s v="Riverside Clinic"/>
    <n v="30"/>
    <n v="41"/>
    <x v="1"/>
  </r>
  <r>
    <s v="APT00119"/>
    <d v="2025-06-29T00:00:00"/>
    <x v="22"/>
    <x v="1"/>
    <s v="Follow-up"/>
    <s v="Urgent"/>
    <x v="0"/>
    <s v="Cardiology B"/>
    <s v="Royal South Hospital"/>
    <n v="15"/>
    <n v="21"/>
    <x v="0"/>
  </r>
  <r>
    <s v="APT00120"/>
    <d v="2025-05-12T00:00:00"/>
    <x v="92"/>
    <x v="2"/>
    <s v="New"/>
    <s v="Routine"/>
    <x v="0"/>
    <s v="Gastro B"/>
    <s v="Royal South Hospital"/>
    <n v="45"/>
    <n v="29"/>
    <x v="1"/>
  </r>
  <r>
    <s v="APT00121"/>
    <d v="2025-09-08T00:00:00"/>
    <x v="93"/>
    <x v="0"/>
    <s v="Follow-up"/>
    <s v="Routine"/>
    <x v="0"/>
    <s v="Dermatology B"/>
    <s v="Central Outpatients"/>
    <n v="15"/>
    <n v="7"/>
    <x v="2"/>
  </r>
  <r>
    <s v="APT00122"/>
    <d v="2025-11-30T00:00:00"/>
    <x v="94"/>
    <x v="3"/>
    <s v="New"/>
    <s v="Urgent"/>
    <x v="0"/>
    <s v="Neurology A"/>
    <s v="Royal South Hospital"/>
    <n v="30"/>
    <n v="16"/>
    <x v="0"/>
  </r>
  <r>
    <s v="APT00123"/>
    <d v="2025-11-25T00:00:00"/>
    <x v="95"/>
    <x v="1"/>
    <s v="New"/>
    <s v="Routine"/>
    <x v="0"/>
    <s v="Cardiology A"/>
    <s v="Riverside Clinic"/>
    <n v="45"/>
    <n v="25"/>
    <x v="0"/>
  </r>
  <r>
    <s v="APT00124"/>
    <d v="2025-09-19T00:00:00"/>
    <x v="96"/>
    <x v="3"/>
    <s v="Follow-up"/>
    <s v="Routine"/>
    <x v="1"/>
    <s v="Neurology B"/>
    <s v="Central Outpatients"/>
    <n v="15"/>
    <n v="57"/>
    <x v="4"/>
  </r>
  <r>
    <s v="APT00125"/>
    <d v="2026-02-06T00:00:00"/>
    <x v="97"/>
    <x v="4"/>
    <s v="New"/>
    <s v="Routine"/>
    <x v="0"/>
    <s v="Orthopaedics A"/>
    <s v="Riverside Clinic"/>
    <n v="30"/>
    <n v="23"/>
    <x v="0"/>
  </r>
  <r>
    <s v="APT00126"/>
    <d v="2025-10-23T00:00:00"/>
    <x v="78"/>
    <x v="1"/>
    <s v="Follow-up"/>
    <s v="Routine"/>
    <x v="2"/>
    <s v="Cardiology A"/>
    <s v="Riverside Clinic"/>
    <n v="30"/>
    <n v="46"/>
    <x v="3"/>
  </r>
  <r>
    <s v="APT00127"/>
    <d v="2025-04-29T00:00:00"/>
    <x v="42"/>
    <x v="1"/>
    <s v="New"/>
    <s v="Routine"/>
    <x v="2"/>
    <s v="Cardiology A"/>
    <s v="Riverside Clinic"/>
    <n v="30"/>
    <n v="25"/>
    <x v="0"/>
  </r>
  <r>
    <s v="APT00128"/>
    <d v="2026-01-04T00:00:00"/>
    <x v="98"/>
    <x v="2"/>
    <s v="New"/>
    <s v="Routine"/>
    <x v="1"/>
    <s v="Gastro B"/>
    <s v="Central Outpatients"/>
    <n v="30"/>
    <n v="39"/>
    <x v="1"/>
  </r>
  <r>
    <s v="APT00129"/>
    <d v="2025-10-27T00:00:00"/>
    <x v="99"/>
    <x v="4"/>
    <s v="New"/>
    <s v="Routine"/>
    <x v="0"/>
    <s v="Orthopaedics B"/>
    <s v="Central Outpatients"/>
    <n v="30"/>
    <n v="32"/>
    <x v="1"/>
  </r>
  <r>
    <s v="APT00130"/>
    <d v="2025-11-18T00:00:00"/>
    <x v="100"/>
    <x v="3"/>
    <s v="New"/>
    <s v="Routine"/>
    <x v="0"/>
    <s v="Neurology A"/>
    <s v="Royal South Hospital"/>
    <n v="45"/>
    <n v="50"/>
    <x v="3"/>
  </r>
  <r>
    <s v="APT00131"/>
    <d v="2025-10-23T00:00:00"/>
    <x v="101"/>
    <x v="3"/>
    <s v="Follow-up"/>
    <s v="Routine"/>
    <x v="0"/>
    <s v="Neurology B"/>
    <s v="Riverside Clinic"/>
    <n v="15"/>
    <n v="25"/>
    <x v="0"/>
  </r>
  <r>
    <s v="APT00132"/>
    <d v="2025-10-19T00:00:00"/>
    <x v="102"/>
    <x v="2"/>
    <s v="Follow-up"/>
    <s v="Routine"/>
    <x v="2"/>
    <s v="Gastro B"/>
    <s v="Central Outpatients"/>
    <n v="15"/>
    <n v="6"/>
    <x v="2"/>
  </r>
  <r>
    <s v="APT00133"/>
    <d v="2025-05-03T00:00:00"/>
    <x v="103"/>
    <x v="0"/>
    <s v="Follow-up"/>
    <s v="Routine"/>
    <x v="0"/>
    <s v="Dermatology B"/>
    <s v="Central Outpatients"/>
    <n v="15"/>
    <n v="10"/>
    <x v="2"/>
  </r>
  <r>
    <s v="APT00134"/>
    <d v="2025-10-21T00:00:00"/>
    <x v="96"/>
    <x v="2"/>
    <s v="Follow-up"/>
    <s v="Routine"/>
    <x v="0"/>
    <s v="Gastro A"/>
    <s v="Royal South Hospital"/>
    <n v="15"/>
    <n v="25"/>
    <x v="0"/>
  </r>
  <r>
    <s v="APT00135"/>
    <d v="2026-01-15T00:00:00"/>
    <x v="104"/>
    <x v="1"/>
    <s v="Follow-up"/>
    <s v="Routine"/>
    <x v="0"/>
    <s v="Cardiology A"/>
    <s v="Royal South Hospital"/>
    <n v="15"/>
    <n v="12"/>
    <x v="2"/>
  </r>
  <r>
    <s v="APT00136"/>
    <d v="2025-07-20T00:00:00"/>
    <x v="105"/>
    <x v="3"/>
    <s v="Follow-up"/>
    <s v="Routine"/>
    <x v="0"/>
    <s v="Neurology B"/>
    <s v="Riverside Clinic"/>
    <n v="30"/>
    <n v="42"/>
    <x v="1"/>
  </r>
  <r>
    <s v="APT00137"/>
    <d v="2025-11-06T00:00:00"/>
    <x v="106"/>
    <x v="1"/>
    <s v="New"/>
    <s v="Urgent"/>
    <x v="1"/>
    <s v="Cardiology B"/>
    <s v="Royal South Hospital"/>
    <n v="45"/>
    <n v="26"/>
    <x v="0"/>
  </r>
  <r>
    <s v="APT00138"/>
    <d v="2025-04-12T00:00:00"/>
    <x v="61"/>
    <x v="0"/>
    <s v="New"/>
    <s v="Routine"/>
    <x v="0"/>
    <s v="Dermatology B"/>
    <s v="Riverside Clinic"/>
    <n v="30"/>
    <n v="77"/>
    <x v="4"/>
  </r>
  <r>
    <s v="APT00139"/>
    <d v="2025-08-05T00:00:00"/>
    <x v="107"/>
    <x v="2"/>
    <s v="Follow-up"/>
    <s v="Routine"/>
    <x v="0"/>
    <s v="Gastro B"/>
    <s v="Royal South Hospital"/>
    <n v="15"/>
    <n v="3"/>
    <x v="2"/>
  </r>
  <r>
    <s v="APT00140"/>
    <d v="2025-09-06T00:00:00"/>
    <x v="108"/>
    <x v="2"/>
    <s v="Follow-up"/>
    <s v="Routine"/>
    <x v="0"/>
    <s v="Gastro B"/>
    <s v="Royal South Hospital"/>
    <n v="30"/>
    <n v="38"/>
    <x v="1"/>
  </r>
  <r>
    <s v="APT00141"/>
    <d v="2026-03-24T00:00:00"/>
    <x v="109"/>
    <x v="3"/>
    <s v="New"/>
    <s v="Routine"/>
    <x v="0"/>
    <s v="Neurology B"/>
    <s v="Royal South Hospital"/>
    <n v="30"/>
    <n v="14"/>
    <x v="2"/>
  </r>
  <r>
    <s v="APT00142"/>
    <d v="2025-06-18T00:00:00"/>
    <x v="110"/>
    <x v="2"/>
    <s v="Follow-up"/>
    <s v="Urgent"/>
    <x v="0"/>
    <s v="Gastro B"/>
    <s v="Central Outpatients"/>
    <n v="15"/>
    <n v="26"/>
    <x v="0"/>
  </r>
  <r>
    <s v="APT00143"/>
    <d v="2025-07-10T00:00:00"/>
    <x v="111"/>
    <x v="4"/>
    <s v="New"/>
    <s v="Routine"/>
    <x v="0"/>
    <s v="Orthopaedics A"/>
    <s v="Central Outpatients"/>
    <n v="30"/>
    <n v="37"/>
    <x v="1"/>
  </r>
  <r>
    <s v="APT00144"/>
    <d v="2025-08-27T00:00:00"/>
    <x v="112"/>
    <x v="4"/>
    <s v="Follow-up"/>
    <s v="Routine"/>
    <x v="0"/>
    <s v="Orthopaedics A"/>
    <s v="Central Outpatients"/>
    <n v="15"/>
    <n v="2"/>
    <x v="2"/>
  </r>
  <r>
    <s v="APT00145"/>
    <d v="2026-03-28T00:00:00"/>
    <x v="113"/>
    <x v="1"/>
    <s v="New"/>
    <s v="Routine"/>
    <x v="2"/>
    <s v="Orthopaedics A"/>
    <s v="Central Outpatients"/>
    <n v="30"/>
    <n v="39"/>
    <x v="1"/>
  </r>
  <r>
    <s v="APT00146"/>
    <d v="2026-02-05T00:00:00"/>
    <x v="114"/>
    <x v="3"/>
    <s v="Follow-up"/>
    <s v="Routine"/>
    <x v="0"/>
    <s v="Neurology A"/>
    <s v="Central Outpatients"/>
    <n v="30"/>
    <n v="69"/>
    <x v="4"/>
  </r>
  <r>
    <s v="APT00147"/>
    <d v="2025-04-13T00:00:00"/>
    <x v="115"/>
    <x v="3"/>
    <s v="New"/>
    <s v="Routine"/>
    <x v="2"/>
    <s v="Neurology B"/>
    <s v="Royal South Hospital"/>
    <n v="30"/>
    <n v="26"/>
    <x v="0"/>
  </r>
  <r>
    <s v="APT00148"/>
    <d v="2025-06-25T00:00:00"/>
    <x v="116"/>
    <x v="3"/>
    <s v="New"/>
    <s v="Routine"/>
    <x v="0"/>
    <s v="Neurology A"/>
    <s v="Royal South Hospital"/>
    <n v="30"/>
    <n v="39"/>
    <x v="1"/>
  </r>
  <r>
    <s v="APT00149"/>
    <d v="2026-01-25T00:00:00"/>
    <x v="35"/>
    <x v="2"/>
    <s v="Follow-up"/>
    <s v="Urgent"/>
    <x v="0"/>
    <s v="Gastro A"/>
    <s v="Central Outpatients"/>
    <n v="15"/>
    <n v="53"/>
    <x v="3"/>
  </r>
  <r>
    <s v="APT00150"/>
    <d v="2025-04-22T00:00:00"/>
    <x v="42"/>
    <x v="0"/>
    <s v="New"/>
    <s v="Routine"/>
    <x v="0"/>
    <s v="Dermatology B"/>
    <s v="Riverside Clinic"/>
    <n v="30"/>
    <n v="32"/>
    <x v="1"/>
  </r>
  <r>
    <s v="APT00151"/>
    <d v="2026-02-06T00:00:00"/>
    <x v="5"/>
    <x v="2"/>
    <s v="Follow-up"/>
    <s v="Routine"/>
    <x v="0"/>
    <s v="Gastro A"/>
    <s v="Royal South Hospital"/>
    <n v="30"/>
    <n v="24"/>
    <x v="0"/>
  </r>
  <r>
    <s v="APT00152"/>
    <d v="2025-07-12T00:00:00"/>
    <x v="110"/>
    <x v="1"/>
    <s v="Follow-up"/>
    <s v="Urgent"/>
    <x v="0"/>
    <s v="Cardiology A"/>
    <s v="Central Outpatients"/>
    <n v="15"/>
    <n v="2"/>
    <x v="2"/>
  </r>
  <r>
    <s v="APT00153"/>
    <d v="2026-03-01T00:00:00"/>
    <x v="52"/>
    <x v="1"/>
    <s v="New"/>
    <s v="Routine"/>
    <x v="0"/>
    <s v="Cardiology A"/>
    <s v="Royal South Hospital"/>
    <n v="30"/>
    <n v="46"/>
    <x v="3"/>
  </r>
  <r>
    <s v="APT00154"/>
    <d v="2025-07-16T00:00:00"/>
    <x v="41"/>
    <x v="4"/>
    <s v="New"/>
    <s v="Routine"/>
    <x v="0"/>
    <s v="Orthopaedics A"/>
    <s v="Central Outpatients"/>
    <n v="45"/>
    <n v="32"/>
    <x v="1"/>
  </r>
  <r>
    <s v="APT00155"/>
    <d v="2025-09-06T00:00:00"/>
    <x v="117"/>
    <x v="1"/>
    <s v="Follow-up"/>
    <s v="Routine"/>
    <x v="1"/>
    <s v="Cardiology A"/>
    <s v="Riverside Clinic"/>
    <n v="15"/>
    <n v="16"/>
    <x v="0"/>
  </r>
  <r>
    <s v="APT00156"/>
    <d v="2025-11-27T00:00:00"/>
    <x v="46"/>
    <x v="2"/>
    <s v="Follow-up"/>
    <s v="Urgent"/>
    <x v="1"/>
    <s v="Gastro B"/>
    <s v="Royal South Hospital"/>
    <n v="15"/>
    <n v="37"/>
    <x v="1"/>
  </r>
  <r>
    <s v="APT00157"/>
    <d v="2025-05-16T00:00:00"/>
    <x v="82"/>
    <x v="3"/>
    <s v="Follow-up"/>
    <s v="Routine"/>
    <x v="0"/>
    <s v="Neurology A"/>
    <s v="Central Outpatients"/>
    <n v="15"/>
    <n v="24"/>
    <x v="0"/>
  </r>
  <r>
    <s v="APT00158"/>
    <d v="2025-10-20T00:00:00"/>
    <x v="64"/>
    <x v="1"/>
    <s v="New"/>
    <s v="Routine"/>
    <x v="0"/>
    <s v="Cardiology A"/>
    <s v="Riverside Clinic"/>
    <n v="30"/>
    <n v="25"/>
    <x v="0"/>
  </r>
  <r>
    <s v="APT00159"/>
    <d v="2025-10-01T00:00:00"/>
    <x v="96"/>
    <x v="4"/>
    <s v="Follow-up"/>
    <s v="Routine"/>
    <x v="0"/>
    <s v="Orthopaedics A"/>
    <s v="Riverside Clinic"/>
    <n v="15"/>
    <n v="45"/>
    <x v="3"/>
  </r>
  <r>
    <s v="APT00160"/>
    <d v="2026-01-11T00:00:00"/>
    <x v="118"/>
    <x v="1"/>
    <s v="Follow-up"/>
    <s v="Routine"/>
    <x v="0"/>
    <s v="Cardiology B"/>
    <s v="Riverside Clinic"/>
    <n v="15"/>
    <n v="10"/>
    <x v="2"/>
  </r>
  <r>
    <s v="APT00161"/>
    <d v="2026-03-29T00:00:00"/>
    <x v="119"/>
    <x v="4"/>
    <s v="Follow-up"/>
    <s v="Routine"/>
    <x v="0"/>
    <s v="Orthopaedics B"/>
    <s v="Royal South Hospital"/>
    <n v="15"/>
    <n v="53"/>
    <x v="3"/>
  </r>
  <r>
    <s v="APT00162"/>
    <d v="2025-11-28T00:00:00"/>
    <x v="120"/>
    <x v="4"/>
    <s v="New"/>
    <s v="Urgent"/>
    <x v="2"/>
    <s v="Orthopaedics A"/>
    <s v="Royal South Hospital"/>
    <n v="45"/>
    <n v="9"/>
    <x v="2"/>
  </r>
  <r>
    <s v="APT00163"/>
    <d v="2025-08-27T00:00:00"/>
    <x v="121"/>
    <x v="0"/>
    <s v="New"/>
    <s v="Routine"/>
    <x v="0"/>
    <s v="Dermatology A"/>
    <s v="Royal South Hospital"/>
    <n v="45"/>
    <n v="23"/>
    <x v="0"/>
  </r>
  <r>
    <s v="APT00164"/>
    <d v="2025-08-26T00:00:00"/>
    <x v="122"/>
    <x v="1"/>
    <s v="Follow-up"/>
    <s v="Routine"/>
    <x v="0"/>
    <s v="Cardiology A"/>
    <s v="Royal South Hospital"/>
    <n v="30"/>
    <n v="69"/>
    <x v="4"/>
  </r>
  <r>
    <s v="APT00165"/>
    <d v="2025-08-31T00:00:00"/>
    <x v="102"/>
    <x v="0"/>
    <s v="Follow-up"/>
    <s v="Routine"/>
    <x v="0"/>
    <s v="Dermatology A"/>
    <s v="Royal South Hospital"/>
    <n v="30"/>
    <n v="55"/>
    <x v="3"/>
  </r>
  <r>
    <s v="APT00166"/>
    <d v="2026-01-22T00:00:00"/>
    <x v="123"/>
    <x v="0"/>
    <s v="New"/>
    <s v="Routine"/>
    <x v="0"/>
    <s v="Dermatology B"/>
    <s v="Riverside Clinic"/>
    <n v="45"/>
    <n v="36"/>
    <x v="1"/>
  </r>
  <r>
    <s v="APT00167"/>
    <d v="2025-07-26T00:00:00"/>
    <x v="66"/>
    <x v="0"/>
    <s v="Follow-up"/>
    <s v="Routine"/>
    <x v="0"/>
    <s v="Dermatology A"/>
    <s v="Royal South Hospital"/>
    <n v="30"/>
    <n v="18"/>
    <x v="0"/>
  </r>
  <r>
    <s v="APT00168"/>
    <d v="2025-05-31T00:00:00"/>
    <x v="124"/>
    <x v="4"/>
    <s v="New"/>
    <s v="Routine"/>
    <x v="2"/>
    <s v="Orthopaedics B"/>
    <s v="Riverside Clinic"/>
    <n v="45"/>
    <n v="25"/>
    <x v="0"/>
  </r>
  <r>
    <s v="APT00169"/>
    <d v="2025-07-31T00:00:00"/>
    <x v="125"/>
    <x v="0"/>
    <s v="New"/>
    <s v="Routine"/>
    <x v="0"/>
    <s v="Dermatology A"/>
    <s v="Royal South Hospital"/>
    <n v="45"/>
    <n v="36"/>
    <x v="1"/>
  </r>
  <r>
    <s v="APT00170"/>
    <d v="2025-04-09T00:00:00"/>
    <x v="126"/>
    <x v="4"/>
    <s v="New"/>
    <s v="Routine"/>
    <x v="1"/>
    <s v="Orthopaedics B"/>
    <s v="Royal South Hospital"/>
    <n v="30"/>
    <n v="35"/>
    <x v="1"/>
  </r>
  <r>
    <s v="APT00171"/>
    <d v="2025-05-09T00:00:00"/>
    <x v="127"/>
    <x v="1"/>
    <s v="New"/>
    <s v="Routine"/>
    <x v="2"/>
    <s v="Cardiology B"/>
    <s v="Central Outpatients"/>
    <n v="30"/>
    <n v="33"/>
    <x v="1"/>
  </r>
  <r>
    <s v="APT00172"/>
    <d v="2025-05-03T00:00:00"/>
    <x v="34"/>
    <x v="4"/>
    <s v="New"/>
    <s v="Routine"/>
    <x v="0"/>
    <s v="Orthopaedics A"/>
    <s v="Central Outpatients"/>
    <n v="30"/>
    <n v="34"/>
    <x v="1"/>
  </r>
  <r>
    <s v="APT00173"/>
    <d v="2026-01-06T00:00:00"/>
    <x v="13"/>
    <x v="0"/>
    <s v="New"/>
    <s v="Urgent"/>
    <x v="0"/>
    <s v="Dermatology B"/>
    <s v="Central Outpatients"/>
    <n v="45"/>
    <n v="31"/>
    <x v="1"/>
  </r>
  <r>
    <s v="APT00174"/>
    <d v="2025-12-19T00:00:00"/>
    <x v="128"/>
    <x v="2"/>
    <s v="New"/>
    <s v="Urgent"/>
    <x v="0"/>
    <s v="Gastro A"/>
    <s v="Royal South Hospital"/>
    <n v="30"/>
    <n v="9"/>
    <x v="2"/>
  </r>
  <r>
    <s v="APT00175"/>
    <d v="2025-12-10T00:00:00"/>
    <x v="86"/>
    <x v="2"/>
    <s v="Follow-up"/>
    <s v="Routine"/>
    <x v="0"/>
    <s v="Gastro A"/>
    <s v="Riverside Clinic"/>
    <n v="30"/>
    <n v="25"/>
    <x v="0"/>
  </r>
  <r>
    <s v="APT00176"/>
    <d v="2025-09-16T00:00:00"/>
    <x v="129"/>
    <x v="1"/>
    <s v="Follow-up"/>
    <s v="Routine"/>
    <x v="0"/>
    <s v="Cardiology A"/>
    <s v="Royal South Hospital"/>
    <n v="30"/>
    <n v="51"/>
    <x v="3"/>
  </r>
  <r>
    <s v="APT00177"/>
    <d v="2025-12-18T00:00:00"/>
    <x v="128"/>
    <x v="4"/>
    <s v="Follow-up"/>
    <s v="Routine"/>
    <x v="0"/>
    <s v="Orthopaedics A"/>
    <s v="Riverside Clinic"/>
    <n v="15"/>
    <n v="10"/>
    <x v="2"/>
  </r>
  <r>
    <s v="APT00178"/>
    <d v="2025-05-29T00:00:00"/>
    <x v="130"/>
    <x v="0"/>
    <s v="New"/>
    <s v="Routine"/>
    <x v="0"/>
    <s v="Dermatology A"/>
    <s v="Central Outpatients"/>
    <n v="45"/>
    <n v="31"/>
    <x v="1"/>
  </r>
  <r>
    <s v="APT00179"/>
    <d v="2026-02-22T00:00:00"/>
    <x v="131"/>
    <x v="2"/>
    <s v="Follow-up"/>
    <s v="Routine"/>
    <x v="2"/>
    <s v="Gastro B"/>
    <s v="Royal South Hospital"/>
    <n v="15"/>
    <n v="20"/>
    <x v="0"/>
  </r>
  <r>
    <s v="APT00180"/>
    <d v="2025-09-30T00:00:00"/>
    <x v="129"/>
    <x v="2"/>
    <s v="New"/>
    <s v="Routine"/>
    <x v="0"/>
    <s v="Gastro B"/>
    <s v="Central Outpatients"/>
    <n v="30"/>
    <n v="37"/>
    <x v="1"/>
  </r>
  <r>
    <s v="APT00181"/>
    <d v="2026-03-08T00:00:00"/>
    <x v="132"/>
    <x v="3"/>
    <s v="Follow-up"/>
    <s v="Urgent"/>
    <x v="0"/>
    <s v="Neurology B"/>
    <s v="Riverside Clinic"/>
    <n v="15"/>
    <n v="28"/>
    <x v="0"/>
  </r>
  <r>
    <s v="APT00182"/>
    <d v="2025-05-26T00:00:00"/>
    <x v="133"/>
    <x v="1"/>
    <s v="Follow-up"/>
    <s v="Routine"/>
    <x v="0"/>
    <s v="Cardiology A"/>
    <s v="Royal South Hospital"/>
    <n v="15"/>
    <n v="61"/>
    <x v="4"/>
  </r>
  <r>
    <s v="APT00183"/>
    <d v="2025-09-29T00:00:00"/>
    <x v="134"/>
    <x v="1"/>
    <s v="New"/>
    <s v="Routine"/>
    <x v="0"/>
    <s v="Cardiology B"/>
    <s v="Royal South Hospital"/>
    <n v="30"/>
    <n v="44"/>
    <x v="3"/>
  </r>
  <r>
    <s v="APT00184"/>
    <d v="2025-12-10T00:00:00"/>
    <x v="135"/>
    <x v="1"/>
    <s v="New"/>
    <s v="Routine"/>
    <x v="0"/>
    <s v="Cardiology B"/>
    <s v="Central Outpatients"/>
    <n v="30"/>
    <n v="11"/>
    <x v="2"/>
  </r>
  <r>
    <s v="APT00185"/>
    <d v="2025-09-28T00:00:00"/>
    <x v="64"/>
    <x v="0"/>
    <s v="Follow-up"/>
    <s v="Routine"/>
    <x v="1"/>
    <s v="Dermatology B"/>
    <s v="Royal South Hospital"/>
    <n v="15"/>
    <n v="47"/>
    <x v="3"/>
  </r>
  <r>
    <s v="APT00186"/>
    <d v="2025-09-10T00:00:00"/>
    <x v="75"/>
    <x v="1"/>
    <s v="Follow-up"/>
    <s v="Routine"/>
    <x v="0"/>
    <s v="Cardiology B"/>
    <s v="Royal South Hospital"/>
    <n v="15"/>
    <n v="21"/>
    <x v="0"/>
  </r>
  <r>
    <s v="APT00187"/>
    <d v="2025-05-31T00:00:00"/>
    <x v="136"/>
    <x v="4"/>
    <s v="Follow-up"/>
    <s v="Urgent"/>
    <x v="0"/>
    <s v="Orthopaedics B"/>
    <s v="Royal South Hospital"/>
    <n v="15"/>
    <n v="24"/>
    <x v="0"/>
  </r>
  <r>
    <s v="APT00188"/>
    <d v="2025-08-17T00:00:00"/>
    <x v="137"/>
    <x v="2"/>
    <s v="Follow-up"/>
    <s v="Routine"/>
    <x v="0"/>
    <s v="Gastro A"/>
    <s v="Central Outpatients"/>
    <n v="30"/>
    <n v="40"/>
    <x v="1"/>
  </r>
  <r>
    <s v="APT00189"/>
    <d v="2025-06-26T00:00:00"/>
    <x v="138"/>
    <x v="3"/>
    <s v="Follow-up"/>
    <s v="Routine"/>
    <x v="0"/>
    <s v="Neurology B"/>
    <s v="Royal South Hospital"/>
    <n v="15"/>
    <n v="26"/>
    <x v="0"/>
  </r>
  <r>
    <s v="APT00190"/>
    <d v="2025-07-19T00:00:00"/>
    <x v="139"/>
    <x v="0"/>
    <s v="New"/>
    <s v="Routine"/>
    <x v="1"/>
    <s v="Dermatology B"/>
    <s v="Central Outpatients"/>
    <n v="45"/>
    <n v="51"/>
    <x v="3"/>
  </r>
  <r>
    <s v="APT00191"/>
    <d v="2025-12-05T00:00:00"/>
    <x v="14"/>
    <x v="0"/>
    <s v="Follow-up"/>
    <s v="Routine"/>
    <x v="0"/>
    <s v="Dermatology B"/>
    <s v="Riverside Clinic"/>
    <n v="15"/>
    <n v="21"/>
    <x v="0"/>
  </r>
  <r>
    <s v="APT00192"/>
    <d v="2025-11-16T00:00:00"/>
    <x v="140"/>
    <x v="2"/>
    <s v="New"/>
    <s v="Routine"/>
    <x v="0"/>
    <s v="Gastro A"/>
    <s v="Royal South Hospital"/>
    <n v="30"/>
    <n v="23"/>
    <x v="0"/>
  </r>
  <r>
    <s v="APT00193"/>
    <d v="2025-11-08T00:00:00"/>
    <x v="38"/>
    <x v="0"/>
    <s v="Follow-up"/>
    <s v="Routine"/>
    <x v="0"/>
    <s v="Dermatology B"/>
    <s v="Royal South Hospital"/>
    <n v="30"/>
    <n v="23"/>
    <x v="0"/>
  </r>
  <r>
    <s v="APT00194"/>
    <d v="2025-08-10T00:00:00"/>
    <x v="141"/>
    <x v="0"/>
    <s v="New"/>
    <s v="Routine"/>
    <x v="0"/>
    <s v="Dermatology B"/>
    <s v="Riverside Clinic"/>
    <n v="30"/>
    <n v="24"/>
    <x v="0"/>
  </r>
  <r>
    <s v="APT00195"/>
    <d v="2026-03-16T00:00:00"/>
    <x v="142"/>
    <x v="2"/>
    <s v="Follow-up"/>
    <s v="Routine"/>
    <x v="0"/>
    <s v="Gastro A"/>
    <s v="Royal South Hospital"/>
    <n v="15"/>
    <n v="54"/>
    <x v="3"/>
  </r>
  <r>
    <s v="APT00196"/>
    <d v="2025-05-02T00:00:00"/>
    <x v="143"/>
    <x v="2"/>
    <s v="Follow-up"/>
    <s v="Routine"/>
    <x v="0"/>
    <s v="Gastro A"/>
    <s v="Royal South Hospital"/>
    <n v="30"/>
    <n v="46"/>
    <x v="3"/>
  </r>
  <r>
    <s v="APT00197"/>
    <d v="2025-08-03T00:00:00"/>
    <x v="144"/>
    <x v="4"/>
    <s v="New"/>
    <s v="Routine"/>
    <x v="2"/>
    <s v="Orthopaedics A"/>
    <s v="Royal South Hospital"/>
    <n v="30"/>
    <n v="65"/>
    <x v="4"/>
  </r>
  <r>
    <s v="APT00198"/>
    <d v="2025-05-13T00:00:00"/>
    <x v="145"/>
    <x v="0"/>
    <s v="New"/>
    <s v="Routine"/>
    <x v="0"/>
    <s v="Dermatology B"/>
    <s v="Central Outpatients"/>
    <n v="30"/>
    <n v="75"/>
    <x v="4"/>
  </r>
  <r>
    <s v="APT00199"/>
    <d v="2025-08-02T00:00:00"/>
    <x v="146"/>
    <x v="2"/>
    <s v="Follow-up"/>
    <s v="Routine"/>
    <x v="0"/>
    <s v="Gastro A"/>
    <s v="Riverside Clinic"/>
    <n v="30"/>
    <n v="16"/>
    <x v="0"/>
  </r>
  <r>
    <s v="APT00200"/>
    <d v="2026-03-17T00:00:00"/>
    <x v="11"/>
    <x v="1"/>
    <s v="Follow-up"/>
    <s v="Urgent"/>
    <x v="0"/>
    <s v="Cardiology A"/>
    <s v="Riverside Clinic"/>
    <n v="15"/>
    <n v="36"/>
    <x v="1"/>
  </r>
  <r>
    <s v="APT00201"/>
    <d v="2025-08-12T00:00:00"/>
    <x v="147"/>
    <x v="0"/>
    <s v="Follow-up"/>
    <s v="Routine"/>
    <x v="0"/>
    <s v="Dermatology A"/>
    <s v="Royal South Hospital"/>
    <n v="15"/>
    <n v="13"/>
    <x v="2"/>
  </r>
  <r>
    <s v="APT00202"/>
    <d v="2026-02-25T00:00:00"/>
    <x v="148"/>
    <x v="3"/>
    <s v="New"/>
    <s v="Urgent"/>
    <x v="0"/>
    <s v="Neurology A"/>
    <s v="Royal South Hospital"/>
    <n v="30"/>
    <n v="21"/>
    <x v="0"/>
  </r>
  <r>
    <s v="APT00203"/>
    <d v="2025-09-28T00:00:00"/>
    <x v="49"/>
    <x v="1"/>
    <s v="Follow-up"/>
    <s v="Routine"/>
    <x v="1"/>
    <s v="Cardiology A"/>
    <s v="Central Outpatients"/>
    <n v="30"/>
    <n v="23"/>
    <x v="0"/>
  </r>
  <r>
    <s v="APT00204"/>
    <d v="2025-12-11T00:00:00"/>
    <x v="14"/>
    <x v="2"/>
    <s v="Follow-up"/>
    <s v="Routine"/>
    <x v="0"/>
    <s v="Gastro A"/>
    <s v="Royal South Hospital"/>
    <n v="15"/>
    <n v="15"/>
    <x v="0"/>
  </r>
  <r>
    <s v="APT00205"/>
    <d v="2025-09-14T00:00:00"/>
    <x v="149"/>
    <x v="2"/>
    <s v="New"/>
    <s v="Routine"/>
    <x v="2"/>
    <s v="Gastro B"/>
    <s v="Central Outpatients"/>
    <n v="30"/>
    <n v="16"/>
    <x v="0"/>
  </r>
  <r>
    <s v="APT00206"/>
    <d v="2025-07-06T00:00:00"/>
    <x v="77"/>
    <x v="1"/>
    <s v="Follow-up"/>
    <s v="Routine"/>
    <x v="0"/>
    <s v="Cardiology A"/>
    <s v="Central Outpatients"/>
    <n v="30"/>
    <n v="32"/>
    <x v="1"/>
  </r>
  <r>
    <s v="APT00207"/>
    <d v="2026-01-04T00:00:00"/>
    <x v="150"/>
    <x v="4"/>
    <s v="New"/>
    <s v="Routine"/>
    <x v="0"/>
    <s v="Orthopaedics A"/>
    <s v="Royal South Hospital"/>
    <n v="30"/>
    <n v="13"/>
    <x v="2"/>
  </r>
  <r>
    <s v="APT00208"/>
    <d v="2026-03-19T00:00:00"/>
    <x v="151"/>
    <x v="2"/>
    <s v="New"/>
    <s v="Routine"/>
    <x v="2"/>
    <s v="Gastro B"/>
    <s v="Central Outpatients"/>
    <n v="45"/>
    <n v="50"/>
    <x v="3"/>
  </r>
  <r>
    <s v="APT00209"/>
    <d v="2025-07-05T00:00:00"/>
    <x v="152"/>
    <x v="4"/>
    <s v="New"/>
    <s v="Urgent"/>
    <x v="0"/>
    <s v="Orthopaedics B"/>
    <s v="Riverside Clinic"/>
    <n v="30"/>
    <n v="18"/>
    <x v="0"/>
  </r>
  <r>
    <s v="APT00210"/>
    <d v="2026-01-09T00:00:00"/>
    <x v="153"/>
    <x v="2"/>
    <s v="Follow-up"/>
    <s v="Urgent"/>
    <x v="0"/>
    <s v="Gastro A"/>
    <s v="Riverside Clinic"/>
    <n v="15"/>
    <n v="85"/>
    <x v="4"/>
  </r>
  <r>
    <s v="APT00211"/>
    <d v="2025-07-05T00:00:00"/>
    <x v="8"/>
    <x v="4"/>
    <s v="New"/>
    <s v="Routine"/>
    <x v="0"/>
    <s v="Orthopaedics A"/>
    <s v="Royal South Hospital"/>
    <n v="30"/>
    <n v="26"/>
    <x v="0"/>
  </r>
  <r>
    <s v="APT00212"/>
    <d v="2025-12-17T00:00:00"/>
    <x v="154"/>
    <x v="0"/>
    <s v="New"/>
    <s v="Routine"/>
    <x v="1"/>
    <s v="Dermatology B"/>
    <s v="Central Outpatients"/>
    <n v="30"/>
    <n v="36"/>
    <x v="1"/>
  </r>
  <r>
    <s v="APT00213"/>
    <d v="2026-01-13T00:00:00"/>
    <x v="15"/>
    <x v="2"/>
    <s v="Follow-up"/>
    <s v="Routine"/>
    <x v="2"/>
    <s v="Gastro B"/>
    <s v="Royal South Hospital"/>
    <n v="30"/>
    <n v="11"/>
    <x v="2"/>
  </r>
  <r>
    <s v="APT00214"/>
    <d v="2025-09-11T00:00:00"/>
    <x v="96"/>
    <x v="4"/>
    <s v="Follow-up"/>
    <s v="Routine"/>
    <x v="0"/>
    <s v="Orthopaedics A"/>
    <s v="Central Outpatients"/>
    <n v="15"/>
    <n v="65"/>
    <x v="4"/>
  </r>
  <r>
    <s v="APT00215"/>
    <d v="2025-12-25T00:00:00"/>
    <x v="84"/>
    <x v="0"/>
    <s v="Follow-up"/>
    <s v="Routine"/>
    <x v="0"/>
    <s v="Dermatology B"/>
    <s v="Royal South Hospital"/>
    <n v="30"/>
    <n v="55"/>
    <x v="3"/>
  </r>
  <r>
    <s v="APT00216"/>
    <d v="2025-07-09T00:00:00"/>
    <x v="146"/>
    <x v="0"/>
    <s v="New"/>
    <s v="Routine"/>
    <x v="0"/>
    <s v="Dermatology A"/>
    <s v="Royal South Hospital"/>
    <n v="30"/>
    <n v="40"/>
    <x v="1"/>
  </r>
  <r>
    <s v="APT00217"/>
    <d v="2025-04-29T00:00:00"/>
    <x v="115"/>
    <x v="4"/>
    <s v="Follow-up"/>
    <s v="Routine"/>
    <x v="0"/>
    <s v="Orthopaedics A"/>
    <s v="Central Outpatients"/>
    <n v="30"/>
    <n v="10"/>
    <x v="2"/>
  </r>
  <r>
    <s v="APT00218"/>
    <d v="2025-05-06T00:00:00"/>
    <x v="155"/>
    <x v="2"/>
    <s v="New"/>
    <s v="Routine"/>
    <x v="0"/>
    <s v="Gastro A"/>
    <s v="Royal South Hospital"/>
    <n v="30"/>
    <n v="38"/>
    <x v="1"/>
  </r>
  <r>
    <s v="APT00219"/>
    <d v="2025-09-10T00:00:00"/>
    <x v="156"/>
    <x v="3"/>
    <s v="Follow-up"/>
    <s v="Routine"/>
    <x v="0"/>
    <s v="Neurology B"/>
    <s v="Royal South Hospital"/>
    <n v="15"/>
    <n v="14"/>
    <x v="2"/>
  </r>
  <r>
    <s v="APT00220"/>
    <d v="2026-02-23T00:00:00"/>
    <x v="157"/>
    <x v="3"/>
    <s v="New"/>
    <s v="Urgent"/>
    <x v="1"/>
    <s v="Neurology A"/>
    <s v="Central Outpatients"/>
    <n v="30"/>
    <n v="61"/>
    <x v="4"/>
  </r>
  <r>
    <s v="APT00221"/>
    <d v="2025-05-17T00:00:00"/>
    <x v="158"/>
    <x v="4"/>
    <s v="New"/>
    <s v="Routine"/>
    <x v="0"/>
    <s v="Orthopaedics A"/>
    <s v="Royal South Hospital"/>
    <n v="30"/>
    <n v="49"/>
    <x v="3"/>
  </r>
  <r>
    <s v="APT00222"/>
    <d v="2025-09-13T00:00:00"/>
    <x v="159"/>
    <x v="4"/>
    <s v="New"/>
    <s v="Routine"/>
    <x v="0"/>
    <s v="Orthopaedics B"/>
    <s v="Central Outpatients"/>
    <n v="45"/>
    <n v="36"/>
    <x v="1"/>
  </r>
  <r>
    <s v="APT00223"/>
    <d v="2025-12-13T00:00:00"/>
    <x v="2"/>
    <x v="2"/>
    <s v="Follow-up"/>
    <s v="Routine"/>
    <x v="2"/>
    <s v="Gastro A"/>
    <s v="Central Outpatients"/>
    <n v="15"/>
    <n v="2"/>
    <x v="2"/>
  </r>
  <r>
    <s v="APT00224"/>
    <d v="2025-06-13T00:00:00"/>
    <x v="160"/>
    <x v="0"/>
    <s v="New"/>
    <s v="Routine"/>
    <x v="0"/>
    <s v="Dermatology A"/>
    <s v="Royal South Hospital"/>
    <n v="30"/>
    <n v="17"/>
    <x v="0"/>
  </r>
  <r>
    <s v="APT00225"/>
    <d v="2025-12-19T00:00:00"/>
    <x v="161"/>
    <x v="1"/>
    <s v="New"/>
    <s v="Routine"/>
    <x v="0"/>
    <s v="Cardiology B"/>
    <s v="Riverside Clinic"/>
    <n v="30"/>
    <n v="47"/>
    <x v="3"/>
  </r>
  <r>
    <s v="APT00226"/>
    <d v="2025-07-21T00:00:00"/>
    <x v="93"/>
    <x v="3"/>
    <s v="Follow-up"/>
    <s v="Routine"/>
    <x v="0"/>
    <s v="Neurology B"/>
    <s v="Central Outpatients"/>
    <n v="15"/>
    <n v="56"/>
    <x v="3"/>
  </r>
  <r>
    <s v="APT00227"/>
    <d v="2026-01-20T00:00:00"/>
    <x v="162"/>
    <x v="4"/>
    <s v="Follow-up"/>
    <s v="Urgent"/>
    <x v="0"/>
    <s v="Orthopaedics A"/>
    <s v="Central Outpatients"/>
    <n v="15"/>
    <n v="54"/>
    <x v="3"/>
  </r>
  <r>
    <s v="APT00228"/>
    <d v="2025-10-28T00:00:00"/>
    <x v="122"/>
    <x v="2"/>
    <s v="New"/>
    <s v="Routine"/>
    <x v="0"/>
    <s v="Gastro A"/>
    <s v="Riverside Clinic"/>
    <n v="45"/>
    <n v="6"/>
    <x v="2"/>
  </r>
  <r>
    <s v="APT00229"/>
    <d v="2025-10-17T00:00:00"/>
    <x v="25"/>
    <x v="1"/>
    <s v="Follow-up"/>
    <s v="Routine"/>
    <x v="0"/>
    <s v="Cardiology B"/>
    <s v="Riverside Clinic"/>
    <n v="15"/>
    <n v="40"/>
    <x v="1"/>
  </r>
  <r>
    <s v="APT00230"/>
    <d v="2025-06-04T00:00:00"/>
    <x v="145"/>
    <x v="0"/>
    <s v="Follow-up"/>
    <s v="Routine"/>
    <x v="0"/>
    <s v="Dermatology A"/>
    <s v="Riverside Clinic"/>
    <n v="15"/>
    <n v="53"/>
    <x v="3"/>
  </r>
  <r>
    <s v="APT00231"/>
    <d v="2025-09-16T00:00:00"/>
    <x v="3"/>
    <x v="2"/>
    <s v="New"/>
    <s v="Urgent"/>
    <x v="0"/>
    <s v="Gastro B"/>
    <s v="Royal South Hospital"/>
    <n v="30"/>
    <n v="5"/>
    <x v="2"/>
  </r>
  <r>
    <s v="APT00232"/>
    <d v="2026-02-06T00:00:00"/>
    <x v="163"/>
    <x v="4"/>
    <s v="Follow-up"/>
    <s v="Routine"/>
    <x v="0"/>
    <s v="Orthopaedics A"/>
    <s v="Riverside Clinic"/>
    <n v="30"/>
    <n v="34"/>
    <x v="1"/>
  </r>
  <r>
    <s v="APT00233"/>
    <d v="2025-04-08T00:00:00"/>
    <x v="164"/>
    <x v="1"/>
    <s v="Follow-up"/>
    <s v="Routine"/>
    <x v="0"/>
    <s v="Cardiology B"/>
    <s v="Royal South Hospital"/>
    <n v="30"/>
    <n v="39"/>
    <x v="1"/>
  </r>
  <r>
    <s v="APT00234"/>
    <d v="2026-01-02T00:00:00"/>
    <x v="165"/>
    <x v="3"/>
    <s v="New"/>
    <s v="Urgent"/>
    <x v="0"/>
    <s v="Neurology B"/>
    <s v="Royal South Hospital"/>
    <n v="45"/>
    <n v="29"/>
    <x v="1"/>
  </r>
  <r>
    <s v="APT00235"/>
    <d v="2025-09-27T00:00:00"/>
    <x v="54"/>
    <x v="4"/>
    <s v="New"/>
    <s v="Routine"/>
    <x v="2"/>
    <s v="Orthopaedics B"/>
    <s v="Royal South Hospital"/>
    <n v="30"/>
    <n v="2"/>
    <x v="2"/>
  </r>
  <r>
    <s v="APT00236"/>
    <d v="2025-12-18T00:00:00"/>
    <x v="7"/>
    <x v="4"/>
    <s v="New"/>
    <s v="Routine"/>
    <x v="0"/>
    <s v="Orthopaedics B"/>
    <s v="Central Outpatients"/>
    <n v="30"/>
    <n v="29"/>
    <x v="1"/>
  </r>
  <r>
    <s v="APT00237"/>
    <d v="2025-11-28T00:00:00"/>
    <x v="166"/>
    <x v="1"/>
    <s v="New"/>
    <s v="Routine"/>
    <x v="0"/>
    <s v="Cardiology A"/>
    <s v="Royal South Hospital"/>
    <n v="30"/>
    <n v="29"/>
    <x v="1"/>
  </r>
  <r>
    <s v="APT00238"/>
    <d v="2025-09-05T00:00:00"/>
    <x v="144"/>
    <x v="4"/>
    <s v="Follow-up"/>
    <s v="Routine"/>
    <x v="0"/>
    <s v="Orthopaedics B"/>
    <s v="Royal South Hospital"/>
    <n v="15"/>
    <n v="32"/>
    <x v="1"/>
  </r>
  <r>
    <s v="APT00239"/>
    <d v="2025-07-22T00:00:00"/>
    <x v="167"/>
    <x v="3"/>
    <s v="Follow-up"/>
    <s v="Urgent"/>
    <x v="0"/>
    <s v="Neurology A"/>
    <s v="Royal South Hospital"/>
    <n v="15"/>
    <n v="24"/>
    <x v="0"/>
  </r>
  <r>
    <s v="APT00240"/>
    <d v="2025-11-15T00:00:00"/>
    <x v="168"/>
    <x v="4"/>
    <s v="Follow-up"/>
    <s v="Routine"/>
    <x v="0"/>
    <s v="Orthopaedics A"/>
    <s v="Royal South Hospital"/>
    <n v="15"/>
    <n v="27"/>
    <x v="0"/>
  </r>
  <r>
    <s v="APT00241"/>
    <d v="2025-05-22T00:00:00"/>
    <x v="124"/>
    <x v="1"/>
    <s v="New"/>
    <s v="Routine"/>
    <x v="0"/>
    <s v="Cardiology B"/>
    <s v="Central Outpatients"/>
    <n v="30"/>
    <n v="34"/>
    <x v="1"/>
  </r>
  <r>
    <s v="APT00242"/>
    <d v="2025-10-30T00:00:00"/>
    <x v="169"/>
    <x v="2"/>
    <s v="Follow-up"/>
    <s v="Routine"/>
    <x v="0"/>
    <s v="Gastro A"/>
    <s v="Royal South Hospital"/>
    <n v="15"/>
    <n v="42"/>
    <x v="1"/>
  </r>
  <r>
    <s v="APT00243"/>
    <d v="2025-05-05T00:00:00"/>
    <x v="170"/>
    <x v="3"/>
    <s v="New"/>
    <s v="Routine"/>
    <x v="1"/>
    <s v="Neurology A"/>
    <s v="Royal South Hospital"/>
    <n v="30"/>
    <n v="29"/>
    <x v="1"/>
  </r>
  <r>
    <s v="APT00244"/>
    <d v="2025-11-23T00:00:00"/>
    <x v="95"/>
    <x v="0"/>
    <s v="Follow-up"/>
    <s v="Routine"/>
    <x v="0"/>
    <s v="Dermatology B"/>
    <s v="Central Outpatients"/>
    <n v="15"/>
    <n v="27"/>
    <x v="0"/>
  </r>
  <r>
    <s v="APT00245"/>
    <d v="2025-11-15T00:00:00"/>
    <x v="135"/>
    <x v="2"/>
    <s v="New"/>
    <s v="Urgent"/>
    <x v="0"/>
    <s v="Gastro A"/>
    <s v="Royal South Hospital"/>
    <n v="30"/>
    <n v="36"/>
    <x v="1"/>
  </r>
  <r>
    <s v="APT00246"/>
    <d v="2025-05-01T00:00:00"/>
    <x v="171"/>
    <x v="2"/>
    <s v="Follow-up"/>
    <s v="Routine"/>
    <x v="0"/>
    <s v="Gastro B"/>
    <s v="Royal South Hospital"/>
    <n v="30"/>
    <n v="2"/>
    <x v="2"/>
  </r>
  <r>
    <s v="APT00247"/>
    <d v="2026-01-01T00:00:00"/>
    <x v="1"/>
    <x v="2"/>
    <s v="Follow-up"/>
    <s v="Urgent"/>
    <x v="0"/>
    <s v="Gastro B"/>
    <s v="Central Outpatients"/>
    <n v="15"/>
    <n v="43"/>
    <x v="3"/>
  </r>
  <r>
    <s v="APT00248"/>
    <d v="2025-08-30T00:00:00"/>
    <x v="172"/>
    <x v="1"/>
    <s v="New"/>
    <s v="Routine"/>
    <x v="0"/>
    <s v="Cardiology B"/>
    <s v="Riverside Clinic"/>
    <n v="30"/>
    <n v="34"/>
    <x v="1"/>
  </r>
  <r>
    <s v="APT00249"/>
    <d v="2026-01-12T00:00:00"/>
    <x v="173"/>
    <x v="2"/>
    <s v="Follow-up"/>
    <s v="Routine"/>
    <x v="0"/>
    <s v="Gastro B"/>
    <s v="Royal South Hospital"/>
    <n v="15"/>
    <n v="35"/>
    <x v="1"/>
  </r>
  <r>
    <s v="APT00250"/>
    <d v="2025-04-16T00:00:00"/>
    <x v="72"/>
    <x v="1"/>
    <s v="Follow-up"/>
    <s v="Routine"/>
    <x v="0"/>
    <s v="Cardiology A"/>
    <s v="Riverside Clinic"/>
    <n v="15"/>
    <n v="52"/>
    <x v="3"/>
  </r>
  <r>
    <s v="APT00251"/>
    <d v="2025-06-05T00:00:00"/>
    <x v="72"/>
    <x v="4"/>
    <s v="Follow-up"/>
    <s v="Routine"/>
    <x v="2"/>
    <s v="Orthopaedics B"/>
    <s v="Riverside Clinic"/>
    <n v="15"/>
    <n v="2"/>
    <x v="2"/>
  </r>
  <r>
    <s v="APT00252"/>
    <d v="2025-09-27T00:00:00"/>
    <x v="54"/>
    <x v="4"/>
    <s v="Follow-up"/>
    <s v="Routine"/>
    <x v="0"/>
    <s v="Orthopaedics B"/>
    <s v="Riverside Clinic"/>
    <n v="15"/>
    <n v="2"/>
    <x v="2"/>
  </r>
  <r>
    <s v="APT00253"/>
    <d v="2025-06-08T00:00:00"/>
    <x v="174"/>
    <x v="0"/>
    <s v="New"/>
    <s v="Routine"/>
    <x v="0"/>
    <s v="Dermatology A"/>
    <s v="Royal South Hospital"/>
    <n v="30"/>
    <n v="39"/>
    <x v="1"/>
  </r>
  <r>
    <s v="APT00254"/>
    <d v="2025-07-30T00:00:00"/>
    <x v="175"/>
    <x v="1"/>
    <s v="Follow-up"/>
    <s v="Routine"/>
    <x v="0"/>
    <s v="Cardiology A"/>
    <s v="Central Outpatients"/>
    <n v="15"/>
    <n v="34"/>
    <x v="1"/>
  </r>
  <r>
    <s v="APT00255"/>
    <d v="2025-11-27T00:00:00"/>
    <x v="86"/>
    <x v="1"/>
    <s v="New"/>
    <s v="Routine"/>
    <x v="0"/>
    <s v="Cardiology A"/>
    <s v="Riverside Clinic"/>
    <n v="30"/>
    <n v="38"/>
    <x v="1"/>
  </r>
  <r>
    <s v="APT00256"/>
    <d v="2025-05-23T00:00:00"/>
    <x v="176"/>
    <x v="2"/>
    <s v="Follow-up"/>
    <s v="Routine"/>
    <x v="0"/>
    <s v="Gastro B"/>
    <s v="Riverside Clinic"/>
    <n v="15"/>
    <n v="26"/>
    <x v="0"/>
  </r>
  <r>
    <s v="APT00257"/>
    <d v="2025-12-03T00:00:00"/>
    <x v="177"/>
    <x v="4"/>
    <s v="New"/>
    <s v="Routine"/>
    <x v="0"/>
    <s v="Orthopaedics A"/>
    <s v="Central Outpatients"/>
    <n v="45"/>
    <n v="46"/>
    <x v="3"/>
  </r>
  <r>
    <s v="APT00258"/>
    <d v="2025-05-08T00:00:00"/>
    <x v="61"/>
    <x v="2"/>
    <s v="Follow-up"/>
    <s v="Routine"/>
    <x v="0"/>
    <s v="Gastro A"/>
    <s v="Central Outpatients"/>
    <n v="15"/>
    <n v="51"/>
    <x v="3"/>
  </r>
  <r>
    <s v="APT00259"/>
    <d v="2025-06-03T00:00:00"/>
    <x v="178"/>
    <x v="1"/>
    <s v="Follow-up"/>
    <s v="Routine"/>
    <x v="0"/>
    <s v="Cardiology B"/>
    <s v="Central Outpatients"/>
    <n v="15"/>
    <n v="43"/>
    <x v="3"/>
  </r>
  <r>
    <s v="APT00260"/>
    <d v="2025-10-31T00:00:00"/>
    <x v="179"/>
    <x v="1"/>
    <s v="New"/>
    <s v="Routine"/>
    <x v="0"/>
    <s v="Cardiology B"/>
    <s v="Royal South Hospital"/>
    <n v="30"/>
    <n v="30"/>
    <x v="1"/>
  </r>
  <r>
    <s v="APT00261"/>
    <d v="2026-01-14T00:00:00"/>
    <x v="7"/>
    <x v="0"/>
    <s v="New"/>
    <s v="Routine"/>
    <x v="0"/>
    <s v="Dermatology A"/>
    <s v="Royal South Hospital"/>
    <n v="30"/>
    <n v="2"/>
    <x v="2"/>
  </r>
  <r>
    <s v="APT00262"/>
    <d v="2025-06-02T00:00:00"/>
    <x v="22"/>
    <x v="4"/>
    <s v="Follow-up"/>
    <s v="Routine"/>
    <x v="0"/>
    <s v="Orthopaedics A"/>
    <s v="Riverside Clinic"/>
    <n v="15"/>
    <n v="48"/>
    <x v="3"/>
  </r>
  <r>
    <s v="APT00263"/>
    <d v="2025-07-19T00:00:00"/>
    <x v="180"/>
    <x v="3"/>
    <s v="New"/>
    <s v="Urgent"/>
    <x v="0"/>
    <s v="Neurology B"/>
    <s v="Royal South Hospital"/>
    <n v="30"/>
    <n v="56"/>
    <x v="3"/>
  </r>
  <r>
    <s v="APT00264"/>
    <d v="2026-03-03T00:00:00"/>
    <x v="181"/>
    <x v="2"/>
    <s v="Follow-up"/>
    <s v="Routine"/>
    <x v="0"/>
    <s v="Gastro B"/>
    <s v="Riverside Clinic"/>
    <n v="15"/>
    <n v="46"/>
    <x v="3"/>
  </r>
  <r>
    <s v="APT00265"/>
    <d v="2026-03-27T00:00:00"/>
    <x v="114"/>
    <x v="0"/>
    <s v="Follow-up"/>
    <s v="Routine"/>
    <x v="0"/>
    <s v="Dermatology B"/>
    <s v="Riverside Clinic"/>
    <n v="15"/>
    <n v="19"/>
    <x v="0"/>
  </r>
  <r>
    <s v="APT00266"/>
    <d v="2025-10-29T00:00:00"/>
    <x v="2"/>
    <x v="4"/>
    <s v="New"/>
    <s v="Urgent"/>
    <x v="0"/>
    <s v="Orthopaedics B"/>
    <s v="Riverside Clinic"/>
    <n v="45"/>
    <n v="47"/>
    <x v="3"/>
  </r>
  <r>
    <s v="APT00267"/>
    <d v="2025-09-10T00:00:00"/>
    <x v="90"/>
    <x v="0"/>
    <s v="Follow-up"/>
    <s v="Routine"/>
    <x v="2"/>
    <s v="Dermatology B"/>
    <s v="Royal South Hospital"/>
    <n v="15"/>
    <n v="50"/>
    <x v="3"/>
  </r>
  <r>
    <s v="APT00268"/>
    <d v="2025-08-05T00:00:00"/>
    <x v="144"/>
    <x v="4"/>
    <s v="Follow-up"/>
    <s v="Routine"/>
    <x v="1"/>
    <s v="Orthopaedics B"/>
    <s v="Central Outpatients"/>
    <n v="15"/>
    <n v="63"/>
    <x v="4"/>
  </r>
  <r>
    <s v="APT00269"/>
    <d v="2025-11-09T00:00:00"/>
    <x v="99"/>
    <x v="4"/>
    <s v="Follow-up"/>
    <s v="Routine"/>
    <x v="0"/>
    <s v="Orthopaedics B"/>
    <s v="Riverside Clinic"/>
    <n v="15"/>
    <n v="19"/>
    <x v="0"/>
  </r>
  <r>
    <s v="APT00270"/>
    <d v="2025-11-02T00:00:00"/>
    <x v="106"/>
    <x v="2"/>
    <s v="New"/>
    <s v="Routine"/>
    <x v="0"/>
    <s v="Gastro A"/>
    <s v="Riverside Clinic"/>
    <n v="30"/>
    <n v="30"/>
    <x v="1"/>
  </r>
  <r>
    <s v="APT00271"/>
    <d v="2025-07-17T00:00:00"/>
    <x v="141"/>
    <x v="4"/>
    <s v="New"/>
    <s v="Routine"/>
    <x v="2"/>
    <s v="Orthopaedics B"/>
    <s v="Riverside Clinic"/>
    <n v="30"/>
    <n v="48"/>
    <x v="3"/>
  </r>
  <r>
    <s v="APT00272"/>
    <d v="2025-04-09T00:00:00"/>
    <x v="182"/>
    <x v="0"/>
    <s v="New"/>
    <s v="Routine"/>
    <x v="2"/>
    <s v="Dermatology A"/>
    <s v="Royal South Hospital"/>
    <n v="30"/>
    <n v="36"/>
    <x v="1"/>
  </r>
  <r>
    <s v="APT00273"/>
    <d v="2025-05-26T00:00:00"/>
    <x v="82"/>
    <x v="3"/>
    <s v="Follow-up"/>
    <s v="Routine"/>
    <x v="0"/>
    <s v="Neurology B"/>
    <s v="Riverside Clinic"/>
    <n v="15"/>
    <n v="14"/>
    <x v="2"/>
  </r>
  <r>
    <s v="APT00274"/>
    <d v="2026-03-15T00:00:00"/>
    <x v="183"/>
    <x v="1"/>
    <s v="Follow-up"/>
    <s v="Urgent"/>
    <x v="0"/>
    <s v="Cardiology B"/>
    <s v="Royal South Hospital"/>
    <n v="30"/>
    <n v="42"/>
    <x v="1"/>
  </r>
  <r>
    <s v="APT00275"/>
    <d v="2025-08-31T00:00:00"/>
    <x v="57"/>
    <x v="2"/>
    <s v="Follow-up"/>
    <s v="Routine"/>
    <x v="0"/>
    <s v="Gastro B"/>
    <s v="Riverside Clinic"/>
    <n v="30"/>
    <n v="45"/>
    <x v="3"/>
  </r>
  <r>
    <s v="APT00276"/>
    <d v="2025-09-23T00:00:00"/>
    <x v="85"/>
    <x v="1"/>
    <s v="New"/>
    <s v="Routine"/>
    <x v="1"/>
    <s v="Cardiology B"/>
    <s v="Royal South Hospital"/>
    <n v="30"/>
    <n v="36"/>
    <x v="1"/>
  </r>
  <r>
    <s v="APT00277"/>
    <d v="2025-09-18T00:00:00"/>
    <x v="184"/>
    <x v="1"/>
    <s v="Follow-up"/>
    <s v="Routine"/>
    <x v="2"/>
    <s v="Cardiology A"/>
    <s v="Royal South Hospital"/>
    <n v="15"/>
    <n v="38"/>
    <x v="1"/>
  </r>
  <r>
    <s v="APT00278"/>
    <d v="2026-01-10T00:00:00"/>
    <x v="185"/>
    <x v="1"/>
    <s v="Follow-up"/>
    <s v="Routine"/>
    <x v="1"/>
    <s v="Cardiology B"/>
    <s v="Royal South Hospital"/>
    <n v="30"/>
    <n v="30"/>
    <x v="1"/>
  </r>
  <r>
    <s v="APT00279"/>
    <d v="2025-04-24T00:00:00"/>
    <x v="136"/>
    <x v="0"/>
    <s v="Follow-up"/>
    <s v="Routine"/>
    <x v="0"/>
    <s v="Dermatology A"/>
    <s v="Royal South Hospital"/>
    <n v="15"/>
    <n v="61"/>
    <x v="4"/>
  </r>
  <r>
    <s v="APT00280"/>
    <d v="2025-05-01T00:00:00"/>
    <x v="186"/>
    <x v="2"/>
    <s v="New"/>
    <s v="Urgent"/>
    <x v="2"/>
    <s v="Gastro A"/>
    <s v="Central Outpatients"/>
    <n v="45"/>
    <n v="18"/>
    <x v="0"/>
  </r>
  <r>
    <s v="APT00281"/>
    <d v="2025-07-10T00:00:00"/>
    <x v="116"/>
    <x v="2"/>
    <s v="Follow-up"/>
    <s v="Routine"/>
    <x v="0"/>
    <s v="Gastro B"/>
    <s v="Central Outpatients"/>
    <n v="15"/>
    <n v="24"/>
    <x v="0"/>
  </r>
  <r>
    <s v="APT00282"/>
    <d v="2025-09-25T00:00:00"/>
    <x v="90"/>
    <x v="0"/>
    <s v="New"/>
    <s v="Routine"/>
    <x v="0"/>
    <s v="Dermatology A"/>
    <s v="Royal South Hospital"/>
    <n v="30"/>
    <n v="35"/>
    <x v="1"/>
  </r>
  <r>
    <s v="APT00283"/>
    <d v="2025-12-01T00:00:00"/>
    <x v="187"/>
    <x v="4"/>
    <s v="New"/>
    <s v="Urgent"/>
    <x v="0"/>
    <s v="Orthopaedics B"/>
    <s v="Royal South Hospital"/>
    <n v="30"/>
    <n v="50"/>
    <x v="3"/>
  </r>
  <r>
    <s v="APT00284"/>
    <d v="2025-09-26T00:00:00"/>
    <x v="188"/>
    <x v="4"/>
    <s v="Follow-up"/>
    <s v="Routine"/>
    <x v="0"/>
    <s v="Orthopaedics A"/>
    <s v="Central Outpatients"/>
    <n v="30"/>
    <n v="8"/>
    <x v="2"/>
  </r>
  <r>
    <s v="APT00285"/>
    <d v="2025-09-08T00:00:00"/>
    <x v="121"/>
    <x v="1"/>
    <s v="Follow-up"/>
    <s v="Routine"/>
    <x v="0"/>
    <s v="Cardiology B"/>
    <s v="Royal South Hospital"/>
    <n v="30"/>
    <n v="11"/>
    <x v="2"/>
  </r>
  <r>
    <s v="APT00286"/>
    <d v="2026-03-08T00:00:00"/>
    <x v="189"/>
    <x v="2"/>
    <s v="New"/>
    <s v="Routine"/>
    <x v="0"/>
    <s v="Gastro B"/>
    <s v="Royal South Hospital"/>
    <n v="30"/>
    <n v="2"/>
    <x v="2"/>
  </r>
  <r>
    <s v="APT00287"/>
    <d v="2025-05-29T00:00:00"/>
    <x v="190"/>
    <x v="3"/>
    <s v="Follow-up"/>
    <s v="Routine"/>
    <x v="0"/>
    <s v="Neurology B"/>
    <s v="Royal South Hospital"/>
    <n v="30"/>
    <n v="35"/>
    <x v="1"/>
  </r>
  <r>
    <s v="APT00288"/>
    <d v="2025-10-26T00:00:00"/>
    <x v="32"/>
    <x v="3"/>
    <s v="Follow-up"/>
    <s v="Routine"/>
    <x v="1"/>
    <s v="Neurology A"/>
    <s v="Riverside Clinic"/>
    <n v="30"/>
    <n v="14"/>
    <x v="2"/>
  </r>
  <r>
    <s v="APT00289"/>
    <d v="2025-10-15T00:00:00"/>
    <x v="134"/>
    <x v="0"/>
    <s v="New"/>
    <s v="Routine"/>
    <x v="0"/>
    <s v="Dermatology B"/>
    <s v="Central Outpatients"/>
    <n v="45"/>
    <n v="28"/>
    <x v="0"/>
  </r>
  <r>
    <s v="APT00290"/>
    <d v="2025-09-20T00:00:00"/>
    <x v="191"/>
    <x v="3"/>
    <s v="Follow-up"/>
    <s v="Routine"/>
    <x v="0"/>
    <s v="Neurology A"/>
    <s v="Royal South Hospital"/>
    <n v="15"/>
    <n v="46"/>
    <x v="3"/>
  </r>
  <r>
    <s v="APT00291"/>
    <d v="2026-01-19T00:00:00"/>
    <x v="24"/>
    <x v="1"/>
    <s v="New"/>
    <s v="Routine"/>
    <x v="0"/>
    <s v="Cardiology A"/>
    <s v="Central Outpatients"/>
    <n v="30"/>
    <n v="23"/>
    <x v="0"/>
  </r>
  <r>
    <s v="APT00292"/>
    <d v="2025-07-07T00:00:00"/>
    <x v="167"/>
    <x v="0"/>
    <s v="New"/>
    <s v="Routine"/>
    <x v="0"/>
    <s v="Dermatology B"/>
    <s v="Central Outpatients"/>
    <n v="30"/>
    <n v="39"/>
    <x v="1"/>
  </r>
  <r>
    <s v="APT00293"/>
    <d v="2026-03-14T00:00:00"/>
    <x v="192"/>
    <x v="3"/>
    <s v="Follow-up"/>
    <s v="Urgent"/>
    <x v="0"/>
    <s v="Neurology A"/>
    <s v="Central Outpatients"/>
    <n v="15"/>
    <n v="29"/>
    <x v="1"/>
  </r>
  <r>
    <s v="APT00294"/>
    <d v="2025-07-30T00:00:00"/>
    <x v="93"/>
    <x v="3"/>
    <s v="Follow-up"/>
    <s v="Urgent"/>
    <x v="0"/>
    <s v="Neurology B"/>
    <s v="Riverside Clinic"/>
    <n v="15"/>
    <n v="47"/>
    <x v="3"/>
  </r>
  <r>
    <s v="APT00295"/>
    <d v="2025-10-16T00:00:00"/>
    <x v="99"/>
    <x v="4"/>
    <s v="New"/>
    <s v="Routine"/>
    <x v="0"/>
    <s v="Orthopaedics A"/>
    <s v="Central Outpatients"/>
    <n v="30"/>
    <n v="43"/>
    <x v="3"/>
  </r>
  <r>
    <s v="APT00296"/>
    <d v="2025-10-07T00:00:00"/>
    <x v="85"/>
    <x v="1"/>
    <s v="New"/>
    <s v="Urgent"/>
    <x v="0"/>
    <s v="Cardiology B"/>
    <s v="Riverside Clinic"/>
    <n v="30"/>
    <n v="22"/>
    <x v="0"/>
  </r>
  <r>
    <s v="APT00297"/>
    <d v="2026-02-04T00:00:00"/>
    <x v="36"/>
    <x v="1"/>
    <s v="Follow-up"/>
    <s v="Routine"/>
    <x v="1"/>
    <s v="Cardiology A"/>
    <s v="Central Outpatients"/>
    <n v="15"/>
    <n v="31"/>
    <x v="1"/>
  </r>
  <r>
    <s v="APT00298"/>
    <d v="2025-09-07T00:00:00"/>
    <x v="90"/>
    <x v="1"/>
    <s v="Follow-up"/>
    <s v="Routine"/>
    <x v="0"/>
    <s v="Cardiology A"/>
    <s v="Royal South Hospital"/>
    <n v="15"/>
    <n v="53"/>
    <x v="3"/>
  </r>
  <r>
    <s v="APT00299"/>
    <d v="2025-07-13T00:00:00"/>
    <x v="193"/>
    <x v="1"/>
    <s v="Follow-up"/>
    <s v="Routine"/>
    <x v="0"/>
    <s v="Cardiology A"/>
    <s v="Riverside Clinic"/>
    <n v="30"/>
    <n v="42"/>
    <x v="1"/>
  </r>
  <r>
    <s v="APT00300"/>
    <d v="2025-04-08T00:00:00"/>
    <x v="194"/>
    <x v="1"/>
    <s v="Follow-up"/>
    <s v="Routine"/>
    <x v="0"/>
    <s v="Cardiology A"/>
    <s v="Riverside Clinic"/>
    <n v="15"/>
    <n v="9"/>
    <x v="2"/>
  </r>
  <r>
    <s v="APT00301"/>
    <d v="2025-08-11T00:00:00"/>
    <x v="137"/>
    <x v="2"/>
    <s v="New"/>
    <s v="Routine"/>
    <x v="2"/>
    <s v="Gastro A"/>
    <s v="Royal South Hospital"/>
    <n v="30"/>
    <n v="46"/>
    <x v="3"/>
  </r>
  <r>
    <s v="APT00302"/>
    <d v="2026-01-26T00:00:00"/>
    <x v="195"/>
    <x v="2"/>
    <s v="Follow-up"/>
    <s v="Routine"/>
    <x v="0"/>
    <s v="Gastro B"/>
    <s v="Royal South Hospital"/>
    <n v="30"/>
    <n v="15"/>
    <x v="0"/>
  </r>
  <r>
    <s v="APT00303"/>
    <d v="2025-04-04T00:00:00"/>
    <x v="170"/>
    <x v="3"/>
    <s v="Follow-up"/>
    <s v="Routine"/>
    <x v="0"/>
    <s v="Neurology A"/>
    <s v="Royal South Hospital"/>
    <n v="30"/>
    <n v="60"/>
    <x v="4"/>
  </r>
  <r>
    <s v="APT00304"/>
    <d v="2026-02-21T00:00:00"/>
    <x v="114"/>
    <x v="0"/>
    <s v="Follow-up"/>
    <s v="Routine"/>
    <x v="0"/>
    <s v="Dermatology A"/>
    <s v="Royal South Hospital"/>
    <n v="15"/>
    <n v="53"/>
    <x v="3"/>
  </r>
  <r>
    <s v="APT00305"/>
    <d v="2025-10-15T00:00:00"/>
    <x v="71"/>
    <x v="1"/>
    <s v="New"/>
    <s v="Routine"/>
    <x v="0"/>
    <s v="Cardiology B"/>
    <s v="Royal South Hospital"/>
    <n v="45"/>
    <n v="40"/>
    <x v="1"/>
  </r>
  <r>
    <s v="APT00306"/>
    <d v="2025-05-22T00:00:00"/>
    <x v="61"/>
    <x v="3"/>
    <s v="New"/>
    <s v="Routine"/>
    <x v="1"/>
    <s v="Neurology B"/>
    <s v="Royal South Hospital"/>
    <n v="30"/>
    <n v="37"/>
    <x v="1"/>
  </r>
  <r>
    <s v="APT00307"/>
    <d v="2025-07-19T00:00:00"/>
    <x v="196"/>
    <x v="1"/>
    <s v="New"/>
    <s v="Urgent"/>
    <x v="0"/>
    <s v="Cardiology A"/>
    <s v="Royal South Hospital"/>
    <n v="30"/>
    <n v="31"/>
    <x v="1"/>
  </r>
  <r>
    <s v="APT00308"/>
    <d v="2025-10-19T00:00:00"/>
    <x v="197"/>
    <x v="4"/>
    <s v="New"/>
    <s v="Urgent"/>
    <x v="0"/>
    <s v="Orthopaedics A"/>
    <s v="Riverside Clinic"/>
    <n v="30"/>
    <n v="47"/>
    <x v="3"/>
  </r>
  <r>
    <s v="APT00309"/>
    <d v="2025-07-24T00:00:00"/>
    <x v="198"/>
    <x v="1"/>
    <s v="Follow-up"/>
    <s v="Routine"/>
    <x v="1"/>
    <s v="Cardiology A"/>
    <s v="Royal South Hospital"/>
    <n v="15"/>
    <n v="28"/>
    <x v="0"/>
  </r>
  <r>
    <s v="APT00310"/>
    <d v="2025-05-10T00:00:00"/>
    <x v="176"/>
    <x v="2"/>
    <s v="Follow-up"/>
    <s v="Routine"/>
    <x v="2"/>
    <s v="Gastro B"/>
    <s v="Royal South Hospital"/>
    <n v="30"/>
    <n v="39"/>
    <x v="1"/>
  </r>
  <r>
    <s v="APT00311"/>
    <d v="2025-11-29T00:00:00"/>
    <x v="177"/>
    <x v="4"/>
    <s v="Follow-up"/>
    <s v="Routine"/>
    <x v="0"/>
    <s v="Orthopaedics B"/>
    <s v="Royal South Hospital"/>
    <n v="15"/>
    <n v="50"/>
    <x v="3"/>
  </r>
  <r>
    <s v="APT00312"/>
    <d v="2025-12-01T00:00:00"/>
    <x v="199"/>
    <x v="2"/>
    <s v="Follow-up"/>
    <s v="Routine"/>
    <x v="0"/>
    <s v="Gastro A"/>
    <s v="Royal South Hospital"/>
    <n v="15"/>
    <n v="24"/>
    <x v="0"/>
  </r>
  <r>
    <s v="APT00313"/>
    <d v="2025-05-14T00:00:00"/>
    <x v="34"/>
    <x v="3"/>
    <s v="Follow-up"/>
    <s v="Routine"/>
    <x v="0"/>
    <s v="Neurology A"/>
    <s v="Royal South Hospital"/>
    <n v="30"/>
    <n v="23"/>
    <x v="0"/>
  </r>
  <r>
    <s v="APT00314"/>
    <d v="2025-07-12T00:00:00"/>
    <x v="200"/>
    <x v="3"/>
    <s v="Follow-up"/>
    <s v="Routine"/>
    <x v="0"/>
    <s v="Neurology B"/>
    <s v="Central Outpatients"/>
    <n v="15"/>
    <n v="13"/>
    <x v="2"/>
  </r>
  <r>
    <s v="APT00315"/>
    <d v="2025-06-28T00:00:00"/>
    <x v="201"/>
    <x v="1"/>
    <s v="Follow-up"/>
    <s v="Urgent"/>
    <x v="2"/>
    <s v="Cardiology B"/>
    <s v="Royal South Hospital"/>
    <n v="15"/>
    <n v="15"/>
    <x v="0"/>
  </r>
  <r>
    <s v="APT00316"/>
    <d v="2025-11-27T00:00:00"/>
    <x v="202"/>
    <x v="3"/>
    <s v="Follow-up"/>
    <s v="Routine"/>
    <x v="1"/>
    <s v="Neurology B"/>
    <s v="Royal South Hospital"/>
    <n v="30"/>
    <n v="2"/>
    <x v="2"/>
  </r>
  <r>
    <s v="APT00317"/>
    <d v="2025-12-22T00:00:00"/>
    <x v="203"/>
    <x v="4"/>
    <s v="New"/>
    <s v="Routine"/>
    <x v="0"/>
    <s v="Orthopaedics B"/>
    <s v="Riverside Clinic"/>
    <n v="30"/>
    <n v="48"/>
    <x v="3"/>
  </r>
  <r>
    <s v="APT00318"/>
    <d v="2025-12-21T00:00:00"/>
    <x v="56"/>
    <x v="4"/>
    <s v="Follow-up"/>
    <s v="Routine"/>
    <x v="0"/>
    <s v="Orthopaedics A"/>
    <s v="Central Outpatients"/>
    <n v="15"/>
    <n v="67"/>
    <x v="4"/>
  </r>
  <r>
    <s v="APT00319"/>
    <d v="2026-03-08T00:00:00"/>
    <x v="204"/>
    <x v="2"/>
    <s v="Follow-up"/>
    <s v="Routine"/>
    <x v="0"/>
    <s v="Gastro B"/>
    <s v="Royal South Hospital"/>
    <n v="15"/>
    <n v="60"/>
    <x v="4"/>
  </r>
  <r>
    <s v="APT00320"/>
    <d v="2026-01-05T00:00:00"/>
    <x v="205"/>
    <x v="0"/>
    <s v="Follow-up"/>
    <s v="Routine"/>
    <x v="0"/>
    <s v="Dermatology A"/>
    <s v="Royal South Hospital"/>
    <n v="15"/>
    <n v="5"/>
    <x v="2"/>
  </r>
  <r>
    <s v="APT00321"/>
    <d v="2025-07-26T00:00:00"/>
    <x v="206"/>
    <x v="4"/>
    <s v="Follow-up"/>
    <s v="Routine"/>
    <x v="1"/>
    <s v="Orthopaedics A"/>
    <s v="Riverside Clinic"/>
    <n v="15"/>
    <n v="48"/>
    <x v="3"/>
  </r>
  <r>
    <s v="APT00322"/>
    <d v="2025-05-10T00:00:00"/>
    <x v="17"/>
    <x v="2"/>
    <s v="Follow-up"/>
    <s v="Routine"/>
    <x v="0"/>
    <s v="Gastro A"/>
    <s v="Royal South Hospital"/>
    <n v="15"/>
    <n v="60"/>
    <x v="4"/>
  </r>
  <r>
    <s v="APT00323"/>
    <d v="2025-11-10T00:00:00"/>
    <x v="207"/>
    <x v="0"/>
    <s v="Follow-up"/>
    <s v="Urgent"/>
    <x v="0"/>
    <s v="Dermatology B"/>
    <s v="Royal South Hospital"/>
    <n v="15"/>
    <n v="26"/>
    <x v="0"/>
  </r>
  <r>
    <s v="APT00324"/>
    <d v="2026-02-28T00:00:00"/>
    <x v="132"/>
    <x v="1"/>
    <s v="New"/>
    <s v="Routine"/>
    <x v="0"/>
    <s v="Cardiology B"/>
    <s v="Central Outpatients"/>
    <n v="30"/>
    <n v="36"/>
    <x v="1"/>
  </r>
  <r>
    <s v="APT00325"/>
    <d v="2026-03-21T00:00:00"/>
    <x v="76"/>
    <x v="1"/>
    <s v="Follow-up"/>
    <s v="Routine"/>
    <x v="0"/>
    <s v="Cardiology A"/>
    <s v="Central Outpatients"/>
    <n v="15"/>
    <n v="2"/>
    <x v="2"/>
  </r>
  <r>
    <s v="APT00326"/>
    <d v="2025-06-23T00:00:00"/>
    <x v="208"/>
    <x v="2"/>
    <s v="Follow-up"/>
    <s v="Urgent"/>
    <x v="0"/>
    <s v="Gastro A"/>
    <s v="Riverside Clinic"/>
    <n v="30"/>
    <n v="39"/>
    <x v="1"/>
  </r>
  <r>
    <s v="APT00327"/>
    <d v="2025-06-26T00:00:00"/>
    <x v="209"/>
    <x v="1"/>
    <s v="Follow-up"/>
    <s v="Routine"/>
    <x v="0"/>
    <s v="Cardiology A"/>
    <s v="Royal South Hospital"/>
    <n v="15"/>
    <n v="15"/>
    <x v="0"/>
  </r>
  <r>
    <s v="APT00328"/>
    <d v="2025-04-14T00:00:00"/>
    <x v="210"/>
    <x v="1"/>
    <s v="Follow-up"/>
    <s v="Routine"/>
    <x v="0"/>
    <s v="Cardiology A"/>
    <s v="Riverside Clinic"/>
    <n v="15"/>
    <n v="38"/>
    <x v="1"/>
  </r>
  <r>
    <s v="APT00329"/>
    <d v="2025-05-22T00:00:00"/>
    <x v="211"/>
    <x v="1"/>
    <s v="New"/>
    <s v="Routine"/>
    <x v="0"/>
    <s v="Cardiology B"/>
    <s v="Central Outpatients"/>
    <n v="45"/>
    <n v="6"/>
    <x v="2"/>
  </r>
  <r>
    <s v="APT00330"/>
    <d v="2025-10-19T00:00:00"/>
    <x v="106"/>
    <x v="4"/>
    <s v="Follow-up"/>
    <s v="Routine"/>
    <x v="0"/>
    <s v="Orthopaedics B"/>
    <s v="Central Outpatients"/>
    <n v="15"/>
    <n v="44"/>
    <x v="3"/>
  </r>
  <r>
    <s v="APT00331"/>
    <d v="2025-10-17T00:00:00"/>
    <x v="140"/>
    <x v="1"/>
    <s v="Follow-up"/>
    <s v="Routine"/>
    <x v="0"/>
    <s v="Cardiology A"/>
    <s v="Royal South Hospital"/>
    <n v="15"/>
    <n v="53"/>
    <x v="3"/>
  </r>
  <r>
    <s v="APT00332"/>
    <d v="2025-08-14T00:00:00"/>
    <x v="141"/>
    <x v="1"/>
    <s v="Follow-up"/>
    <s v="Routine"/>
    <x v="0"/>
    <s v="Cardiology B"/>
    <s v="Royal South Hospital"/>
    <n v="30"/>
    <n v="20"/>
    <x v="0"/>
  </r>
  <r>
    <s v="APT00333"/>
    <d v="2025-07-22T00:00:00"/>
    <x v="212"/>
    <x v="2"/>
    <s v="Follow-up"/>
    <s v="Routine"/>
    <x v="2"/>
    <s v="Gastro B"/>
    <s v="Royal South Hospital"/>
    <n v="30"/>
    <n v="14"/>
    <x v="2"/>
  </r>
  <r>
    <s v="APT00334"/>
    <d v="2026-01-28T00:00:00"/>
    <x v="213"/>
    <x v="0"/>
    <s v="Follow-up"/>
    <s v="Routine"/>
    <x v="0"/>
    <s v="Dermatology B"/>
    <s v="Central Outpatients"/>
    <n v="15"/>
    <n v="2"/>
    <x v="2"/>
  </r>
  <r>
    <s v="APT00335"/>
    <d v="2025-09-15T00:00:00"/>
    <x v="57"/>
    <x v="4"/>
    <s v="Follow-up"/>
    <s v="Routine"/>
    <x v="1"/>
    <s v="Orthopaedics B"/>
    <s v="Royal South Hospital"/>
    <n v="30"/>
    <n v="30"/>
    <x v="1"/>
  </r>
  <r>
    <s v="APT00336"/>
    <d v="2026-01-20T00:00:00"/>
    <x v="1"/>
    <x v="4"/>
    <s v="New"/>
    <s v="Routine"/>
    <x v="0"/>
    <s v="Orthopaedics A"/>
    <s v="Royal South Hospital"/>
    <n v="30"/>
    <n v="24"/>
    <x v="0"/>
  </r>
  <r>
    <s v="APT00337"/>
    <d v="2026-03-17T00:00:00"/>
    <x v="214"/>
    <x v="2"/>
    <s v="New"/>
    <s v="Urgent"/>
    <x v="0"/>
    <s v="Gastro A"/>
    <s v="Royal South Hospital"/>
    <n v="45"/>
    <n v="7"/>
    <x v="2"/>
  </r>
  <r>
    <s v="APT00338"/>
    <d v="2025-07-25T00:00:00"/>
    <x v="215"/>
    <x v="2"/>
    <s v="Follow-up"/>
    <s v="Routine"/>
    <x v="0"/>
    <s v="Gastro B"/>
    <s v="Royal South Hospital"/>
    <n v="15"/>
    <n v="43"/>
    <x v="3"/>
  </r>
  <r>
    <s v="APT00339"/>
    <d v="2025-06-13T00:00:00"/>
    <x v="17"/>
    <x v="0"/>
    <s v="Follow-up"/>
    <s v="Routine"/>
    <x v="0"/>
    <s v="Dermatology B"/>
    <s v="Central Outpatients"/>
    <n v="15"/>
    <n v="26"/>
    <x v="0"/>
  </r>
  <r>
    <s v="APT00340"/>
    <d v="2026-03-13T00:00:00"/>
    <x v="216"/>
    <x v="1"/>
    <s v="Follow-up"/>
    <s v="Routine"/>
    <x v="2"/>
    <s v="Cardiology A"/>
    <s v="Royal South Hospital"/>
    <n v="15"/>
    <n v="15"/>
    <x v="0"/>
  </r>
  <r>
    <s v="APT00341"/>
    <d v="2025-11-18T00:00:00"/>
    <x v="217"/>
    <x v="0"/>
    <s v="New"/>
    <s v="Routine"/>
    <x v="0"/>
    <s v="Dermatology A"/>
    <s v="Royal South Hospital"/>
    <n v="30"/>
    <n v="25"/>
    <x v="0"/>
  </r>
  <r>
    <s v="APT00342"/>
    <d v="2025-07-15T00:00:00"/>
    <x v="218"/>
    <x v="1"/>
    <s v="New"/>
    <s v="Routine"/>
    <x v="0"/>
    <s v="Cardiology A"/>
    <s v="Riverside Clinic"/>
    <n v="30"/>
    <n v="54"/>
    <x v="3"/>
  </r>
  <r>
    <s v="APT00343"/>
    <d v="2025-11-13T00:00:00"/>
    <x v="128"/>
    <x v="1"/>
    <s v="New"/>
    <s v="Routine"/>
    <x v="0"/>
    <s v="Cardiology B"/>
    <s v="Riverside Clinic"/>
    <n v="30"/>
    <n v="45"/>
    <x v="3"/>
  </r>
  <r>
    <s v="APT00344"/>
    <d v="2025-10-05T00:00:00"/>
    <x v="129"/>
    <x v="2"/>
    <s v="Follow-up"/>
    <s v="Routine"/>
    <x v="0"/>
    <s v="Gastro B"/>
    <s v="Riverside Clinic"/>
    <n v="15"/>
    <n v="32"/>
    <x v="1"/>
  </r>
  <r>
    <s v="APT00345"/>
    <d v="2026-02-24T00:00:00"/>
    <x v="219"/>
    <x v="1"/>
    <s v="Follow-up"/>
    <s v="Routine"/>
    <x v="0"/>
    <s v="Cardiology B"/>
    <s v="Central Outpatients"/>
    <n v="15"/>
    <n v="46"/>
    <x v="3"/>
  </r>
  <r>
    <s v="APT00346"/>
    <d v="2025-07-03T00:00:00"/>
    <x v="174"/>
    <x v="1"/>
    <s v="Follow-up"/>
    <s v="Routine"/>
    <x v="2"/>
    <s v="Cardiology A"/>
    <s v="Royal South Hospital"/>
    <n v="15"/>
    <n v="14"/>
    <x v="2"/>
  </r>
  <r>
    <s v="APT00347"/>
    <d v="2026-03-27T00:00:00"/>
    <x v="220"/>
    <x v="2"/>
    <s v="New"/>
    <s v="Urgent"/>
    <x v="0"/>
    <s v="Gastro A"/>
    <s v="Royal South Hospital"/>
    <n v="30"/>
    <n v="35"/>
    <x v="1"/>
  </r>
  <r>
    <s v="APT00348"/>
    <d v="2026-03-07T00:00:00"/>
    <x v="221"/>
    <x v="2"/>
    <s v="Follow-up"/>
    <s v="Routine"/>
    <x v="0"/>
    <s v="Gastro B"/>
    <s v="Royal South Hospital"/>
    <n v="15"/>
    <n v="37"/>
    <x v="1"/>
  </r>
  <r>
    <s v="APT00349"/>
    <d v="2025-06-05T00:00:00"/>
    <x v="30"/>
    <x v="1"/>
    <s v="Follow-up"/>
    <s v="Routine"/>
    <x v="1"/>
    <s v="Cardiology B"/>
    <s v="Riverside Clinic"/>
    <n v="15"/>
    <n v="26"/>
    <x v="0"/>
  </r>
  <r>
    <s v="APT00350"/>
    <d v="2025-05-30T00:00:00"/>
    <x v="209"/>
    <x v="1"/>
    <s v="New"/>
    <s v="Urgent"/>
    <x v="0"/>
    <s v="Cardiology A"/>
    <s v="Central Outpatients"/>
    <n v="30"/>
    <n v="42"/>
    <x v="1"/>
  </r>
  <r>
    <s v="APT00351"/>
    <d v="2025-10-12T00:00:00"/>
    <x v="89"/>
    <x v="1"/>
    <s v="Follow-up"/>
    <s v="Routine"/>
    <x v="0"/>
    <s v="Cardiology B"/>
    <s v="Royal South Hospital"/>
    <n v="15"/>
    <n v="20"/>
    <x v="0"/>
  </r>
  <r>
    <s v="APT00352"/>
    <d v="2025-04-17T00:00:00"/>
    <x v="69"/>
    <x v="0"/>
    <s v="Follow-up"/>
    <s v="Routine"/>
    <x v="2"/>
    <s v="Dermatology A"/>
    <s v="Central Outpatients"/>
    <n v="15"/>
    <n v="44"/>
    <x v="3"/>
  </r>
  <r>
    <s v="APT00353"/>
    <d v="2025-07-18T00:00:00"/>
    <x v="105"/>
    <x v="4"/>
    <s v="New"/>
    <s v="Routine"/>
    <x v="0"/>
    <s v="Orthopaedics B"/>
    <s v="Riverside Clinic"/>
    <n v="45"/>
    <n v="44"/>
    <x v="3"/>
  </r>
  <r>
    <s v="APT00354"/>
    <d v="2025-09-06T00:00:00"/>
    <x v="139"/>
    <x v="4"/>
    <s v="New"/>
    <s v="Routine"/>
    <x v="0"/>
    <s v="Orthopaedics B"/>
    <s v="Central Outpatients"/>
    <n v="30"/>
    <n v="2"/>
    <x v="2"/>
  </r>
  <r>
    <s v="APT00355"/>
    <d v="2026-03-19T00:00:00"/>
    <x v="55"/>
    <x v="2"/>
    <s v="Follow-up"/>
    <s v="Routine"/>
    <x v="1"/>
    <s v="Gastro A"/>
    <s v="Royal South Hospital"/>
    <n v="30"/>
    <n v="56"/>
    <x v="3"/>
  </r>
  <r>
    <s v="APT00356"/>
    <d v="2026-03-28T00:00:00"/>
    <x v="45"/>
    <x v="2"/>
    <s v="Follow-up"/>
    <s v="Routine"/>
    <x v="0"/>
    <s v="Gastro A"/>
    <s v="Royal South Hospital"/>
    <n v="15"/>
    <n v="2"/>
    <x v="2"/>
  </r>
  <r>
    <s v="APT00357"/>
    <d v="2025-05-26T00:00:00"/>
    <x v="176"/>
    <x v="3"/>
    <s v="Follow-up"/>
    <s v="Routine"/>
    <x v="2"/>
    <s v="Neurology A"/>
    <s v="Riverside Clinic"/>
    <n v="15"/>
    <n v="23"/>
    <x v="0"/>
  </r>
  <r>
    <s v="APT00358"/>
    <d v="2026-02-19T00:00:00"/>
    <x v="221"/>
    <x v="3"/>
    <s v="Follow-up"/>
    <s v="Routine"/>
    <x v="0"/>
    <s v="Neurology B"/>
    <s v="Central Outpatients"/>
    <n v="15"/>
    <n v="53"/>
    <x v="3"/>
  </r>
  <r>
    <s v="APT00359"/>
    <d v="2025-05-04T00:00:00"/>
    <x v="222"/>
    <x v="1"/>
    <s v="Follow-up"/>
    <s v="Routine"/>
    <x v="0"/>
    <s v="Cardiology A"/>
    <s v="Riverside Clinic"/>
    <n v="15"/>
    <n v="29"/>
    <x v="1"/>
  </r>
  <r>
    <s v="APT00360"/>
    <d v="2025-12-29T00:00:00"/>
    <x v="223"/>
    <x v="1"/>
    <s v="Follow-up"/>
    <s v="Routine"/>
    <x v="0"/>
    <s v="Cardiology B"/>
    <s v="Central Outpatients"/>
    <n v="15"/>
    <n v="8"/>
    <x v="2"/>
  </r>
  <r>
    <s v="APT00361"/>
    <d v="2026-02-02T00:00:00"/>
    <x v="224"/>
    <x v="2"/>
    <s v="Follow-up"/>
    <s v="Urgent"/>
    <x v="0"/>
    <s v="Gastro A"/>
    <s v="Royal South Hospital"/>
    <n v="15"/>
    <n v="15"/>
    <x v="0"/>
  </r>
  <r>
    <s v="APT00362"/>
    <d v="2026-02-19T00:00:00"/>
    <x v="221"/>
    <x v="2"/>
    <s v="New"/>
    <s v="Urgent"/>
    <x v="0"/>
    <s v="Gastro A"/>
    <s v="Riverside Clinic"/>
    <n v="30"/>
    <n v="53"/>
    <x v="3"/>
  </r>
  <r>
    <s v="APT00363"/>
    <d v="2025-06-21T00:00:00"/>
    <x v="225"/>
    <x v="1"/>
    <s v="Follow-up"/>
    <s v="Routine"/>
    <x v="0"/>
    <s v="Cardiology B"/>
    <s v="Royal South Hospital"/>
    <n v="15"/>
    <n v="2"/>
    <x v="2"/>
  </r>
  <r>
    <s v="APT00364"/>
    <d v="2026-02-20T00:00:00"/>
    <x v="52"/>
    <x v="0"/>
    <s v="New"/>
    <s v="Routine"/>
    <x v="0"/>
    <s v="Dermatology B"/>
    <s v="Royal South Hospital"/>
    <n v="45"/>
    <n v="55"/>
    <x v="3"/>
  </r>
  <r>
    <s v="APT00365"/>
    <d v="2025-05-13T00:00:00"/>
    <x v="226"/>
    <x v="0"/>
    <s v="New"/>
    <s v="Routine"/>
    <x v="0"/>
    <s v="Dermatology A"/>
    <s v="Royal South Hospital"/>
    <n v="30"/>
    <n v="34"/>
    <x v="1"/>
  </r>
  <r>
    <s v="APT00366"/>
    <d v="2025-10-06T00:00:00"/>
    <x v="159"/>
    <x v="0"/>
    <s v="New"/>
    <s v="Routine"/>
    <x v="0"/>
    <s v="Dermatology B"/>
    <s v="Royal South Hospital"/>
    <n v="30"/>
    <n v="13"/>
    <x v="2"/>
  </r>
  <r>
    <s v="APT00367"/>
    <d v="2025-09-18T00:00:00"/>
    <x v="227"/>
    <x v="2"/>
    <s v="Follow-up"/>
    <s v="Routine"/>
    <x v="0"/>
    <s v="Gastro B"/>
    <s v="Royal South Hospital"/>
    <n v="15"/>
    <n v="24"/>
    <x v="0"/>
  </r>
  <r>
    <s v="APT00368"/>
    <d v="2025-07-24T00:00:00"/>
    <x v="228"/>
    <x v="3"/>
    <s v="New"/>
    <s v="Routine"/>
    <x v="0"/>
    <s v="Neurology B"/>
    <s v="Riverside Clinic"/>
    <n v="30"/>
    <n v="16"/>
    <x v="0"/>
  </r>
  <r>
    <s v="APT00369"/>
    <d v="2025-04-09T00:00:00"/>
    <x v="229"/>
    <x v="2"/>
    <s v="Follow-up"/>
    <s v="Routine"/>
    <x v="0"/>
    <s v="Gastro A"/>
    <s v="Central Outpatients"/>
    <n v="15"/>
    <n v="50"/>
    <x v="3"/>
  </r>
  <r>
    <s v="APT00370"/>
    <d v="2026-01-07T00:00:00"/>
    <x v="230"/>
    <x v="1"/>
    <s v="Follow-up"/>
    <s v="Routine"/>
    <x v="0"/>
    <s v="Cardiology A"/>
    <s v="Royal South Hospital"/>
    <n v="30"/>
    <n v="48"/>
    <x v="3"/>
  </r>
  <r>
    <s v="APT00371"/>
    <d v="2025-08-01T00:00:00"/>
    <x v="212"/>
    <x v="1"/>
    <s v="New"/>
    <s v="Routine"/>
    <x v="0"/>
    <s v="Cardiology A"/>
    <s v="Royal South Hospital"/>
    <n v="45"/>
    <n v="4"/>
    <x v="2"/>
  </r>
  <r>
    <s v="APT00372"/>
    <d v="2025-11-27T00:00:00"/>
    <x v="231"/>
    <x v="4"/>
    <s v="Follow-up"/>
    <s v="Urgent"/>
    <x v="0"/>
    <s v="Orthopaedics B"/>
    <s v="Royal South Hospital"/>
    <n v="15"/>
    <n v="27"/>
    <x v="0"/>
  </r>
  <r>
    <s v="APT00373"/>
    <d v="2025-08-28T00:00:00"/>
    <x v="232"/>
    <x v="2"/>
    <s v="Follow-up"/>
    <s v="Routine"/>
    <x v="0"/>
    <s v="Gastro B"/>
    <s v="Royal South Hospital"/>
    <n v="15"/>
    <n v="19"/>
    <x v="0"/>
  </r>
  <r>
    <s v="APT00374"/>
    <d v="2025-08-15T00:00:00"/>
    <x v="227"/>
    <x v="1"/>
    <s v="New"/>
    <s v="Routine"/>
    <x v="0"/>
    <s v="Cardiology B"/>
    <s v="Royal South Hospital"/>
    <n v="30"/>
    <n v="58"/>
    <x v="4"/>
  </r>
  <r>
    <s v="APT00375"/>
    <d v="2026-02-17T00:00:00"/>
    <x v="123"/>
    <x v="0"/>
    <s v="New"/>
    <s v="Routine"/>
    <x v="0"/>
    <s v="Dermatology B"/>
    <s v="Riverside Clinic"/>
    <n v="30"/>
    <n v="10"/>
    <x v="2"/>
  </r>
  <r>
    <s v="APT00376"/>
    <d v="2025-05-05T00:00:00"/>
    <x v="233"/>
    <x v="4"/>
    <s v="Follow-up"/>
    <s v="Routine"/>
    <x v="0"/>
    <s v="Orthopaedics B"/>
    <s v="Central Outpatients"/>
    <n v="15"/>
    <n v="63"/>
    <x v="4"/>
  </r>
  <r>
    <s v="APT00377"/>
    <d v="2025-12-25T00:00:00"/>
    <x v="60"/>
    <x v="4"/>
    <s v="New"/>
    <s v="Unknown"/>
    <x v="1"/>
    <s v="Orthopaedics B"/>
    <s v="Riverside Clinic"/>
    <n v="30"/>
    <n v="34"/>
    <x v="1"/>
  </r>
  <r>
    <s v="APT00378"/>
    <d v="2025-12-28T00:00:00"/>
    <x v="50"/>
    <x v="4"/>
    <s v="New"/>
    <s v="Routine"/>
    <x v="0"/>
    <s v="Orthopaedics A"/>
    <s v="Riverside Clinic"/>
    <n v="30"/>
    <n v="14"/>
    <x v="2"/>
  </r>
  <r>
    <s v="APT00379"/>
    <d v="2025-08-17T00:00:00"/>
    <x v="139"/>
    <x v="3"/>
    <s v="Follow-up"/>
    <s v="Routine"/>
    <x v="0"/>
    <s v="Neurology A"/>
    <s v="Riverside Clinic"/>
    <n v="30"/>
    <n v="22"/>
    <x v="0"/>
  </r>
  <r>
    <s v="APT00380"/>
    <d v="2025-07-05T00:00:00"/>
    <x v="200"/>
    <x v="2"/>
    <s v="Follow-up"/>
    <s v="Routine"/>
    <x v="0"/>
    <s v="Gastro A"/>
    <s v="Royal South Hospital"/>
    <n v="15"/>
    <n v="20"/>
    <x v="0"/>
  </r>
  <r>
    <s v="APT00381"/>
    <d v="2025-04-02T00:00:00"/>
    <x v="234"/>
    <x v="2"/>
    <s v="Follow-up"/>
    <s v="Routine"/>
    <x v="0"/>
    <s v="Gastro A"/>
    <s v="Royal South Hospital"/>
    <n v="30"/>
    <n v="12"/>
    <x v="2"/>
  </r>
  <r>
    <s v="APT00382"/>
    <d v="2026-03-07T00:00:00"/>
    <x v="192"/>
    <x v="1"/>
    <s v="Follow-up"/>
    <s v="Urgent"/>
    <x v="0"/>
    <s v="Cardiology B"/>
    <s v="Royal South Hospital"/>
    <n v="15"/>
    <n v="36"/>
    <x v="1"/>
  </r>
  <r>
    <s v="APT00383"/>
    <d v="2026-03-11T00:00:00"/>
    <x v="76"/>
    <x v="3"/>
    <s v="Follow-up"/>
    <s v="Routine"/>
    <x v="0"/>
    <s v="Neurology B"/>
    <s v="Royal South Hospital"/>
    <n v="15"/>
    <n v="12"/>
    <x v="2"/>
  </r>
  <r>
    <s v="APT00384"/>
    <d v="2025-06-27T00:00:00"/>
    <x v="130"/>
    <x v="2"/>
    <s v="Follow-up"/>
    <s v="Routine"/>
    <x v="0"/>
    <s v="Gastro B"/>
    <s v="Central Outpatients"/>
    <n v="15"/>
    <n v="2"/>
    <x v="2"/>
  </r>
  <r>
    <s v="APT00385"/>
    <d v="2025-04-12T00:00:00"/>
    <x v="235"/>
    <x v="1"/>
    <s v="Follow-up"/>
    <s v="Routine"/>
    <x v="0"/>
    <s v="Cardiology A"/>
    <s v="Royal South Hospital"/>
    <n v="15"/>
    <n v="28"/>
    <x v="0"/>
  </r>
  <r>
    <s v="APT00386"/>
    <d v="2025-05-15T00:00:00"/>
    <x v="164"/>
    <x v="4"/>
    <s v="Follow-up"/>
    <s v="Routine"/>
    <x v="0"/>
    <s v="Orthopaedics B"/>
    <s v="Royal South Hospital"/>
    <n v="15"/>
    <n v="2"/>
    <x v="2"/>
  </r>
  <r>
    <s v="APT00387"/>
    <d v="2025-04-25T00:00:00"/>
    <x v="6"/>
    <x v="0"/>
    <s v="Follow-up"/>
    <s v="Routine"/>
    <x v="0"/>
    <s v="Dermatology B"/>
    <s v="Royal South Hospital"/>
    <n v="15"/>
    <n v="21"/>
    <x v="0"/>
  </r>
  <r>
    <s v="APT00388"/>
    <d v="2026-01-28T00:00:00"/>
    <x v="236"/>
    <x v="1"/>
    <s v="Follow-up"/>
    <s v="Routine"/>
    <x v="0"/>
    <s v="Cardiology B"/>
    <s v="Royal South Hospital"/>
    <n v="15"/>
    <n v="18"/>
    <x v="0"/>
  </r>
  <r>
    <s v="APT00389"/>
    <d v="2026-02-19T00:00:00"/>
    <x v="189"/>
    <x v="0"/>
    <s v="New"/>
    <s v="Routine"/>
    <x v="0"/>
    <s v="Dermatology B"/>
    <s v="Central Outpatients"/>
    <n v="30"/>
    <n v="19"/>
    <x v="0"/>
  </r>
  <r>
    <s v="APT00390"/>
    <d v="2025-05-26T00:00:00"/>
    <x v="212"/>
    <x v="4"/>
    <s v="Follow-up"/>
    <s v="Urgent"/>
    <x v="0"/>
    <s v="Orthopaedics A"/>
    <s v="Royal South Hospital"/>
    <n v="30"/>
    <n v="71"/>
    <x v="4"/>
  </r>
  <r>
    <s v="APT00391"/>
    <d v="2025-12-28T00:00:00"/>
    <x v="18"/>
    <x v="4"/>
    <s v="Follow-up"/>
    <s v="Routine"/>
    <x v="0"/>
    <s v="Orthopaedics B"/>
    <s v="Riverside Clinic"/>
    <n v="15"/>
    <n v="36"/>
    <x v="1"/>
  </r>
  <r>
    <s v="APT00392"/>
    <d v="2025-06-05T00:00:00"/>
    <x v="110"/>
    <x v="2"/>
    <s v="New"/>
    <s v="Routine"/>
    <x v="0"/>
    <s v="Gastro B"/>
    <s v="Royal South Hospital"/>
    <n v="45"/>
    <n v="39"/>
    <x v="1"/>
  </r>
  <r>
    <s v="APT00393"/>
    <d v="2025-08-12T00:00:00"/>
    <x v="167"/>
    <x v="4"/>
    <s v="Follow-up"/>
    <s v="Routine"/>
    <x v="0"/>
    <s v="Orthopaedics A"/>
    <s v="Royal South Hospital"/>
    <n v="30"/>
    <n v="3"/>
    <x v="2"/>
  </r>
  <r>
    <s v="APT00394"/>
    <d v="2025-11-05T00:00:00"/>
    <x v="99"/>
    <x v="4"/>
    <s v="Follow-up"/>
    <s v="Routine"/>
    <x v="2"/>
    <s v="Orthopaedics A"/>
    <s v="Royal South Hospital"/>
    <n v="15"/>
    <n v="23"/>
    <x v="0"/>
  </r>
  <r>
    <s v="APT00395"/>
    <d v="2025-12-19T00:00:00"/>
    <x v="237"/>
    <x v="4"/>
    <s v="New"/>
    <s v="Routine"/>
    <x v="1"/>
    <s v="Orthopaedics B"/>
    <s v="Central Outpatients"/>
    <n v="45"/>
    <n v="38"/>
    <x v="1"/>
  </r>
  <r>
    <s v="APT00396"/>
    <d v="2026-02-13T00:00:00"/>
    <x v="97"/>
    <x v="4"/>
    <s v="New"/>
    <s v="Routine"/>
    <x v="0"/>
    <s v="Orthopaedics A"/>
    <s v="Royal South Hospital"/>
    <n v="45"/>
    <n v="16"/>
    <x v="0"/>
  </r>
  <r>
    <s v="APT00397"/>
    <d v="2025-04-17T00:00:00"/>
    <x v="72"/>
    <x v="0"/>
    <s v="New"/>
    <s v="Routine"/>
    <x v="0"/>
    <s v="Dermatology A"/>
    <s v="Riverside Clinic"/>
    <n v="30"/>
    <n v="51"/>
    <x v="3"/>
  </r>
  <r>
    <s v="APT00398"/>
    <d v="2025-06-11T00:00:00"/>
    <x v="136"/>
    <x v="4"/>
    <s v="New"/>
    <s v="Routine"/>
    <x v="0"/>
    <s v="Orthopaedics A"/>
    <s v="Royal South Hospital"/>
    <n v="45"/>
    <n v="13"/>
    <x v="2"/>
  </r>
  <r>
    <s v="APT00399"/>
    <d v="2025-07-12T00:00:00"/>
    <x v="238"/>
    <x v="2"/>
    <s v="Follow-up"/>
    <s v="Routine"/>
    <x v="2"/>
    <s v="Gastro B"/>
    <s v="Riverside Clinic"/>
    <n v="15"/>
    <n v="29"/>
    <x v="1"/>
  </r>
  <r>
    <s v="APT00400"/>
    <d v="2025-07-22T00:00:00"/>
    <x v="167"/>
    <x v="3"/>
    <s v="Follow-up"/>
    <s v="Urgent"/>
    <x v="0"/>
    <s v="Neurology B"/>
    <s v="Riverside Clinic"/>
    <n v="15"/>
    <n v="24"/>
    <x v="0"/>
  </r>
  <r>
    <s v="APT00401"/>
    <d v="2026-03-30T00:00:00"/>
    <x v="113"/>
    <x v="1"/>
    <s v="New"/>
    <s v="Routine"/>
    <x v="0"/>
    <s v="Cardiology A"/>
    <s v="Riverside Clinic"/>
    <n v="45"/>
    <n v="37"/>
    <x v="1"/>
  </r>
  <r>
    <s v="APT00402"/>
    <d v="2026-01-08T00:00:00"/>
    <x v="165"/>
    <x v="3"/>
    <s v="Follow-up"/>
    <s v="Routine"/>
    <x v="0"/>
    <s v="Neurology A"/>
    <s v="Royal South Hospital"/>
    <n v="15"/>
    <n v="23"/>
    <x v="0"/>
  </r>
  <r>
    <s v="APT00403"/>
    <d v="2025-07-26T00:00:00"/>
    <x v="147"/>
    <x v="4"/>
    <s v="New"/>
    <s v="Routine"/>
    <x v="0"/>
    <s v="Orthopaedics B"/>
    <s v="Royal South Hospital"/>
    <n v="30"/>
    <n v="30"/>
    <x v="1"/>
  </r>
  <r>
    <s v="APT00404"/>
    <d v="2026-03-20T00:00:00"/>
    <x v="239"/>
    <x v="0"/>
    <s v="New"/>
    <s v="Routine"/>
    <x v="0"/>
    <s v="Dermatology A"/>
    <s v="Central Outpatients"/>
    <n v="45"/>
    <n v="30"/>
    <x v="1"/>
  </r>
  <r>
    <s v="APT00405"/>
    <d v="2025-09-29T00:00:00"/>
    <x v="240"/>
    <x v="4"/>
    <s v="Follow-up"/>
    <s v="Urgent"/>
    <x v="0"/>
    <s v="Orthopaedics B"/>
    <s v="Riverside Clinic"/>
    <n v="15"/>
    <n v="21"/>
    <x v="0"/>
  </r>
  <r>
    <s v="APT00406"/>
    <d v="2025-09-30T00:00:00"/>
    <x v="134"/>
    <x v="0"/>
    <s v="Follow-up"/>
    <s v="Urgent"/>
    <x v="0"/>
    <s v="Dermatology A"/>
    <s v="Royal South Hospital"/>
    <n v="15"/>
    <n v="43"/>
    <x v="3"/>
  </r>
  <r>
    <s v="APT00407"/>
    <d v="2025-09-05T00:00:00"/>
    <x v="108"/>
    <x v="1"/>
    <s v="Follow-up"/>
    <s v="Urgent"/>
    <x v="0"/>
    <s v="Cardiology B"/>
    <s v="Royal South Hospital"/>
    <n v="30"/>
    <n v="39"/>
    <x v="1"/>
  </r>
  <r>
    <s v="APT00408"/>
    <d v="2025-05-23T00:00:00"/>
    <x v="124"/>
    <x v="1"/>
    <s v="Follow-up"/>
    <s v="Urgent"/>
    <x v="0"/>
    <s v="Cardiology A"/>
    <s v="Royal South Hospital"/>
    <n v="15"/>
    <n v="33"/>
    <x v="1"/>
  </r>
  <r>
    <s v="APT00409"/>
    <d v="2026-03-07T00:00:00"/>
    <x v="241"/>
    <x v="4"/>
    <s v="Follow-up"/>
    <s v="Routine"/>
    <x v="0"/>
    <s v="Orthopaedics B"/>
    <s v="Royal South Hospital"/>
    <n v="15"/>
    <n v="27"/>
    <x v="0"/>
  </r>
  <r>
    <s v="APT00410"/>
    <d v="2025-04-06T00:00:00"/>
    <x v="242"/>
    <x v="2"/>
    <s v="New"/>
    <s v="Routine"/>
    <x v="1"/>
    <s v="Gastro B"/>
    <s v="Royal South Hospital"/>
    <n v="30"/>
    <n v="49"/>
    <x v="3"/>
  </r>
  <r>
    <s v="APT00411"/>
    <d v="2025-06-03T00:00:00"/>
    <x v="190"/>
    <x v="0"/>
    <s v="Follow-up"/>
    <s v="Routine"/>
    <x v="1"/>
    <s v="Dermatology A"/>
    <s v="Royal South Hospital"/>
    <n v="15"/>
    <n v="30"/>
    <x v="1"/>
  </r>
  <r>
    <s v="APT00412"/>
    <d v="2025-06-23T00:00:00"/>
    <x v="138"/>
    <x v="3"/>
    <s v="Follow-up"/>
    <s v="Routine"/>
    <x v="0"/>
    <s v="Neurology A"/>
    <s v="Royal South Hospital"/>
    <n v="15"/>
    <n v="29"/>
    <x v="1"/>
  </r>
  <r>
    <s v="APT00413"/>
    <d v="2025-07-11T00:00:00"/>
    <x v="111"/>
    <x v="0"/>
    <s v="New"/>
    <s v="Routine"/>
    <x v="2"/>
    <s v="Dermatology B"/>
    <s v="Riverside Clinic"/>
    <n v="30"/>
    <n v="36"/>
    <x v="1"/>
  </r>
  <r>
    <s v="APT00414"/>
    <d v="2025-05-18T00:00:00"/>
    <x v="138"/>
    <x v="2"/>
    <s v="Follow-up"/>
    <s v="Routine"/>
    <x v="0"/>
    <s v="Gastro A"/>
    <s v="Central Outpatients"/>
    <n v="30"/>
    <n v="65"/>
    <x v="4"/>
  </r>
  <r>
    <s v="APT00415"/>
    <d v="2025-04-07T00:00:00"/>
    <x v="194"/>
    <x v="4"/>
    <s v="New"/>
    <s v="Routine"/>
    <x v="0"/>
    <s v="Orthopaedics A"/>
    <s v="Riverside Clinic"/>
    <n v="30"/>
    <n v="10"/>
    <x v="2"/>
  </r>
  <r>
    <s v="APT00416"/>
    <d v="2025-12-03T00:00:00"/>
    <x v="187"/>
    <x v="3"/>
    <s v="Follow-up"/>
    <s v="Routine"/>
    <x v="1"/>
    <s v="Neurology A"/>
    <s v="Riverside Clinic"/>
    <n v="15"/>
    <n v="48"/>
    <x v="3"/>
  </r>
  <r>
    <s v="APT00417"/>
    <d v="2026-03-19T00:00:00"/>
    <x v="243"/>
    <x v="4"/>
    <s v="Follow-up"/>
    <s v="Routine"/>
    <x v="0"/>
    <s v="Orthopaedics A"/>
    <s v="Riverside Clinic"/>
    <n v="30"/>
    <n v="2"/>
    <x v="2"/>
  </r>
  <r>
    <s v="APT00418"/>
    <d v="2025-05-15T00:00:00"/>
    <x v="244"/>
    <x v="2"/>
    <s v="Follow-up"/>
    <s v="Urgent"/>
    <x v="1"/>
    <s v="Gastro B"/>
    <s v="Royal South Hospital"/>
    <n v="15"/>
    <n v="38"/>
    <x v="1"/>
  </r>
  <r>
    <s v="APT00419"/>
    <d v="2025-07-17T00:00:00"/>
    <x v="245"/>
    <x v="4"/>
    <s v="New"/>
    <s v="Routine"/>
    <x v="0"/>
    <s v="Orthopaedics B"/>
    <s v="Riverside Clinic"/>
    <n v="30"/>
    <n v="63"/>
    <x v="4"/>
  </r>
  <r>
    <s v="APT00420"/>
    <d v="2025-10-02T00:00:00"/>
    <x v="64"/>
    <x v="0"/>
    <s v="Follow-up"/>
    <s v="Routine"/>
    <x v="0"/>
    <s v="Dermatology B"/>
    <s v="Royal South Hospital"/>
    <n v="15"/>
    <n v="43"/>
    <x v="3"/>
  </r>
  <r>
    <s v="APT00421"/>
    <d v="2026-03-04T00:00:00"/>
    <x v="219"/>
    <x v="0"/>
    <s v="Follow-up"/>
    <s v="Routine"/>
    <x v="0"/>
    <s v="Dermatology B"/>
    <s v="Royal South Hospital"/>
    <n v="15"/>
    <n v="38"/>
    <x v="1"/>
  </r>
  <r>
    <s v="APT00422"/>
    <d v="2025-12-09T00:00:00"/>
    <x v="246"/>
    <x v="1"/>
    <s v="New"/>
    <s v="Routine"/>
    <x v="0"/>
    <s v="Cardiology B"/>
    <s v="Riverside Clinic"/>
    <n v="30"/>
    <n v="24"/>
    <x v="0"/>
  </r>
  <r>
    <s v="APT00423"/>
    <d v="2026-01-04T00:00:00"/>
    <x v="203"/>
    <x v="2"/>
    <s v="New"/>
    <s v="Routine"/>
    <x v="1"/>
    <s v="Gastro A"/>
    <s v="Royal South Hospital"/>
    <n v="30"/>
    <n v="35"/>
    <x v="1"/>
  </r>
  <r>
    <s v="APT00424"/>
    <d v="2025-10-29T00:00:00"/>
    <x v="99"/>
    <x v="3"/>
    <s v="Follow-up"/>
    <s v="Routine"/>
    <x v="0"/>
    <s v="Neurology A"/>
    <s v="Riverside Clinic"/>
    <n v="30"/>
    <n v="30"/>
    <x v="1"/>
  </r>
  <r>
    <s v="APT00425"/>
    <d v="2025-08-30T00:00:00"/>
    <x v="121"/>
    <x v="3"/>
    <s v="New"/>
    <s v="Routine"/>
    <x v="0"/>
    <s v="Neurology B"/>
    <s v="Riverside Clinic"/>
    <n v="30"/>
    <n v="20"/>
    <x v="0"/>
  </r>
  <r>
    <s v="APT00426"/>
    <d v="2025-06-12T00:00:00"/>
    <x v="209"/>
    <x v="0"/>
    <s v="Follow-up"/>
    <s v="Routine"/>
    <x v="0"/>
    <s v="Dermatology A"/>
    <s v="Royal South Hospital"/>
    <n v="15"/>
    <n v="29"/>
    <x v="1"/>
  </r>
  <r>
    <s v="APT00427"/>
    <d v="2026-02-09T00:00:00"/>
    <x v="35"/>
    <x v="1"/>
    <s v="Follow-up"/>
    <s v="Routine"/>
    <x v="0"/>
    <s v="Cardiology A"/>
    <s v="Royal South Hospital"/>
    <n v="15"/>
    <n v="38"/>
    <x v="1"/>
  </r>
  <r>
    <s v="APT00428"/>
    <d v="2026-01-18T00:00:00"/>
    <x v="203"/>
    <x v="3"/>
    <s v="New"/>
    <s v="Routine"/>
    <x v="0"/>
    <s v="Neurology A"/>
    <s v="Riverside Clinic"/>
    <n v="30"/>
    <n v="21"/>
    <x v="0"/>
  </r>
  <r>
    <s v="APT00429"/>
    <d v="2025-04-10T00:00:00"/>
    <x v="247"/>
    <x v="4"/>
    <s v="Follow-up"/>
    <s v="Routine"/>
    <x v="0"/>
    <s v="Orthopaedics B"/>
    <s v="Riverside Clinic"/>
    <n v="15"/>
    <n v="20"/>
    <x v="0"/>
  </r>
  <r>
    <s v="APT00430"/>
    <d v="2025-12-17T00:00:00"/>
    <x v="166"/>
    <x v="0"/>
    <s v="New"/>
    <s v="Routine"/>
    <x v="0"/>
    <s v="Dermatology B"/>
    <s v="Central Outpatients"/>
    <n v="30"/>
    <n v="10"/>
    <x v="2"/>
  </r>
  <r>
    <s v="APT00431"/>
    <d v="2025-05-01T00:00:00"/>
    <x v="248"/>
    <x v="1"/>
    <s v="Follow-up"/>
    <s v="Routine"/>
    <x v="0"/>
    <s v="Cardiology A"/>
    <s v="Royal South Hospital"/>
    <n v="15"/>
    <n v="42"/>
    <x v="1"/>
  </r>
  <r>
    <s v="APT00432"/>
    <d v="2025-12-25T00:00:00"/>
    <x v="249"/>
    <x v="0"/>
    <s v="Follow-up"/>
    <s v="Routine"/>
    <x v="0"/>
    <s v="Dermatology A"/>
    <s v="Central Outpatients"/>
    <n v="15"/>
    <n v="44"/>
    <x v="3"/>
  </r>
  <r>
    <s v="APT00433"/>
    <d v="2026-01-26T00:00:00"/>
    <x v="250"/>
    <x v="2"/>
    <s v="New"/>
    <s v="Routine"/>
    <x v="0"/>
    <s v="Gastro B"/>
    <s v="Royal South Hospital"/>
    <n v="30"/>
    <n v="39"/>
    <x v="1"/>
  </r>
  <r>
    <s v="APT00434"/>
    <d v="2025-05-18T00:00:00"/>
    <x v="17"/>
    <x v="0"/>
    <s v="Follow-up"/>
    <s v="Routine"/>
    <x v="0"/>
    <s v="Dermatology A"/>
    <s v="Royal South Hospital"/>
    <n v="15"/>
    <n v="52"/>
    <x v="3"/>
  </r>
  <r>
    <s v="APT00435"/>
    <d v="2025-09-05T00:00:00"/>
    <x v="251"/>
    <x v="0"/>
    <s v="Follow-up"/>
    <s v="Routine"/>
    <x v="0"/>
    <s v="Dermatology A"/>
    <s v="Riverside Clinic"/>
    <n v="30"/>
    <n v="36"/>
    <x v="1"/>
  </r>
  <r>
    <s v="APT00436"/>
    <d v="2025-05-16T00:00:00"/>
    <x v="80"/>
    <x v="3"/>
    <s v="Follow-up"/>
    <s v="Routine"/>
    <x v="0"/>
    <s v="Neurology B"/>
    <s v="Royal South Hospital"/>
    <n v="30"/>
    <n v="42"/>
    <x v="1"/>
  </r>
  <r>
    <s v="APT00437"/>
    <d v="2025-10-24T00:00:00"/>
    <x v="252"/>
    <x v="0"/>
    <s v="New"/>
    <s v="Urgent"/>
    <x v="0"/>
    <s v="Dermatology B"/>
    <s v="Royal South Hospital"/>
    <n v="30"/>
    <n v="40"/>
    <x v="1"/>
  </r>
  <r>
    <s v="APT00438"/>
    <d v="2026-03-04T00:00:00"/>
    <x v="253"/>
    <x v="0"/>
    <s v="Follow-up"/>
    <s v="Urgent"/>
    <x v="0"/>
    <s v="Dermatology B"/>
    <s v="Royal South Hospital"/>
    <n v="15"/>
    <n v="33"/>
    <x v="1"/>
  </r>
  <r>
    <s v="APT00439"/>
    <d v="2025-04-30T00:00:00"/>
    <x v="242"/>
    <x v="1"/>
    <s v="Follow-up"/>
    <s v="Routine"/>
    <x v="0"/>
    <s v="Cardiology A"/>
    <s v="Central Outpatients"/>
    <n v="30"/>
    <n v="25"/>
    <x v="0"/>
  </r>
  <r>
    <s v="APT00440"/>
    <d v="2025-08-23T00:00:00"/>
    <x v="191"/>
    <x v="4"/>
    <s v="New"/>
    <s v="Routine"/>
    <x v="0"/>
    <s v="Orthopaedics A"/>
    <s v="Central Outpatients"/>
    <n v="30"/>
    <n v="74"/>
    <x v="4"/>
  </r>
  <r>
    <s v="APT00441"/>
    <d v="2026-03-21T00:00:00"/>
    <x v="52"/>
    <x v="2"/>
    <s v="Follow-up"/>
    <s v="Routine"/>
    <x v="1"/>
    <s v="Gastro A"/>
    <s v="Central Outpatients"/>
    <n v="30"/>
    <n v="26"/>
    <x v="0"/>
  </r>
  <r>
    <s v="APT00442"/>
    <d v="2025-07-19T00:00:00"/>
    <x v="254"/>
    <x v="0"/>
    <s v="New"/>
    <s v="Urgent"/>
    <x v="0"/>
    <s v="Dermatology B"/>
    <s v="Royal South Hospital"/>
    <n v="30"/>
    <n v="23"/>
    <x v="0"/>
  </r>
  <r>
    <s v="APT00443"/>
    <d v="2025-05-19T00:00:00"/>
    <x v="160"/>
    <x v="1"/>
    <s v="Follow-up"/>
    <s v="Routine"/>
    <x v="0"/>
    <s v="Cardiology A"/>
    <s v="Royal South Hospital"/>
    <n v="30"/>
    <n v="42"/>
    <x v="1"/>
  </r>
  <r>
    <s v="APT00444"/>
    <d v="2025-09-25T00:00:00"/>
    <x v="122"/>
    <x v="3"/>
    <s v="New"/>
    <s v="Routine"/>
    <x v="0"/>
    <s v="Neurology A"/>
    <s v="Central Outpatients"/>
    <n v="30"/>
    <n v="39"/>
    <x v="1"/>
  </r>
  <r>
    <s v="APT00445"/>
    <d v="2025-10-03T00:00:00"/>
    <x v="227"/>
    <x v="4"/>
    <s v="Follow-up"/>
    <s v="Routine"/>
    <x v="0"/>
    <s v="Orthopaedics B"/>
    <s v="Royal South Hospital"/>
    <n v="30"/>
    <n v="9"/>
    <x v="2"/>
  </r>
  <r>
    <s v="APT00446"/>
    <d v="2025-11-28T00:00:00"/>
    <x v="154"/>
    <x v="1"/>
    <s v="New"/>
    <s v="Routine"/>
    <x v="0"/>
    <s v="Cardiology A"/>
    <s v="Royal South Hospital"/>
    <n v="30"/>
    <n v="55"/>
    <x v="3"/>
  </r>
  <r>
    <s v="APT00447"/>
    <d v="2025-07-24T00:00:00"/>
    <x v="255"/>
    <x v="1"/>
    <s v="New"/>
    <s v="Routine"/>
    <x v="0"/>
    <s v="Cardiology B"/>
    <s v="Royal South Hospital"/>
    <n v="30"/>
    <n v="33"/>
    <x v="1"/>
  </r>
  <r>
    <s v="APT00448"/>
    <d v="2026-03-14T00:00:00"/>
    <x v="256"/>
    <x v="1"/>
    <s v="Follow-up"/>
    <s v="Routine"/>
    <x v="0"/>
    <s v="Cardiology A"/>
    <s v="Riverside Clinic"/>
    <n v="15"/>
    <n v="15"/>
    <x v="0"/>
  </r>
  <r>
    <s v="APT00449"/>
    <d v="2025-10-07T00:00:00"/>
    <x v="106"/>
    <x v="3"/>
    <s v="Follow-up"/>
    <s v="Routine"/>
    <x v="0"/>
    <s v="Neurology A"/>
    <s v="Riverside Clinic"/>
    <n v="15"/>
    <n v="56"/>
    <x v="3"/>
  </r>
  <r>
    <s v="APT00450"/>
    <d v="2025-07-14T00:00:00"/>
    <x v="112"/>
    <x v="4"/>
    <s v="Follow-up"/>
    <s v="Routine"/>
    <x v="1"/>
    <s v="Orthopaedics B"/>
    <s v="Royal South Hospital"/>
    <n v="15"/>
    <n v="46"/>
    <x v="3"/>
  </r>
  <r>
    <s v="APT00451"/>
    <d v="2026-03-16T00:00:00"/>
    <x v="216"/>
    <x v="2"/>
    <s v="Follow-up"/>
    <s v="Routine"/>
    <x v="0"/>
    <s v="Gastro B"/>
    <s v="Royal South Hospital"/>
    <n v="15"/>
    <n v="12"/>
    <x v="2"/>
  </r>
  <r>
    <s v="APT00452"/>
    <d v="2026-03-03T00:00:00"/>
    <x v="151"/>
    <x v="0"/>
    <s v="New"/>
    <s v="Routine"/>
    <x v="0"/>
    <s v="Dermatology A"/>
    <s v="Riverside Clinic"/>
    <n v="30"/>
    <n v="66"/>
    <x v="4"/>
  </r>
  <r>
    <s v="APT00453"/>
    <d v="2025-09-29T00:00:00"/>
    <x v="64"/>
    <x v="4"/>
    <s v="Follow-up"/>
    <s v="Urgent"/>
    <x v="0"/>
    <s v="Orthopaedics B"/>
    <s v="Riverside Clinic"/>
    <n v="15"/>
    <n v="46"/>
    <x v="3"/>
  </r>
  <r>
    <s v="APT00454"/>
    <d v="2025-04-10T00:00:00"/>
    <x v="126"/>
    <x v="3"/>
    <s v="New"/>
    <s v="Routine"/>
    <x v="0"/>
    <s v="Neurology B"/>
    <s v="Royal South Hospital"/>
    <n v="45"/>
    <n v="34"/>
    <x v="1"/>
  </r>
  <r>
    <s v="APT00455"/>
    <d v="2025-11-04T00:00:00"/>
    <x v="223"/>
    <x v="0"/>
    <s v="New"/>
    <s v="Urgent"/>
    <x v="1"/>
    <s v="Dermatology B"/>
    <s v="Royal South Hospital"/>
    <n v="30"/>
    <n v="63"/>
    <x v="4"/>
  </r>
  <r>
    <s v="APT00456"/>
    <d v="2025-10-20T00:00:00"/>
    <x v="25"/>
    <x v="1"/>
    <s v="Follow-up"/>
    <s v="Routine"/>
    <x v="0"/>
    <s v="Cardiology A"/>
    <s v="Central Outpatients"/>
    <n v="30"/>
    <n v="37"/>
    <x v="1"/>
  </r>
  <r>
    <s v="APT00457"/>
    <d v="2025-05-24T00:00:00"/>
    <x v="80"/>
    <x v="0"/>
    <s v="Follow-up"/>
    <s v="Urgent"/>
    <x v="2"/>
    <s v="Dermatology A"/>
    <s v="Riverside Clinic"/>
    <n v="15"/>
    <n v="34"/>
    <x v="1"/>
  </r>
  <r>
    <s v="APT00458"/>
    <d v="2025-11-17T00:00:00"/>
    <x v="257"/>
    <x v="4"/>
    <s v="New"/>
    <s v="Urgent"/>
    <x v="0"/>
    <s v="Orthopaedics B"/>
    <s v="Riverside Clinic"/>
    <n v="30"/>
    <n v="23"/>
    <x v="0"/>
  </r>
  <r>
    <s v="APT00459"/>
    <d v="2026-02-01T00:00:00"/>
    <x v="148"/>
    <x v="3"/>
    <s v="New"/>
    <s v="Urgent"/>
    <x v="0"/>
    <s v="Neurology B"/>
    <s v="Riverside Clinic"/>
    <n v="30"/>
    <n v="45"/>
    <x v="3"/>
  </r>
  <r>
    <s v="APT00460"/>
    <d v="2025-05-09T00:00:00"/>
    <x v="62"/>
    <x v="3"/>
    <s v="Follow-up"/>
    <s v="Routine"/>
    <x v="0"/>
    <s v="Neurology B"/>
    <s v="Central Outpatients"/>
    <n v="15"/>
    <n v="43"/>
    <x v="3"/>
  </r>
  <r>
    <s v="APT00461"/>
    <d v="2025-12-20T00:00:00"/>
    <x v="15"/>
    <x v="4"/>
    <s v="New"/>
    <s v="Routine"/>
    <x v="0"/>
    <s v="Orthopaedics A"/>
    <s v="Royal South Hospital"/>
    <n v="30"/>
    <n v="35"/>
    <x v="1"/>
  </r>
  <r>
    <s v="APT00462"/>
    <d v="2025-05-22T00:00:00"/>
    <x v="127"/>
    <x v="0"/>
    <s v="New"/>
    <s v="Routine"/>
    <x v="0"/>
    <s v="Dermatology B"/>
    <s v="Royal South Hospital"/>
    <n v="30"/>
    <n v="20"/>
    <x v="0"/>
  </r>
  <r>
    <s v="APT00463"/>
    <d v="2025-12-29T00:00:00"/>
    <x v="161"/>
    <x v="0"/>
    <s v="New"/>
    <s v="Routine"/>
    <x v="0"/>
    <s v="Dermatology B"/>
    <s v="Royal South Hospital"/>
    <n v="30"/>
    <n v="37"/>
    <x v="1"/>
  </r>
  <r>
    <s v="APT00464"/>
    <d v="2025-08-31T00:00:00"/>
    <x v="172"/>
    <x v="1"/>
    <s v="New"/>
    <s v="Routine"/>
    <x v="2"/>
    <s v="Cardiology B"/>
    <s v="Central Outpatients"/>
    <n v="30"/>
    <n v="33"/>
    <x v="1"/>
  </r>
  <r>
    <s v="APT00465"/>
    <d v="2025-04-03T00:00:00"/>
    <x v="258"/>
    <x v="4"/>
    <s v="New"/>
    <s v="Urgent"/>
    <x v="0"/>
    <s v="Orthopaedics A"/>
    <s v="Royal South Hospital"/>
    <n v="30"/>
    <n v="10"/>
    <x v="2"/>
  </r>
  <r>
    <s v="APT00466"/>
    <d v="2026-03-18T00:00:00"/>
    <x v="23"/>
    <x v="2"/>
    <s v="Follow-up"/>
    <s v="Routine"/>
    <x v="0"/>
    <s v="Gastro B"/>
    <s v="Royal South Hospital"/>
    <n v="15"/>
    <n v="8"/>
    <x v="2"/>
  </r>
  <r>
    <s v="APT00467"/>
    <d v="2025-05-31T00:00:00"/>
    <x v="259"/>
    <x v="0"/>
    <s v="New"/>
    <s v="Routine"/>
    <x v="1"/>
    <s v="Dermatology A"/>
    <s v="Royal South Hospital"/>
    <n v="30"/>
    <n v="45"/>
    <x v="3"/>
  </r>
  <r>
    <s v="APT00468"/>
    <d v="2025-11-03T00:00:00"/>
    <x v="191"/>
    <x v="1"/>
    <s v="Follow-up"/>
    <s v="Urgent"/>
    <x v="0"/>
    <s v="Cardiology B"/>
    <s v="Riverside Clinic"/>
    <n v="15"/>
    <n v="2"/>
    <x v="2"/>
  </r>
  <r>
    <s v="APT00469"/>
    <d v="2025-06-06T00:00:00"/>
    <x v="110"/>
    <x v="3"/>
    <s v="Follow-up"/>
    <s v="Routine"/>
    <x v="0"/>
    <s v="Neurology B"/>
    <s v="Riverside Clinic"/>
    <n v="15"/>
    <n v="38"/>
    <x v="1"/>
  </r>
  <r>
    <s v="APT00470"/>
    <d v="2026-03-06T00:00:00"/>
    <x v="260"/>
    <x v="3"/>
    <s v="Follow-up"/>
    <s v="Routine"/>
    <x v="0"/>
    <s v="Neurology A"/>
    <s v="Royal South Hospital"/>
    <n v="15"/>
    <n v="26"/>
    <x v="0"/>
  </r>
  <r>
    <s v="APT00471"/>
    <d v="2025-12-25T00:00:00"/>
    <x v="261"/>
    <x v="3"/>
    <s v="Follow-up"/>
    <s v="Routine"/>
    <x v="1"/>
    <s v="Neurology A"/>
    <s v="Royal South Hospital"/>
    <n v="30"/>
    <n v="58"/>
    <x v="4"/>
  </r>
  <r>
    <s v="APT00472"/>
    <d v="2026-01-18T00:00:00"/>
    <x v="1"/>
    <x v="1"/>
    <s v="Follow-up"/>
    <s v="Routine"/>
    <x v="0"/>
    <s v="Cardiology B"/>
    <s v="Riverside Clinic"/>
    <n v="30"/>
    <n v="26"/>
    <x v="0"/>
  </r>
  <r>
    <s v="APT00473"/>
    <d v="2025-09-05T00:00:00"/>
    <x v="49"/>
    <x v="4"/>
    <s v="Follow-up"/>
    <s v="Urgent"/>
    <x v="0"/>
    <s v="Orthopaedics A"/>
    <s v="Royal South Hospital"/>
    <n v="15"/>
    <n v="46"/>
    <x v="3"/>
  </r>
  <r>
    <s v="APT00474"/>
    <d v="2025-09-18T00:00:00"/>
    <x v="57"/>
    <x v="4"/>
    <s v="Follow-up"/>
    <s v="Routine"/>
    <x v="0"/>
    <s v="Orthopaedics A"/>
    <s v="Riverside Clinic"/>
    <n v="15"/>
    <n v="27"/>
    <x v="0"/>
  </r>
  <r>
    <s v="APT00475"/>
    <d v="2025-11-17T00:00:00"/>
    <x v="231"/>
    <x v="3"/>
    <s v="Follow-up"/>
    <s v="Routine"/>
    <x v="0"/>
    <s v="Neurology A"/>
    <s v="Royal South Hospital"/>
    <n v="15"/>
    <n v="37"/>
    <x v="1"/>
  </r>
  <r>
    <s v="APT00476"/>
    <d v="2026-01-11T00:00:00"/>
    <x v="262"/>
    <x v="3"/>
    <s v="Follow-up"/>
    <s v="Routine"/>
    <x v="0"/>
    <s v="Neurology A"/>
    <s v="Central Outpatients"/>
    <n v="30"/>
    <n v="48"/>
    <x v="3"/>
  </r>
  <r>
    <s v="APT00477"/>
    <d v="2026-02-03T00:00:00"/>
    <x v="97"/>
    <x v="4"/>
    <s v="Follow-up"/>
    <s v="Routine"/>
    <x v="0"/>
    <s v="Orthopaedics B"/>
    <s v="Royal South Hospital"/>
    <n v="15"/>
    <n v="26"/>
    <x v="0"/>
  </r>
  <r>
    <s v="APT00478"/>
    <d v="2025-04-07T00:00:00"/>
    <x v="229"/>
    <x v="4"/>
    <s v="New"/>
    <s v="Routine"/>
    <x v="0"/>
    <s v="Orthopaedics B"/>
    <s v="Riverside Clinic"/>
    <n v="30"/>
    <n v="52"/>
    <x v="3"/>
  </r>
  <r>
    <s v="APT00479"/>
    <d v="2025-11-28T00:00:00"/>
    <x v="2"/>
    <x v="2"/>
    <s v="Follow-up"/>
    <s v="Urgent"/>
    <x v="0"/>
    <s v="Gastro A"/>
    <s v="Royal South Hospital"/>
    <n v="15"/>
    <n v="17"/>
    <x v="0"/>
  </r>
  <r>
    <s v="APT00480"/>
    <d v="2025-05-10T00:00:00"/>
    <x v="263"/>
    <x v="2"/>
    <s v="Follow-up"/>
    <s v="Routine"/>
    <x v="0"/>
    <s v="Gastro A"/>
    <s v="Royal South Hospital"/>
    <n v="30"/>
    <n v="40"/>
    <x v="1"/>
  </r>
  <r>
    <s v="APT00481"/>
    <d v="2025-07-14T00:00:00"/>
    <x v="141"/>
    <x v="0"/>
    <s v="New"/>
    <s v="Routine"/>
    <x v="1"/>
    <s v="Dermatology A"/>
    <s v="Riverside Clinic"/>
    <n v="30"/>
    <n v="51"/>
    <x v="3"/>
  </r>
  <r>
    <s v="APT00482"/>
    <d v="2026-01-27T00:00:00"/>
    <x v="131"/>
    <x v="4"/>
    <s v="Follow-up"/>
    <s v="Routine"/>
    <x v="0"/>
    <s v="Orthopaedics B"/>
    <s v="Riverside Clinic"/>
    <n v="15"/>
    <n v="46"/>
    <x v="3"/>
  </r>
  <r>
    <s v="APT00483"/>
    <d v="2025-07-01T00:00:00"/>
    <x v="139"/>
    <x v="3"/>
    <s v="New"/>
    <s v="Routine"/>
    <x v="0"/>
    <s v="Neurology A"/>
    <s v="Riverside Clinic"/>
    <n v="30"/>
    <n v="69"/>
    <x v="4"/>
  </r>
  <r>
    <s v="APT00484"/>
    <d v="2026-01-16T00:00:00"/>
    <x v="13"/>
    <x v="1"/>
    <s v="New"/>
    <s v="Routine"/>
    <x v="0"/>
    <s v="Cardiology A"/>
    <s v="Riverside Clinic"/>
    <n v="30"/>
    <n v="21"/>
    <x v="0"/>
  </r>
  <r>
    <s v="APT00485"/>
    <d v="2025-09-16T00:00:00"/>
    <x v="137"/>
    <x v="1"/>
    <s v="Follow-up"/>
    <s v="Routine"/>
    <x v="0"/>
    <s v="Cardiology A"/>
    <s v="Riverside Clinic"/>
    <n v="15"/>
    <n v="10"/>
    <x v="2"/>
  </r>
  <r>
    <s v="APT00486"/>
    <d v="2025-06-24T00:00:00"/>
    <x v="209"/>
    <x v="4"/>
    <s v="New"/>
    <s v="Routine"/>
    <x v="2"/>
    <s v="Orthopaedics A"/>
    <s v="Central Outpatients"/>
    <n v="30"/>
    <n v="17"/>
    <x v="0"/>
  </r>
  <r>
    <s v="APT00487"/>
    <d v="2025-07-31T00:00:00"/>
    <x v="93"/>
    <x v="4"/>
    <s v="New"/>
    <s v="Urgent"/>
    <x v="0"/>
    <s v="Orthopaedics A"/>
    <s v="Royal South Hospital"/>
    <n v="30"/>
    <n v="46"/>
    <x v="3"/>
  </r>
  <r>
    <s v="APT00488"/>
    <d v="2025-10-11T00:00:00"/>
    <x v="264"/>
    <x v="4"/>
    <s v="New"/>
    <s v="Routine"/>
    <x v="0"/>
    <s v="Orthopaedics B"/>
    <s v="Central Outpatients"/>
    <n v="30"/>
    <n v="43"/>
    <x v="3"/>
  </r>
  <r>
    <s v="APT00489"/>
    <d v="2026-01-04T00:00:00"/>
    <x v="185"/>
    <x v="2"/>
    <s v="Follow-up"/>
    <s v="Routine"/>
    <x v="0"/>
    <s v="Gastro B"/>
    <s v="Royal South Hospital"/>
    <n v="30"/>
    <n v="36"/>
    <x v="1"/>
  </r>
  <r>
    <s v="APT00490"/>
    <d v="2025-11-07T00:00:00"/>
    <x v="265"/>
    <x v="4"/>
    <s v="Follow-up"/>
    <s v="Routine"/>
    <x v="0"/>
    <s v="Orthopaedics B"/>
    <s v="Royal South Hospital"/>
    <n v="15"/>
    <n v="14"/>
    <x v="2"/>
  </r>
  <r>
    <s v="APT00491"/>
    <d v="2026-03-06T00:00:00"/>
    <x v="266"/>
    <x v="4"/>
    <s v="Follow-up"/>
    <s v="Routine"/>
    <x v="1"/>
    <s v="Orthopaedics B"/>
    <s v="Riverside Clinic"/>
    <n v="30"/>
    <n v="48"/>
    <x v="3"/>
  </r>
  <r>
    <s v="APT00492"/>
    <d v="2026-02-10T00:00:00"/>
    <x v="267"/>
    <x v="0"/>
    <s v="Follow-up"/>
    <s v="Routine"/>
    <x v="2"/>
    <s v="Dermatology A"/>
    <s v="Royal South Hospital"/>
    <n v="30"/>
    <n v="12"/>
    <x v="2"/>
  </r>
  <r>
    <s v="APT00493"/>
    <d v="2025-12-31T00:00:00"/>
    <x v="230"/>
    <x v="1"/>
    <s v="Follow-up"/>
    <s v="Routine"/>
    <x v="0"/>
    <s v="Cardiology A"/>
    <s v="Royal South Hospital"/>
    <n v="15"/>
    <n v="55"/>
    <x v="3"/>
  </r>
  <r>
    <s v="APT00494"/>
    <d v="2025-11-06T00:00:00"/>
    <x v="165"/>
    <x v="4"/>
    <s v="Follow-up"/>
    <s v="Routine"/>
    <x v="0"/>
    <s v="Orthopaedics B"/>
    <s v="Royal South Hospital"/>
    <n v="15"/>
    <n v="86"/>
    <x v="4"/>
  </r>
  <r>
    <s v="APT00495"/>
    <d v="2025-07-15T00:00:00"/>
    <x v="147"/>
    <x v="1"/>
    <s v="Follow-up"/>
    <s v="Routine"/>
    <x v="0"/>
    <s v="Cardiology B"/>
    <s v="Riverside Clinic"/>
    <n v="30"/>
    <n v="41"/>
    <x v="1"/>
  </r>
  <r>
    <s v="APT00496"/>
    <d v="2025-08-29T00:00:00"/>
    <x v="268"/>
    <x v="2"/>
    <s v="New"/>
    <s v="Routine"/>
    <x v="1"/>
    <s v="Gastro A"/>
    <s v="Riverside Clinic"/>
    <n v="30"/>
    <n v="45"/>
    <x v="3"/>
  </r>
  <r>
    <s v="APT00497"/>
    <d v="2025-05-14T00:00:00"/>
    <x v="82"/>
    <x v="3"/>
    <s v="Follow-up"/>
    <s v="Routine"/>
    <x v="0"/>
    <s v="Neurology A"/>
    <s v="Royal South Hospital"/>
    <n v="30"/>
    <n v="26"/>
    <x v="0"/>
  </r>
  <r>
    <s v="APT00498"/>
    <d v="2025-08-15T00:00:00"/>
    <x v="41"/>
    <x v="3"/>
    <s v="Follow-up"/>
    <s v="Routine"/>
    <x v="0"/>
    <s v="Neurology A"/>
    <s v="Royal South Hospital"/>
    <n v="15"/>
    <n v="2"/>
    <x v="2"/>
  </r>
  <r>
    <s v="APT00499"/>
    <d v="2026-03-04T00:00:00"/>
    <x v="216"/>
    <x v="0"/>
    <s v="New"/>
    <s v="Routine"/>
    <x v="0"/>
    <s v="Dermatology A"/>
    <s v="Royal South Hospital"/>
    <n v="30"/>
    <n v="24"/>
    <x v="0"/>
  </r>
  <r>
    <s v="APT00500"/>
    <d v="2025-09-03T00:00:00"/>
    <x v="245"/>
    <x v="3"/>
    <s v="New"/>
    <s v="Routine"/>
    <x v="0"/>
    <s v="Neurology B"/>
    <s v="Royal South Hospital"/>
    <n v="30"/>
    <n v="15"/>
    <x v="0"/>
  </r>
  <r>
    <s v="APT00501"/>
    <d v="2025-05-12T00:00:00"/>
    <x v="269"/>
    <x v="1"/>
    <s v="Follow-up"/>
    <s v="Routine"/>
    <x v="2"/>
    <s v="Cardiology A"/>
    <s v="Royal South Hospital"/>
    <n v="15"/>
    <n v="8"/>
    <x v="2"/>
  </r>
  <r>
    <s v="APT00502"/>
    <d v="2025-11-24T00:00:00"/>
    <x v="270"/>
    <x v="4"/>
    <s v="New"/>
    <s v="Urgent"/>
    <x v="0"/>
    <s v="Orthopaedics B"/>
    <s v="Royal South Hospital"/>
    <n v="30"/>
    <n v="66"/>
    <x v="4"/>
  </r>
  <r>
    <s v="APT00503"/>
    <d v="2026-03-17T00:00:00"/>
    <x v="157"/>
    <x v="1"/>
    <s v="Follow-up"/>
    <s v="Routine"/>
    <x v="0"/>
    <s v="Cardiology B"/>
    <s v="Central Outpatients"/>
    <n v="15"/>
    <n v="39"/>
    <x v="1"/>
  </r>
  <r>
    <s v="APT00504"/>
    <d v="2026-02-10T00:00:00"/>
    <x v="76"/>
    <x v="3"/>
    <s v="New"/>
    <s v="Routine"/>
    <x v="0"/>
    <s v="Neurology B"/>
    <s v="Riverside Clinic"/>
    <n v="30"/>
    <n v="41"/>
    <x v="1"/>
  </r>
  <r>
    <s v="APT00505"/>
    <d v="2025-07-09T00:00:00"/>
    <x v="77"/>
    <x v="4"/>
    <s v="Follow-up"/>
    <s v="Routine"/>
    <x v="2"/>
    <s v="Orthopaedics A"/>
    <s v="Royal South Hospital"/>
    <n v="15"/>
    <n v="29"/>
    <x v="1"/>
  </r>
  <r>
    <s v="APT00506"/>
    <d v="2025-09-13T00:00:00"/>
    <x v="108"/>
    <x v="1"/>
    <s v="New"/>
    <s v="Routine"/>
    <x v="0"/>
    <s v="Cardiology A"/>
    <s v="Royal South Hospital"/>
    <n v="30"/>
    <n v="31"/>
    <x v="1"/>
  </r>
  <r>
    <s v="APT00507"/>
    <d v="2025-10-11T00:00:00"/>
    <x v="106"/>
    <x v="0"/>
    <s v="Follow-up"/>
    <s v="Routine"/>
    <x v="1"/>
    <s v="Dermatology A"/>
    <s v="Royal South Hospital"/>
    <n v="15"/>
    <n v="52"/>
    <x v="3"/>
  </r>
  <r>
    <s v="APT00508"/>
    <d v="2025-06-30T00:00:00"/>
    <x v="116"/>
    <x v="4"/>
    <s v="New"/>
    <s v="Routine"/>
    <x v="1"/>
    <s v="Orthopaedics A"/>
    <s v="Royal South Hospital"/>
    <n v="45"/>
    <n v="34"/>
    <x v="1"/>
  </r>
  <r>
    <s v="APT00509"/>
    <d v="2025-07-07T00:00:00"/>
    <x v="271"/>
    <x v="1"/>
    <s v="New"/>
    <s v="Routine"/>
    <x v="1"/>
    <s v="Cardiology A"/>
    <s v="Royal South Hospital"/>
    <n v="30"/>
    <n v="44"/>
    <x v="3"/>
  </r>
  <r>
    <s v="APT00510"/>
    <d v="2025-06-26T00:00:00"/>
    <x v="145"/>
    <x v="1"/>
    <s v="Follow-up"/>
    <s v="Routine"/>
    <x v="0"/>
    <s v="Cardiology A"/>
    <s v="Central Outpatients"/>
    <n v="15"/>
    <n v="31"/>
    <x v="1"/>
  </r>
  <r>
    <s v="APT00511"/>
    <d v="2026-03-29T00:00:00"/>
    <x v="183"/>
    <x v="2"/>
    <s v="Follow-up"/>
    <s v="Routine"/>
    <x v="0"/>
    <s v="Gastro A"/>
    <s v="Riverside Clinic"/>
    <n v="15"/>
    <n v="28"/>
    <x v="0"/>
  </r>
  <r>
    <s v="APT00512"/>
    <d v="2025-12-28T00:00:00"/>
    <x v="223"/>
    <x v="4"/>
    <s v="Follow-up"/>
    <s v="Routine"/>
    <x v="1"/>
    <s v="Orthopaedics B"/>
    <s v="Royal South Hospital"/>
    <n v="30"/>
    <n v="9"/>
    <x v="2"/>
  </r>
  <r>
    <s v="APT00513"/>
    <d v="2026-02-01T00:00:00"/>
    <x v="12"/>
    <x v="2"/>
    <s v="Follow-up"/>
    <s v="Routine"/>
    <x v="2"/>
    <s v="Gastro A"/>
    <s v="Royal South Hospital"/>
    <n v="15"/>
    <n v="2"/>
    <x v="2"/>
  </r>
  <r>
    <s v="APT00514"/>
    <d v="2026-01-23T00:00:00"/>
    <x v="267"/>
    <x v="0"/>
    <s v="New"/>
    <s v="Routine"/>
    <x v="0"/>
    <s v="Dermatology A"/>
    <s v="Riverside Clinic"/>
    <n v="30"/>
    <n v="30"/>
    <x v="1"/>
  </r>
  <r>
    <s v="APT00515"/>
    <d v="2026-03-16T00:00:00"/>
    <x v="272"/>
    <x v="4"/>
    <s v="Follow-up"/>
    <s v="Routine"/>
    <x v="0"/>
    <s v="Orthopaedics B"/>
    <s v="Central Outpatients"/>
    <n v="15"/>
    <n v="36"/>
    <x v="1"/>
  </r>
  <r>
    <s v="APT00516"/>
    <d v="2025-05-09T00:00:00"/>
    <x v="269"/>
    <x v="2"/>
    <s v="Follow-up"/>
    <s v="Routine"/>
    <x v="0"/>
    <s v="Gastro A"/>
    <s v="Royal South Hospital"/>
    <n v="15"/>
    <n v="11"/>
    <x v="2"/>
  </r>
  <r>
    <s v="APT00517"/>
    <d v="2026-02-15T00:00:00"/>
    <x v="243"/>
    <x v="2"/>
    <s v="New"/>
    <s v="Routine"/>
    <x v="0"/>
    <s v="Gastro A"/>
    <s v="Central Outpatients"/>
    <n v="45"/>
    <n v="34"/>
    <x v="1"/>
  </r>
  <r>
    <s v="APT00518"/>
    <d v="2025-04-25T00:00:00"/>
    <x v="0"/>
    <x v="2"/>
    <s v="Follow-up"/>
    <s v="Routine"/>
    <x v="1"/>
    <s v="Gastro A"/>
    <s v="Royal South Hospital"/>
    <n v="15"/>
    <n v="35"/>
    <x v="1"/>
  </r>
  <r>
    <s v="APT00519"/>
    <d v="2025-09-21T00:00:00"/>
    <x v="4"/>
    <x v="0"/>
    <s v="Follow-up"/>
    <s v="Routine"/>
    <x v="0"/>
    <s v="Dermatology A"/>
    <s v="Riverside Clinic"/>
    <n v="30"/>
    <n v="2"/>
    <x v="2"/>
  </r>
  <r>
    <s v="APT00520"/>
    <d v="2025-11-03T00:00:00"/>
    <x v="265"/>
    <x v="0"/>
    <s v="Follow-up"/>
    <s v="Routine"/>
    <x v="0"/>
    <s v="Dermatology B"/>
    <s v="Royal South Hospital"/>
    <n v="15"/>
    <n v="18"/>
    <x v="0"/>
  </r>
  <r>
    <s v="APT00521"/>
    <d v="2025-08-09T00:00:00"/>
    <x v="273"/>
    <x v="3"/>
    <s v="Follow-up"/>
    <s v="Routine"/>
    <x v="0"/>
    <s v="Neurology B"/>
    <s v="Riverside Clinic"/>
    <n v="30"/>
    <n v="42"/>
    <x v="1"/>
  </r>
  <r>
    <s v="APT00522"/>
    <d v="2025-05-24T00:00:00"/>
    <x v="39"/>
    <x v="1"/>
    <s v="New"/>
    <s v="Routine"/>
    <x v="1"/>
    <s v="Cardiology A"/>
    <s v="Royal South Hospital"/>
    <n v="30"/>
    <n v="41"/>
    <x v="1"/>
  </r>
  <r>
    <s v="APT00523"/>
    <d v="2025-06-09T00:00:00"/>
    <x v="225"/>
    <x v="3"/>
    <s v="Follow-up"/>
    <s v="Routine"/>
    <x v="0"/>
    <s v="Neurology B"/>
    <s v="Riverside Clinic"/>
    <n v="30"/>
    <n v="14"/>
    <x v="2"/>
  </r>
  <r>
    <s v="APT00524"/>
    <d v="2026-01-26T00:00:00"/>
    <x v="274"/>
    <x v="1"/>
    <s v="New"/>
    <s v="Routine"/>
    <x v="0"/>
    <s v="Cardiology B"/>
    <s v="Riverside Clinic"/>
    <n v="30"/>
    <n v="37"/>
    <x v="1"/>
  </r>
  <r>
    <s v="APT00525"/>
    <d v="2025-07-26T00:00:00"/>
    <x v="73"/>
    <x v="0"/>
    <s v="New"/>
    <s v="Routine"/>
    <x v="0"/>
    <s v="Dermatology B"/>
    <s v="Riverside Clinic"/>
    <n v="30"/>
    <n v="53"/>
    <x v="3"/>
  </r>
  <r>
    <s v="APT00526"/>
    <d v="2025-07-22T00:00:00"/>
    <x v="139"/>
    <x v="1"/>
    <s v="Follow-up"/>
    <s v="Routine"/>
    <x v="1"/>
    <s v="Cardiology B"/>
    <s v="Riverside Clinic"/>
    <n v="15"/>
    <n v="48"/>
    <x v="3"/>
  </r>
  <r>
    <s v="APT00527"/>
    <d v="2026-03-03T00:00:00"/>
    <x v="132"/>
    <x v="2"/>
    <s v="Follow-up"/>
    <s v="Routine"/>
    <x v="0"/>
    <s v="Gastro A"/>
    <s v="Royal South Hospital"/>
    <n v="30"/>
    <n v="33"/>
    <x v="1"/>
  </r>
  <r>
    <s v="APT00528"/>
    <d v="2025-05-23T00:00:00"/>
    <x v="176"/>
    <x v="3"/>
    <s v="New"/>
    <s v="Routine"/>
    <x v="0"/>
    <s v="Neurology A"/>
    <s v="Riverside Clinic"/>
    <n v="45"/>
    <n v="26"/>
    <x v="0"/>
  </r>
  <r>
    <s v="APT00529"/>
    <d v="2026-02-28T00:00:00"/>
    <x v="76"/>
    <x v="0"/>
    <s v="New"/>
    <s v="Routine"/>
    <x v="0"/>
    <s v="Dermatology A"/>
    <s v="Royal South Hospital"/>
    <n v="45"/>
    <n v="23"/>
    <x v="0"/>
  </r>
  <r>
    <s v="APT00530"/>
    <d v="2026-03-02T00:00:00"/>
    <x v="275"/>
    <x v="1"/>
    <s v="Follow-up"/>
    <s v="Routine"/>
    <x v="2"/>
    <s v="Cardiology A"/>
    <s v="Riverside Clinic"/>
    <n v="15"/>
    <n v="43"/>
    <x v="3"/>
  </r>
  <r>
    <s v="APT00531"/>
    <d v="2025-11-04T00:00:00"/>
    <x v="168"/>
    <x v="0"/>
    <s v="New"/>
    <s v="Routine"/>
    <x v="0"/>
    <s v="Dermatology B"/>
    <s v="Royal South Hospital"/>
    <n v="30"/>
    <n v="38"/>
    <x v="1"/>
  </r>
  <r>
    <s v="APT00532"/>
    <d v="2025-05-31T00:00:00"/>
    <x v="178"/>
    <x v="4"/>
    <s v="New"/>
    <s v="Urgent"/>
    <x v="0"/>
    <s v="Orthopaedics A"/>
    <s v="Royal South Hospital"/>
    <n v="45"/>
    <n v="46"/>
    <x v="3"/>
  </r>
  <r>
    <s v="APT00533"/>
    <d v="2025-05-27T00:00:00"/>
    <x v="190"/>
    <x v="0"/>
    <s v="New"/>
    <s v="Urgent"/>
    <x v="0"/>
    <s v="Dermatology A"/>
    <s v="Royal South Hospital"/>
    <n v="30"/>
    <n v="37"/>
    <x v="1"/>
  </r>
  <r>
    <s v="APT00534"/>
    <d v="2025-07-13T00:00:00"/>
    <x v="105"/>
    <x v="4"/>
    <s v="Follow-up"/>
    <s v="Routine"/>
    <x v="0"/>
    <s v="Orthopaedics B"/>
    <s v="Central Outpatients"/>
    <n v="15"/>
    <n v="49"/>
    <x v="3"/>
  </r>
  <r>
    <s v="APT00535"/>
    <d v="2025-10-28T00:00:00"/>
    <x v="252"/>
    <x v="0"/>
    <s v="Follow-up"/>
    <s v="Urgent"/>
    <x v="1"/>
    <s v="Dermatology A"/>
    <s v="Riverside Clinic"/>
    <n v="30"/>
    <n v="36"/>
    <x v="1"/>
  </r>
  <r>
    <s v="APT00536"/>
    <d v="2025-05-26T00:00:00"/>
    <x v="110"/>
    <x v="1"/>
    <s v="New"/>
    <s v="Urgent"/>
    <x v="0"/>
    <s v="Cardiology B"/>
    <s v="Royal South Hospital"/>
    <n v="30"/>
    <n v="49"/>
    <x v="3"/>
  </r>
  <r>
    <s v="APT00537"/>
    <d v="2025-09-13T00:00:00"/>
    <x v="28"/>
    <x v="3"/>
    <s v="New"/>
    <s v="Routine"/>
    <x v="0"/>
    <s v="Neurology A"/>
    <s v="Riverside Clinic"/>
    <n v="30"/>
    <n v="50"/>
    <x v="3"/>
  </r>
  <r>
    <s v="APT00538"/>
    <d v="2025-05-13T00:00:00"/>
    <x v="222"/>
    <x v="2"/>
    <s v="Follow-up"/>
    <s v="Routine"/>
    <x v="2"/>
    <s v="Gastro A"/>
    <s v="Royal South Hospital"/>
    <n v="15"/>
    <n v="20"/>
    <x v="0"/>
  </r>
  <r>
    <s v="APT00539"/>
    <d v="2025-10-14T00:00:00"/>
    <x v="276"/>
    <x v="1"/>
    <s v="Follow-up"/>
    <s v="Routine"/>
    <x v="0"/>
    <s v="Cardiology A"/>
    <s v="Royal South Hospital"/>
    <n v="15"/>
    <n v="2"/>
    <x v="2"/>
  </r>
  <r>
    <s v="APT00540"/>
    <d v="2025-04-08T00:00:00"/>
    <x v="82"/>
    <x v="4"/>
    <s v="Follow-up"/>
    <s v="Routine"/>
    <x v="1"/>
    <s v="Orthopaedics B"/>
    <s v="Royal South Hospital"/>
    <n v="30"/>
    <n v="62"/>
    <x v="4"/>
  </r>
  <r>
    <s v="APT00541"/>
    <d v="2025-12-15T00:00:00"/>
    <x v="277"/>
    <x v="1"/>
    <s v="New"/>
    <s v="Routine"/>
    <x v="0"/>
    <s v="Cardiology A"/>
    <s v="Riverside Clinic"/>
    <n v="30"/>
    <n v="39"/>
    <x v="1"/>
  </r>
  <r>
    <s v="APT00542"/>
    <d v="2025-04-21T00:00:00"/>
    <x v="278"/>
    <x v="0"/>
    <s v="Follow-up"/>
    <s v="Routine"/>
    <x v="0"/>
    <s v="Dermatology A"/>
    <s v="Central Outpatients"/>
    <n v="30"/>
    <n v="4"/>
    <x v="2"/>
  </r>
  <r>
    <s v="APT00543"/>
    <d v="2025-06-10T00:00:00"/>
    <x v="279"/>
    <x v="0"/>
    <s v="Follow-up"/>
    <s v="Routine"/>
    <x v="1"/>
    <s v="Dermatology B"/>
    <s v="Central Outpatients"/>
    <n v="30"/>
    <n v="22"/>
    <x v="0"/>
  </r>
  <r>
    <s v="APT00544"/>
    <d v="2025-06-03T00:00:00"/>
    <x v="280"/>
    <x v="2"/>
    <s v="Follow-up"/>
    <s v="Routine"/>
    <x v="2"/>
    <s v="Gastro B"/>
    <s v="Royal South Hospital"/>
    <n v="15"/>
    <n v="48"/>
    <x v="3"/>
  </r>
  <r>
    <s v="APT00545"/>
    <d v="2026-01-28T00:00:00"/>
    <x v="56"/>
    <x v="4"/>
    <s v="New"/>
    <s v="Routine"/>
    <x v="0"/>
    <s v="Orthopaedics B"/>
    <s v="Royal South Hospital"/>
    <n v="30"/>
    <n v="29"/>
    <x v="1"/>
  </r>
  <r>
    <s v="APT00546"/>
    <d v="2025-04-20T00:00:00"/>
    <x v="182"/>
    <x v="1"/>
    <s v="Follow-up"/>
    <s v="Routine"/>
    <x v="0"/>
    <s v="Cardiology B"/>
    <s v="Central Outpatients"/>
    <n v="15"/>
    <n v="25"/>
    <x v="0"/>
  </r>
  <r>
    <s v="APT00547"/>
    <d v="2025-09-04T00:00:00"/>
    <x v="122"/>
    <x v="4"/>
    <s v="New"/>
    <s v="Routine"/>
    <x v="1"/>
    <s v="Orthopaedics B"/>
    <s v="Royal South Hospital"/>
    <n v="30"/>
    <n v="60"/>
    <x v="4"/>
  </r>
  <r>
    <s v="APT00548"/>
    <d v="2025-11-02T00:00:00"/>
    <x v="281"/>
    <x v="3"/>
    <s v="New"/>
    <s v="Routine"/>
    <x v="0"/>
    <s v="Neurology B"/>
    <s v="Riverside Clinic"/>
    <n v="30"/>
    <n v="16"/>
    <x v="0"/>
  </r>
  <r>
    <s v="APT00549"/>
    <d v="2025-10-05T00:00:00"/>
    <x v="102"/>
    <x v="4"/>
    <s v="New"/>
    <s v="Routine"/>
    <x v="0"/>
    <s v="Orthopaedics B"/>
    <s v="Central Outpatients"/>
    <n v="30"/>
    <n v="20"/>
    <x v="0"/>
  </r>
  <r>
    <s v="APT00550"/>
    <d v="2025-12-04T00:00:00"/>
    <x v="50"/>
    <x v="4"/>
    <s v="Follow-up"/>
    <s v="Routine"/>
    <x v="0"/>
    <s v="Orthopaedics A"/>
    <s v="Royal South Hospital"/>
    <n v="15"/>
    <n v="38"/>
    <x v="1"/>
  </r>
  <r>
    <s v="APT00551"/>
    <d v="2026-01-18T00:00:00"/>
    <x v="97"/>
    <x v="4"/>
    <s v="New"/>
    <s v="Routine"/>
    <x v="0"/>
    <s v="Orthopaedics A"/>
    <s v="Royal South Hospital"/>
    <n v="30"/>
    <n v="42"/>
    <x v="1"/>
  </r>
  <r>
    <s v="APT00552"/>
    <d v="2025-08-22T00:00:00"/>
    <x v="188"/>
    <x v="3"/>
    <s v="Follow-up"/>
    <s v="Routine"/>
    <x v="0"/>
    <s v="Neurology A"/>
    <s v="Central Outpatients"/>
    <n v="30"/>
    <n v="43"/>
    <x v="3"/>
  </r>
  <r>
    <s v="APT00553"/>
    <d v="2026-01-27T00:00:00"/>
    <x v="35"/>
    <x v="0"/>
    <s v="Follow-up"/>
    <s v="Routine"/>
    <x v="2"/>
    <s v="Dermatology B"/>
    <s v="Riverside Clinic"/>
    <n v="15"/>
    <n v="51"/>
    <x v="3"/>
  </r>
  <r>
    <s v="APT00554"/>
    <d v="2025-07-25T00:00:00"/>
    <x v="282"/>
    <x v="2"/>
    <s v="Follow-up"/>
    <s v="Routine"/>
    <x v="0"/>
    <s v="Gastro B"/>
    <s v="Central Outpatients"/>
    <n v="15"/>
    <n v="38"/>
    <x v="1"/>
  </r>
  <r>
    <s v="APT00555"/>
    <d v="2026-03-25T00:00:00"/>
    <x v="204"/>
    <x v="3"/>
    <s v="New"/>
    <s v="Routine"/>
    <x v="0"/>
    <s v="Neurology A"/>
    <s v="Riverside Clinic"/>
    <n v="30"/>
    <n v="43"/>
    <x v="3"/>
  </r>
  <r>
    <s v="APT00556"/>
    <d v="2025-10-01T00:00:00"/>
    <x v="283"/>
    <x v="2"/>
    <s v="Follow-up"/>
    <s v="Routine"/>
    <x v="0"/>
    <s v="Gastro A"/>
    <s v="Royal South Hospital"/>
    <n v="30"/>
    <n v="30"/>
    <x v="1"/>
  </r>
  <r>
    <s v="APT00557"/>
    <d v="2025-12-24T00:00:00"/>
    <x v="270"/>
    <x v="3"/>
    <s v="New"/>
    <s v="Routine"/>
    <x v="1"/>
    <s v="Neurology A"/>
    <s v="Central Outpatients"/>
    <n v="30"/>
    <n v="36"/>
    <x v="1"/>
  </r>
  <r>
    <s v="APT00558"/>
    <d v="2026-02-13T00:00:00"/>
    <x v="243"/>
    <x v="1"/>
    <s v="Follow-up"/>
    <s v="Urgent"/>
    <x v="0"/>
    <s v="Cardiology B"/>
    <s v="Riverside Clinic"/>
    <n v="15"/>
    <n v="36"/>
    <x v="1"/>
  </r>
  <r>
    <s v="APT00559"/>
    <d v="2026-01-14T00:00:00"/>
    <x v="261"/>
    <x v="4"/>
    <s v="New"/>
    <s v="Routine"/>
    <x v="1"/>
    <s v="Orthopaedics B"/>
    <s v="Central Outpatients"/>
    <n v="45"/>
    <n v="38"/>
    <x v="1"/>
  </r>
  <r>
    <s v="APT00560"/>
    <d v="2026-02-04T00:00:00"/>
    <x v="214"/>
    <x v="1"/>
    <s v="New"/>
    <s v="Urgent"/>
    <x v="0"/>
    <s v="Cardiology B"/>
    <s v="Royal South Hospital"/>
    <n v="30"/>
    <n v="48"/>
    <x v="3"/>
  </r>
  <r>
    <s v="APT00561"/>
    <d v="2025-10-13T00:00:00"/>
    <x v="25"/>
    <x v="4"/>
    <s v="Follow-up"/>
    <s v="Routine"/>
    <x v="0"/>
    <s v="Orthopaedics B"/>
    <s v="Riverside Clinic"/>
    <n v="15"/>
    <n v="44"/>
    <x v="3"/>
  </r>
  <r>
    <s v="APT00562"/>
    <d v="2025-04-16T00:00:00"/>
    <x v="284"/>
    <x v="1"/>
    <s v="New"/>
    <s v="Routine"/>
    <x v="1"/>
    <s v="Cardiology B"/>
    <s v="Royal South Hospital"/>
    <n v="30"/>
    <n v="35"/>
    <x v="1"/>
  </r>
  <r>
    <s v="APT00563"/>
    <d v="2025-09-27T00:00:00"/>
    <x v="285"/>
    <x v="1"/>
    <s v="New"/>
    <s v="Urgent"/>
    <x v="0"/>
    <s v="Cardiology A"/>
    <s v="Royal South Hospital"/>
    <n v="30"/>
    <n v="20"/>
    <x v="0"/>
  </r>
  <r>
    <s v="APT00564"/>
    <d v="2025-06-06T00:00:00"/>
    <x v="286"/>
    <x v="4"/>
    <s v="Follow-up"/>
    <s v="Urgent"/>
    <x v="1"/>
    <s v="Orthopaedics B"/>
    <s v="Central Outpatients"/>
    <n v="30"/>
    <n v="36"/>
    <x v="1"/>
  </r>
  <r>
    <s v="APT00565"/>
    <d v="2026-02-18T00:00:00"/>
    <x v="214"/>
    <x v="4"/>
    <s v="New"/>
    <s v="Routine"/>
    <x v="0"/>
    <s v="Orthopaedics A"/>
    <s v="Central Outpatients"/>
    <n v="30"/>
    <n v="34"/>
    <x v="1"/>
  </r>
  <r>
    <s v="APT00566"/>
    <d v="2025-06-26T00:00:00"/>
    <x v="116"/>
    <x v="3"/>
    <s v="New"/>
    <s v="Routine"/>
    <x v="0"/>
    <s v="Neurology B"/>
    <s v="Riverside Clinic"/>
    <n v="45"/>
    <n v="38"/>
    <x v="1"/>
  </r>
  <r>
    <s v="APT00567"/>
    <d v="2025-06-23T00:00:00"/>
    <x v="125"/>
    <x v="4"/>
    <s v="New"/>
    <s v="Routine"/>
    <x v="0"/>
    <s v="Orthopaedics A"/>
    <s v="Central Outpatients"/>
    <n v="30"/>
    <n v="74"/>
    <x v="4"/>
  </r>
  <r>
    <s v="APT00568"/>
    <d v="2025-06-30T00:00:00"/>
    <x v="200"/>
    <x v="0"/>
    <s v="New"/>
    <s v="Routine"/>
    <x v="2"/>
    <s v="Dermatology B"/>
    <s v="Royal South Hospital"/>
    <n v="45"/>
    <n v="25"/>
    <x v="0"/>
  </r>
  <r>
    <s v="APT00569"/>
    <d v="2025-11-20T00:00:00"/>
    <x v="287"/>
    <x v="4"/>
    <s v="Follow-up"/>
    <s v="Routine"/>
    <x v="0"/>
    <s v="Orthopaedics A"/>
    <s v="Central Outpatients"/>
    <n v="15"/>
    <n v="42"/>
    <x v="1"/>
  </r>
  <r>
    <s v="APT00570"/>
    <d v="2025-10-25T00:00:00"/>
    <x v="288"/>
    <x v="0"/>
    <s v="New"/>
    <s v="Routine"/>
    <x v="0"/>
    <s v="Dermatology A"/>
    <s v="Riverside Clinic"/>
    <n v="30"/>
    <n v="54"/>
    <x v="3"/>
  </r>
  <r>
    <s v="APT00571"/>
    <d v="2026-03-12T00:00:00"/>
    <x v="289"/>
    <x v="2"/>
    <s v="Follow-up"/>
    <s v="Routine"/>
    <x v="0"/>
    <s v="Gastro A"/>
    <s v="Riverside Clinic"/>
    <n v="15"/>
    <n v="36"/>
    <x v="1"/>
  </r>
  <r>
    <s v="APT00572"/>
    <d v="2025-08-30T00:00:00"/>
    <x v="96"/>
    <x v="2"/>
    <s v="Follow-up"/>
    <s v="Routine"/>
    <x v="2"/>
    <s v="Gastro B"/>
    <s v="Riverside Clinic"/>
    <n v="15"/>
    <n v="77"/>
    <x v="4"/>
  </r>
  <r>
    <s v="APT00573"/>
    <d v="2025-07-12T00:00:00"/>
    <x v="228"/>
    <x v="1"/>
    <s v="New"/>
    <s v="Routine"/>
    <x v="1"/>
    <s v="Cardiology B"/>
    <s v="Riverside Clinic"/>
    <n v="30"/>
    <n v="28"/>
    <x v="0"/>
  </r>
  <r>
    <s v="APT00574"/>
    <d v="2025-04-18T00:00:00"/>
    <x v="211"/>
    <x v="2"/>
    <s v="Follow-up"/>
    <s v="Routine"/>
    <x v="1"/>
    <s v="Gastro A"/>
    <s v="Central Outpatients"/>
    <n v="15"/>
    <n v="40"/>
    <x v="1"/>
  </r>
  <r>
    <s v="APT00575"/>
    <d v="2025-04-03T00:00:00"/>
    <x v="290"/>
    <x v="3"/>
    <s v="Follow-up"/>
    <s v="Routine"/>
    <x v="0"/>
    <s v="Neurology B"/>
    <s v="Royal South Hospital"/>
    <n v="15"/>
    <n v="20"/>
    <x v="0"/>
  </r>
  <r>
    <s v="APT00576"/>
    <d v="2025-08-14T00:00:00"/>
    <x v="37"/>
    <x v="1"/>
    <s v="New"/>
    <s v="Urgent"/>
    <x v="0"/>
    <s v="Cardiology B"/>
    <s v="Central Outpatients"/>
    <n v="45"/>
    <n v="28"/>
    <x v="0"/>
  </r>
  <r>
    <s v="APT00577"/>
    <d v="2026-03-03T00:00:00"/>
    <x v="219"/>
    <x v="4"/>
    <s v="New"/>
    <s v="Routine"/>
    <x v="1"/>
    <s v="Orthopaedics B"/>
    <s v="Royal South Hospital"/>
    <n v="30"/>
    <n v="39"/>
    <x v="1"/>
  </r>
  <r>
    <s v="APT00578"/>
    <d v="2025-10-08T00:00:00"/>
    <x v="67"/>
    <x v="2"/>
    <s v="New"/>
    <s v="Routine"/>
    <x v="1"/>
    <s v="Gastro B"/>
    <s v="Royal South Hospital"/>
    <n v="30"/>
    <n v="50"/>
    <x v="3"/>
  </r>
  <r>
    <s v="APT00579"/>
    <d v="2026-02-20T00:00:00"/>
    <x v="260"/>
    <x v="1"/>
    <s v="New"/>
    <s v="Routine"/>
    <x v="1"/>
    <s v="Cardiology A"/>
    <s v="Riverside Clinic"/>
    <n v="30"/>
    <n v="40"/>
    <x v="1"/>
  </r>
  <r>
    <s v="APT00580"/>
    <d v="2025-05-08T00:00:00"/>
    <x v="39"/>
    <x v="3"/>
    <s v="Follow-up"/>
    <s v="Routine"/>
    <x v="1"/>
    <s v="Neurology B"/>
    <s v="Riverside Clinic"/>
    <n v="15"/>
    <n v="57"/>
    <x v="4"/>
  </r>
  <r>
    <s v="APT00581"/>
    <d v="2025-05-04T00:00:00"/>
    <x v="34"/>
    <x v="1"/>
    <s v="Follow-up"/>
    <s v="Routine"/>
    <x v="1"/>
    <s v="Cardiology A"/>
    <s v="Central Outpatients"/>
    <n v="30"/>
    <n v="33"/>
    <x v="1"/>
  </r>
  <r>
    <s v="APT00582"/>
    <d v="2026-01-29T00:00:00"/>
    <x v="123"/>
    <x v="1"/>
    <s v="Follow-up"/>
    <s v="Routine"/>
    <x v="0"/>
    <s v="Cardiology A"/>
    <s v="Royal South Hospital"/>
    <n v="15"/>
    <n v="29"/>
    <x v="1"/>
  </r>
  <r>
    <s v="APT00583"/>
    <d v="2025-05-09T00:00:00"/>
    <x v="8"/>
    <x v="3"/>
    <s v="New"/>
    <s v="Urgent"/>
    <x v="0"/>
    <s v="Neurology A"/>
    <s v="Royal South Hospital"/>
    <n v="30"/>
    <n v="83"/>
    <x v="4"/>
  </r>
  <r>
    <s v="APT00584"/>
    <d v="2025-04-19T00:00:00"/>
    <x v="69"/>
    <x v="1"/>
    <s v="New"/>
    <s v="Urgent"/>
    <x v="2"/>
    <s v="Cardiology A"/>
    <s v="Riverside Clinic"/>
    <n v="30"/>
    <n v="42"/>
    <x v="1"/>
  </r>
  <r>
    <s v="APT00585"/>
    <d v="2025-08-26T00:00:00"/>
    <x v="73"/>
    <x v="1"/>
    <s v="Follow-up"/>
    <s v="Urgent"/>
    <x v="0"/>
    <s v="Cardiology A"/>
    <s v="Central Outpatients"/>
    <n v="15"/>
    <n v="22"/>
    <x v="0"/>
  </r>
  <r>
    <s v="APT00586"/>
    <d v="2026-03-03T00:00:00"/>
    <x v="291"/>
    <x v="3"/>
    <s v="Follow-up"/>
    <s v="Routine"/>
    <x v="0"/>
    <s v="Neurology B"/>
    <s v="Central Outpatients"/>
    <n v="15"/>
    <n v="22"/>
    <x v="0"/>
  </r>
  <r>
    <s v="APT00587"/>
    <d v="2025-12-07T00:00:00"/>
    <x v="199"/>
    <x v="1"/>
    <s v="New"/>
    <s v="Routine"/>
    <x v="0"/>
    <s v="Cardiology A"/>
    <s v="Central Outpatients"/>
    <n v="30"/>
    <n v="18"/>
    <x v="0"/>
  </r>
  <r>
    <s v="APT00588"/>
    <d v="2025-05-07T00:00:00"/>
    <x v="80"/>
    <x v="4"/>
    <s v="Follow-up"/>
    <s v="Routine"/>
    <x v="0"/>
    <s v="Orthopaedics B"/>
    <s v="Royal South Hospital"/>
    <n v="30"/>
    <n v="51"/>
    <x v="3"/>
  </r>
  <r>
    <s v="APT00589"/>
    <d v="2026-01-30T00:00:00"/>
    <x v="123"/>
    <x v="4"/>
    <s v="Follow-up"/>
    <s v="Routine"/>
    <x v="1"/>
    <s v="Orthopaedics B"/>
    <s v="Central Outpatients"/>
    <n v="30"/>
    <n v="28"/>
    <x v="0"/>
  </r>
  <r>
    <s v="APT00590"/>
    <d v="2026-02-02T00:00:00"/>
    <x v="292"/>
    <x v="1"/>
    <s v="Follow-up"/>
    <s v="Routine"/>
    <x v="1"/>
    <s v="Cardiology A"/>
    <s v="Royal South Hospital"/>
    <n v="15"/>
    <n v="37"/>
    <x v="1"/>
  </r>
  <r>
    <s v="APT00591"/>
    <d v="2026-01-17T00:00:00"/>
    <x v="74"/>
    <x v="2"/>
    <s v="Follow-up"/>
    <s v="Routine"/>
    <x v="0"/>
    <s v="Gastro A"/>
    <s v="Central Outpatients"/>
    <n v="30"/>
    <n v="33"/>
    <x v="1"/>
  </r>
  <r>
    <s v="APT00592"/>
    <d v="2026-02-23T00:00:00"/>
    <x v="192"/>
    <x v="1"/>
    <s v="Follow-up"/>
    <s v="Routine"/>
    <x v="0"/>
    <s v="Cardiology B"/>
    <s v="Riverside Clinic"/>
    <n v="15"/>
    <n v="48"/>
    <x v="3"/>
  </r>
  <r>
    <s v="APT00593"/>
    <d v="2025-06-27T00:00:00"/>
    <x v="178"/>
    <x v="3"/>
    <s v="New"/>
    <s v="Routine"/>
    <x v="0"/>
    <s v="Neurology B"/>
    <s v="Royal South Hospital"/>
    <n v="45"/>
    <n v="19"/>
    <x v="0"/>
  </r>
  <r>
    <s v="APT00594"/>
    <d v="2026-03-23T00:00:00"/>
    <x v="109"/>
    <x v="1"/>
    <s v="New"/>
    <s v="Routine"/>
    <x v="2"/>
    <s v="Cardiology B"/>
    <s v="Riverside Clinic"/>
    <n v="45"/>
    <n v="15"/>
    <x v="0"/>
  </r>
  <r>
    <s v="APT00595"/>
    <d v="2025-07-26T00:00:00"/>
    <x v="141"/>
    <x v="4"/>
    <s v="Follow-up"/>
    <s v="Routine"/>
    <x v="0"/>
    <s v="Orthopaedics B"/>
    <s v="Central Outpatients"/>
    <n v="15"/>
    <n v="39"/>
    <x v="1"/>
  </r>
  <r>
    <s v="APT00596"/>
    <d v="2026-01-17T00:00:00"/>
    <x v="293"/>
    <x v="1"/>
    <s v="New"/>
    <s v="Routine"/>
    <x v="0"/>
    <s v="Cardiology B"/>
    <s v="Royal South Hospital"/>
    <n v="30"/>
    <n v="45"/>
    <x v="3"/>
  </r>
  <r>
    <s v="APT00597"/>
    <d v="2025-10-28T00:00:00"/>
    <x v="120"/>
    <x v="3"/>
    <s v="New"/>
    <s v="Routine"/>
    <x v="0"/>
    <s v="Neurology A"/>
    <s v="Royal South Hospital"/>
    <n v="30"/>
    <n v="40"/>
    <x v="1"/>
  </r>
  <r>
    <s v="APT00598"/>
    <d v="2026-01-09T00:00:00"/>
    <x v="270"/>
    <x v="1"/>
    <s v="Follow-up"/>
    <s v="Routine"/>
    <x v="0"/>
    <s v="Cardiology B"/>
    <s v="Riverside Clinic"/>
    <n v="30"/>
    <n v="20"/>
    <x v="0"/>
  </r>
  <r>
    <s v="APT00599"/>
    <d v="2025-11-15T00:00:00"/>
    <x v="287"/>
    <x v="1"/>
    <s v="Follow-up"/>
    <s v="Routine"/>
    <x v="0"/>
    <s v="Cardiology B"/>
    <s v="Central Outpatients"/>
    <n v="15"/>
    <n v="47"/>
    <x v="3"/>
  </r>
  <r>
    <s v="APT00600"/>
    <d v="2025-11-20T00:00:00"/>
    <x v="169"/>
    <x v="2"/>
    <s v="Follow-up"/>
    <s v="Routine"/>
    <x v="0"/>
    <s v="Gastro B"/>
    <s v="Riverside Clinic"/>
    <n v="15"/>
    <n v="21"/>
    <x v="0"/>
  </r>
  <r>
    <s v="APT00601"/>
    <d v="2025-11-11T00:00:00"/>
    <x v="207"/>
    <x v="2"/>
    <s v="Follow-up"/>
    <s v="Routine"/>
    <x v="0"/>
    <s v="Gastro A"/>
    <s v="Royal South Hospital"/>
    <n v="30"/>
    <n v="25"/>
    <x v="0"/>
  </r>
  <r>
    <s v="APT00602"/>
    <d v="2026-01-09T00:00:00"/>
    <x v="104"/>
    <x v="4"/>
    <s v="Follow-up"/>
    <s v="Routine"/>
    <x v="0"/>
    <s v="Orthopaedics B"/>
    <s v="Riverside Clinic"/>
    <n v="15"/>
    <n v="18"/>
    <x v="0"/>
  </r>
  <r>
    <s v="APT00603"/>
    <d v="2025-12-26T00:00:00"/>
    <x v="267"/>
    <x v="1"/>
    <s v="New"/>
    <s v="Routine"/>
    <x v="0"/>
    <s v="Cardiology B"/>
    <s v="Royal South Hospital"/>
    <n v="30"/>
    <n v="58"/>
    <x v="4"/>
  </r>
  <r>
    <s v="APT00604"/>
    <d v="2025-05-19T00:00:00"/>
    <x v="39"/>
    <x v="1"/>
    <s v="Follow-up"/>
    <s v="Urgent"/>
    <x v="0"/>
    <s v="Cardiology A"/>
    <s v="Royal South Hospital"/>
    <n v="15"/>
    <n v="46"/>
    <x v="3"/>
  </r>
  <r>
    <s v="APT00605"/>
    <d v="2026-01-26T00:00:00"/>
    <x v="163"/>
    <x v="0"/>
    <s v="Follow-up"/>
    <s v="Routine"/>
    <x v="0"/>
    <s v="Dermatology B"/>
    <s v="Royal South Hospital"/>
    <n v="30"/>
    <n v="45"/>
    <x v="3"/>
  </r>
  <r>
    <s v="APT00606"/>
    <d v="2025-10-13T00:00:00"/>
    <x v="140"/>
    <x v="0"/>
    <s v="Follow-up"/>
    <s v="Urgent"/>
    <x v="0"/>
    <s v="Dermatology B"/>
    <s v="Royal South Hospital"/>
    <n v="30"/>
    <n v="57"/>
    <x v="4"/>
  </r>
  <r>
    <s v="APT00607"/>
    <d v="2025-07-27T00:00:00"/>
    <x v="240"/>
    <x v="4"/>
    <s v="New"/>
    <s v="Routine"/>
    <x v="0"/>
    <s v="Orthopaedics A"/>
    <s v="Royal South Hospital"/>
    <n v="30"/>
    <n v="85"/>
    <x v="4"/>
  </r>
  <r>
    <s v="APT00608"/>
    <d v="2025-10-05T00:00:00"/>
    <x v="294"/>
    <x v="4"/>
    <s v="New"/>
    <s v="Routine"/>
    <x v="1"/>
    <s v="Orthopaedics B"/>
    <s v="Royal South Hospital"/>
    <n v="30"/>
    <n v="4"/>
    <x v="2"/>
  </r>
  <r>
    <s v="APT00609"/>
    <d v="2026-03-18T00:00:00"/>
    <x v="295"/>
    <x v="4"/>
    <s v="Follow-up"/>
    <s v="Urgent"/>
    <x v="0"/>
    <s v="Orthopaedics B"/>
    <s v="Royal South Hospital"/>
    <n v="15"/>
    <n v="21"/>
    <x v="0"/>
  </r>
  <r>
    <s v="APT00610"/>
    <d v="2026-02-07T00:00:00"/>
    <x v="5"/>
    <x v="1"/>
    <s v="New"/>
    <s v="Routine"/>
    <x v="0"/>
    <s v="Cardiology B"/>
    <s v="Riverside Clinic"/>
    <n v="30"/>
    <n v="23"/>
    <x v="0"/>
  </r>
  <r>
    <s v="APT00611"/>
    <d v="2026-01-29T00:00:00"/>
    <x v="224"/>
    <x v="2"/>
    <s v="New"/>
    <s v="Routine"/>
    <x v="0"/>
    <s v="Gastro A"/>
    <s v="Royal South Hospital"/>
    <n v="45"/>
    <n v="19"/>
    <x v="0"/>
  </r>
  <r>
    <s v="APT00612"/>
    <d v="2025-09-16T00:00:00"/>
    <x v="75"/>
    <x v="3"/>
    <s v="Follow-up"/>
    <s v="Routine"/>
    <x v="0"/>
    <s v="Neurology B"/>
    <s v="Royal South Hospital"/>
    <n v="15"/>
    <n v="15"/>
    <x v="0"/>
  </r>
  <r>
    <s v="APT00613"/>
    <d v="2026-01-11T00:00:00"/>
    <x v="185"/>
    <x v="0"/>
    <s v="Follow-up"/>
    <s v="Routine"/>
    <x v="0"/>
    <s v="Dermatology B"/>
    <s v="Riverside Clinic"/>
    <n v="15"/>
    <n v="29"/>
    <x v="1"/>
  </r>
  <r>
    <s v="APT00614"/>
    <d v="2025-08-19T00:00:00"/>
    <x v="282"/>
    <x v="3"/>
    <s v="New"/>
    <s v="Routine"/>
    <x v="0"/>
    <s v="Neurology B"/>
    <s v="Riverside Clinic"/>
    <n v="30"/>
    <n v="13"/>
    <x v="2"/>
  </r>
  <r>
    <s v="APT00615"/>
    <d v="2025-12-06T00:00:00"/>
    <x v="7"/>
    <x v="0"/>
    <s v="New"/>
    <s v="Routine"/>
    <x v="0"/>
    <s v="Dermatology B"/>
    <s v="Central Outpatients"/>
    <n v="30"/>
    <n v="41"/>
    <x v="1"/>
  </r>
  <r>
    <s v="APT00616"/>
    <d v="2025-11-19T00:00:00"/>
    <x v="231"/>
    <x v="0"/>
    <s v="New"/>
    <s v="Routine"/>
    <x v="1"/>
    <s v="Dermatology A"/>
    <s v="Royal South Hospital"/>
    <n v="30"/>
    <n v="35"/>
    <x v="1"/>
  </r>
  <r>
    <s v="APT00617"/>
    <d v="2025-06-30T00:00:00"/>
    <x v="87"/>
    <x v="4"/>
    <s v="Follow-up"/>
    <s v="Routine"/>
    <x v="0"/>
    <s v="Orthopaedics A"/>
    <s v="Riverside Clinic"/>
    <n v="30"/>
    <n v="43"/>
    <x v="3"/>
  </r>
  <r>
    <s v="APT00618"/>
    <d v="2025-07-06T00:00:00"/>
    <x v="196"/>
    <x v="0"/>
    <s v="Follow-up"/>
    <s v="Routine"/>
    <x v="2"/>
    <s v="Dermatology A"/>
    <s v="Central Outpatients"/>
    <n v="30"/>
    <n v="44"/>
    <x v="3"/>
  </r>
  <r>
    <s v="APT00619"/>
    <d v="2025-04-23T00:00:00"/>
    <x v="72"/>
    <x v="4"/>
    <s v="New"/>
    <s v="Routine"/>
    <x v="0"/>
    <s v="Orthopaedics B"/>
    <s v="Riverside Clinic"/>
    <n v="45"/>
    <n v="45"/>
    <x v="3"/>
  </r>
  <r>
    <s v="APT00620"/>
    <d v="2025-05-21T00:00:00"/>
    <x v="176"/>
    <x v="0"/>
    <s v="New"/>
    <s v="Routine"/>
    <x v="0"/>
    <s v="Dermatology A"/>
    <s v="Riverside Clinic"/>
    <n v="30"/>
    <n v="28"/>
    <x v="0"/>
  </r>
  <r>
    <s v="APT00621"/>
    <d v="2025-09-05T00:00:00"/>
    <x v="101"/>
    <x v="1"/>
    <s v="New"/>
    <s v="Routine"/>
    <x v="1"/>
    <s v="Cardiology B"/>
    <s v="Royal South Hospital"/>
    <n v="30"/>
    <n v="73"/>
    <x v="4"/>
  </r>
  <r>
    <s v="APT00622"/>
    <d v="2025-09-21T00:00:00"/>
    <x v="90"/>
    <x v="0"/>
    <s v="New"/>
    <s v="Urgent"/>
    <x v="0"/>
    <s v="Dermatology B"/>
    <s v="Royal South Hospital"/>
    <n v="30"/>
    <n v="39"/>
    <x v="1"/>
  </r>
  <r>
    <s v="APT00623"/>
    <d v="2025-05-31T00:00:00"/>
    <x v="222"/>
    <x v="1"/>
    <s v="New"/>
    <s v="Routine"/>
    <x v="0"/>
    <s v="Cardiology B"/>
    <s v="Royal South Hospital"/>
    <n v="30"/>
    <n v="2"/>
    <x v="2"/>
  </r>
  <r>
    <s v="APT00624"/>
    <d v="2025-08-30T00:00:00"/>
    <x v="93"/>
    <x v="2"/>
    <s v="Follow-up"/>
    <s v="Routine"/>
    <x v="0"/>
    <s v="Gastro B"/>
    <s v="Royal South Hospital"/>
    <n v="15"/>
    <n v="16"/>
    <x v="0"/>
  </r>
  <r>
    <s v="APT00625"/>
    <d v="2025-11-06T00:00:00"/>
    <x v="32"/>
    <x v="1"/>
    <s v="New"/>
    <s v="Routine"/>
    <x v="0"/>
    <s v="Cardiology B"/>
    <s v="Central Outpatients"/>
    <n v="45"/>
    <n v="3"/>
    <x v="2"/>
  </r>
  <r>
    <s v="APT00626"/>
    <d v="2025-06-24T00:00:00"/>
    <x v="296"/>
    <x v="3"/>
    <s v="New"/>
    <s v="Routine"/>
    <x v="0"/>
    <s v="Neurology A"/>
    <s v="Royal South Hospital"/>
    <n v="45"/>
    <n v="35"/>
    <x v="1"/>
  </r>
  <r>
    <s v="APT00627"/>
    <d v="2025-08-02T00:00:00"/>
    <x v="141"/>
    <x v="4"/>
    <s v="Follow-up"/>
    <s v="Routine"/>
    <x v="0"/>
    <s v="Orthopaedics B"/>
    <s v="Riverside Clinic"/>
    <n v="15"/>
    <n v="32"/>
    <x v="1"/>
  </r>
  <r>
    <s v="APT00628"/>
    <d v="2025-08-12T00:00:00"/>
    <x v="218"/>
    <x v="0"/>
    <s v="Follow-up"/>
    <s v="Routine"/>
    <x v="0"/>
    <s v="Dermatology A"/>
    <s v="Central Outpatients"/>
    <n v="15"/>
    <n v="26"/>
    <x v="0"/>
  </r>
  <r>
    <s v="APT00629"/>
    <d v="2025-10-01T00:00:00"/>
    <x v="169"/>
    <x v="1"/>
    <s v="New"/>
    <s v="Routine"/>
    <x v="0"/>
    <s v="Cardiology B"/>
    <s v="Riverside Clinic"/>
    <n v="30"/>
    <n v="71"/>
    <x v="4"/>
  </r>
  <r>
    <s v="APT00630"/>
    <d v="2025-08-12T00:00:00"/>
    <x v="297"/>
    <x v="2"/>
    <s v="New"/>
    <s v="Routine"/>
    <x v="0"/>
    <s v="Gastro B"/>
    <s v="Royal South Hospital"/>
    <n v="30"/>
    <n v="44"/>
    <x v="3"/>
  </r>
  <r>
    <s v="APT00631"/>
    <d v="2025-12-25T00:00:00"/>
    <x v="24"/>
    <x v="4"/>
    <s v="New"/>
    <s v="Routine"/>
    <x v="0"/>
    <s v="Orthopaedics A"/>
    <s v="Central Outpatients"/>
    <n v="30"/>
    <n v="48"/>
    <x v="3"/>
  </r>
  <r>
    <s v="APT00632"/>
    <d v="2025-07-29T00:00:00"/>
    <x v="111"/>
    <x v="2"/>
    <s v="New"/>
    <s v="Routine"/>
    <x v="1"/>
    <s v="Gastro A"/>
    <s v="Royal South Hospital"/>
    <n v="30"/>
    <n v="18"/>
    <x v="0"/>
  </r>
  <r>
    <s v="APT00633"/>
    <d v="2025-09-05T00:00:00"/>
    <x v="117"/>
    <x v="1"/>
    <s v="Follow-up"/>
    <s v="Urgent"/>
    <x v="0"/>
    <s v="Cardiology B"/>
    <s v="Royal South Hospital"/>
    <n v="15"/>
    <n v="17"/>
    <x v="0"/>
  </r>
  <r>
    <s v="APT00634"/>
    <d v="2025-08-17T00:00:00"/>
    <x v="3"/>
    <x v="2"/>
    <s v="New"/>
    <s v="Urgent"/>
    <x v="0"/>
    <s v="Gastro A"/>
    <s v="Royal South Hospital"/>
    <n v="30"/>
    <n v="35"/>
    <x v="1"/>
  </r>
  <r>
    <s v="APT00635"/>
    <d v="2025-06-06T00:00:00"/>
    <x v="110"/>
    <x v="2"/>
    <s v="Follow-up"/>
    <s v="Urgent"/>
    <x v="2"/>
    <s v="Gastro A"/>
    <s v="Royal South Hospital"/>
    <n v="15"/>
    <n v="38"/>
    <x v="1"/>
  </r>
  <r>
    <s v="APT00636"/>
    <d v="2025-12-06T00:00:00"/>
    <x v="78"/>
    <x v="0"/>
    <s v="Follow-up"/>
    <s v="Routine"/>
    <x v="2"/>
    <s v="Dermatology A"/>
    <s v="Central Outpatients"/>
    <n v="15"/>
    <n v="2"/>
    <x v="2"/>
  </r>
  <r>
    <s v="APT00637"/>
    <d v="2025-06-25T00:00:00"/>
    <x v="133"/>
    <x v="1"/>
    <s v="New"/>
    <s v="Urgent"/>
    <x v="0"/>
    <s v="Cardiology A"/>
    <s v="Royal South Hospital"/>
    <n v="30"/>
    <n v="31"/>
    <x v="1"/>
  </r>
  <r>
    <s v="APT00638"/>
    <d v="2025-07-18T00:00:00"/>
    <x v="298"/>
    <x v="4"/>
    <s v="New"/>
    <s v="Routine"/>
    <x v="0"/>
    <s v="Orthopaedics B"/>
    <s v="Central Outpatients"/>
    <n v="45"/>
    <n v="35"/>
    <x v="1"/>
  </r>
  <r>
    <s v="APT00639"/>
    <d v="2026-01-14T00:00:00"/>
    <x v="299"/>
    <x v="1"/>
    <s v="New"/>
    <s v="Routine"/>
    <x v="0"/>
    <s v="Cardiology B"/>
    <s v="Royal South Hospital"/>
    <n v="45"/>
    <n v="31"/>
    <x v="1"/>
  </r>
  <r>
    <s v="APT00640"/>
    <d v="2026-03-12T00:00:00"/>
    <x v="260"/>
    <x v="1"/>
    <s v="New"/>
    <s v="Routine"/>
    <x v="2"/>
    <s v="Cardiology B"/>
    <s v="Central Outpatients"/>
    <n v="30"/>
    <n v="20"/>
    <x v="0"/>
  </r>
  <r>
    <s v="APT00641"/>
    <d v="2025-12-01T00:00:00"/>
    <x v="14"/>
    <x v="1"/>
    <s v="Follow-up"/>
    <s v="Urgent"/>
    <x v="0"/>
    <s v="Cardiology A"/>
    <s v="Royal South Hospital"/>
    <n v="15"/>
    <n v="25"/>
    <x v="0"/>
  </r>
  <r>
    <s v="APT00642"/>
    <d v="2026-02-28T00:00:00"/>
    <x v="33"/>
    <x v="2"/>
    <s v="New"/>
    <s v="Routine"/>
    <x v="0"/>
    <s v="Gastro B"/>
    <s v="Central Outpatients"/>
    <n v="30"/>
    <n v="31"/>
    <x v="1"/>
  </r>
  <r>
    <s v="APT00643"/>
    <d v="2026-02-05T00:00:00"/>
    <x v="83"/>
    <x v="2"/>
    <s v="Follow-up"/>
    <s v="Routine"/>
    <x v="0"/>
    <s v="Gastro A"/>
    <s v="Royal South Hospital"/>
    <n v="30"/>
    <n v="36"/>
    <x v="1"/>
  </r>
  <r>
    <s v="APT00644"/>
    <d v="2025-09-23T00:00:00"/>
    <x v="300"/>
    <x v="0"/>
    <s v="Follow-up"/>
    <s v="Routine"/>
    <x v="0"/>
    <s v="Dermatology A"/>
    <s v="Central Outpatients"/>
    <n v="15"/>
    <n v="45"/>
    <x v="3"/>
  </r>
  <r>
    <s v="APT00645"/>
    <d v="2026-01-06T00:00:00"/>
    <x v="97"/>
    <x v="2"/>
    <s v="Follow-up"/>
    <s v="Routine"/>
    <x v="0"/>
    <s v="Gastro B"/>
    <s v="Central Outpatients"/>
    <n v="15"/>
    <n v="54"/>
    <x v="3"/>
  </r>
  <r>
    <s v="APT00646"/>
    <d v="2025-07-29T00:00:00"/>
    <x v="26"/>
    <x v="3"/>
    <s v="Follow-up"/>
    <s v="Routine"/>
    <x v="1"/>
    <s v="Neurology A"/>
    <s v="Riverside Clinic"/>
    <n v="15"/>
    <n v="29"/>
    <x v="1"/>
  </r>
  <r>
    <s v="APT00647"/>
    <d v="2025-09-15T00:00:00"/>
    <x v="251"/>
    <x v="0"/>
    <s v="Follow-up"/>
    <s v="Routine"/>
    <x v="0"/>
    <s v="Dermatology A"/>
    <s v="Royal South Hospital"/>
    <n v="30"/>
    <n v="26"/>
    <x v="0"/>
  </r>
  <r>
    <s v="APT00648"/>
    <d v="2025-10-12T00:00:00"/>
    <x v="264"/>
    <x v="4"/>
    <s v="Follow-up"/>
    <s v="Routine"/>
    <x v="0"/>
    <s v="Orthopaedics B"/>
    <s v="Riverside Clinic"/>
    <n v="15"/>
    <n v="42"/>
    <x v="1"/>
  </r>
  <r>
    <s v="APT00649"/>
    <d v="2026-03-16T00:00:00"/>
    <x v="301"/>
    <x v="0"/>
    <s v="Follow-up"/>
    <s v="Routine"/>
    <x v="1"/>
    <s v="Dermatology B"/>
    <s v="Riverside Clinic"/>
    <n v="15"/>
    <n v="45"/>
    <x v="3"/>
  </r>
  <r>
    <s v="APT00650"/>
    <d v="2026-02-03T00:00:00"/>
    <x v="5"/>
    <x v="1"/>
    <s v="New"/>
    <s v="Routine"/>
    <x v="0"/>
    <s v="Cardiology B"/>
    <s v="Riverside Clinic"/>
    <n v="30"/>
    <n v="27"/>
    <x v="0"/>
  </r>
  <r>
    <s v="APT00651"/>
    <d v="2025-09-26T00:00:00"/>
    <x v="64"/>
    <x v="4"/>
    <s v="New"/>
    <s v="Routine"/>
    <x v="0"/>
    <s v="Orthopaedics B"/>
    <s v="Riverside Clinic"/>
    <n v="30"/>
    <n v="49"/>
    <x v="3"/>
  </r>
  <r>
    <s v="APT00652"/>
    <d v="2025-11-24T00:00:00"/>
    <x v="63"/>
    <x v="4"/>
    <s v="New"/>
    <s v="Urgent"/>
    <x v="0"/>
    <s v="Orthopaedics A"/>
    <s v="Central Outpatients"/>
    <n v="30"/>
    <n v="52"/>
    <x v="3"/>
  </r>
  <r>
    <s v="APT00653"/>
    <d v="2025-06-13T00:00:00"/>
    <x v="238"/>
    <x v="0"/>
    <s v="New"/>
    <s v="Routine"/>
    <x v="0"/>
    <s v="Dermatology B"/>
    <s v="Central Outpatients"/>
    <n v="45"/>
    <n v="58"/>
    <x v="4"/>
  </r>
  <r>
    <s v="APT00654"/>
    <d v="2026-01-18T00:00:00"/>
    <x v="23"/>
    <x v="4"/>
    <s v="Follow-up"/>
    <s v="Routine"/>
    <x v="0"/>
    <s v="Orthopaedics B"/>
    <s v="Riverside Clinic"/>
    <n v="30"/>
    <n v="67"/>
    <x v="4"/>
  </r>
  <r>
    <s v="APT00655"/>
    <d v="2025-10-19T00:00:00"/>
    <x v="300"/>
    <x v="2"/>
    <s v="New"/>
    <s v="Routine"/>
    <x v="1"/>
    <s v="Gastro B"/>
    <s v="Royal South Hospital"/>
    <n v="30"/>
    <n v="19"/>
    <x v="0"/>
  </r>
  <r>
    <s v="APT00656"/>
    <d v="2025-10-11T00:00:00"/>
    <x v="96"/>
    <x v="0"/>
    <s v="Follow-up"/>
    <s v="Routine"/>
    <x v="0"/>
    <s v="Dermatology B"/>
    <s v="Royal South Hospital"/>
    <n v="30"/>
    <n v="35"/>
    <x v="1"/>
  </r>
  <r>
    <s v="APT00657"/>
    <d v="2026-01-04T00:00:00"/>
    <x v="203"/>
    <x v="4"/>
    <s v="Follow-up"/>
    <s v="Urgent"/>
    <x v="0"/>
    <s v="Orthopaedics B"/>
    <s v="Riverside Clinic"/>
    <n v="30"/>
    <n v="35"/>
    <x v="1"/>
  </r>
  <r>
    <s v="APT00658"/>
    <d v="2025-11-17T00:00:00"/>
    <x v="95"/>
    <x v="4"/>
    <s v="New"/>
    <s v="Routine"/>
    <x v="0"/>
    <s v="Orthopaedics B"/>
    <s v="Central Outpatients"/>
    <n v="30"/>
    <n v="33"/>
    <x v="1"/>
  </r>
  <r>
    <s v="APT00659"/>
    <d v="2025-04-27T00:00:00"/>
    <x v="269"/>
    <x v="0"/>
    <s v="Follow-up"/>
    <s v="Urgent"/>
    <x v="0"/>
    <s v="Dermatology A"/>
    <s v="Royal South Hospital"/>
    <n v="30"/>
    <n v="23"/>
    <x v="0"/>
  </r>
  <r>
    <s v="APT00660"/>
    <d v="2025-07-14T00:00:00"/>
    <x v="138"/>
    <x v="3"/>
    <s v="New"/>
    <s v="Urgent"/>
    <x v="0"/>
    <s v="Neurology A"/>
    <s v="Royal South Hospital"/>
    <n v="30"/>
    <n v="8"/>
    <x v="2"/>
  </r>
  <r>
    <s v="APT00661"/>
    <d v="2025-06-04T00:00:00"/>
    <x v="47"/>
    <x v="0"/>
    <s v="Follow-up"/>
    <s v="Routine"/>
    <x v="0"/>
    <s v="Dermatology A"/>
    <s v="Royal South Hospital"/>
    <n v="15"/>
    <n v="36"/>
    <x v="1"/>
  </r>
  <r>
    <s v="APT00662"/>
    <d v="2025-12-24T00:00:00"/>
    <x v="302"/>
    <x v="1"/>
    <s v="Follow-up"/>
    <s v="Routine"/>
    <x v="0"/>
    <s v="Cardiology A"/>
    <s v="Royal South Hospital"/>
    <n v="15"/>
    <n v="21"/>
    <x v="0"/>
  </r>
  <r>
    <s v="APT00663"/>
    <d v="2025-04-13T00:00:00"/>
    <x v="186"/>
    <x v="4"/>
    <s v="New"/>
    <s v="Routine"/>
    <x v="0"/>
    <s v="Orthopaedics B"/>
    <s v="Central Outpatients"/>
    <n v="30"/>
    <n v="36"/>
    <x v="1"/>
  </r>
  <r>
    <s v="APT00664"/>
    <d v="2025-06-13T00:00:00"/>
    <x v="190"/>
    <x v="2"/>
    <s v="Follow-up"/>
    <s v="Routine"/>
    <x v="2"/>
    <s v="Gastro A"/>
    <s v="Riverside Clinic"/>
    <n v="30"/>
    <n v="20"/>
    <x v="0"/>
  </r>
  <r>
    <s v="APT00665"/>
    <d v="2025-11-04T00:00:00"/>
    <x v="303"/>
    <x v="2"/>
    <s v="New"/>
    <s v="Routine"/>
    <x v="0"/>
    <s v="Gastro A"/>
    <s v="Royal South Hospital"/>
    <n v="30"/>
    <n v="15"/>
    <x v="0"/>
  </r>
  <r>
    <s v="APT00666"/>
    <d v="2025-12-09T00:00:00"/>
    <x v="150"/>
    <x v="2"/>
    <s v="Follow-up"/>
    <s v="Routine"/>
    <x v="0"/>
    <s v="Gastro B"/>
    <s v="Royal South Hospital"/>
    <n v="15"/>
    <n v="39"/>
    <x v="1"/>
  </r>
  <r>
    <s v="APT00667"/>
    <d v="2025-10-01T00:00:00"/>
    <x v="300"/>
    <x v="2"/>
    <s v="Follow-up"/>
    <s v="Routine"/>
    <x v="0"/>
    <s v="Gastro A"/>
    <s v="Royal South Hospital"/>
    <n v="15"/>
    <n v="37"/>
    <x v="1"/>
  </r>
  <r>
    <s v="APT00668"/>
    <d v="2026-02-08T00:00:00"/>
    <x v="291"/>
    <x v="0"/>
    <s v="New"/>
    <s v="Routine"/>
    <x v="0"/>
    <s v="Dermatology B"/>
    <s v="Riverside Clinic"/>
    <n v="30"/>
    <n v="45"/>
    <x v="3"/>
  </r>
  <r>
    <s v="APT00669"/>
    <d v="2026-03-01T00:00:00"/>
    <x v="55"/>
    <x v="4"/>
    <s v="Follow-up"/>
    <s v="Routine"/>
    <x v="2"/>
    <s v="Orthopaedics A"/>
    <s v="Riverside Clinic"/>
    <n v="15"/>
    <n v="74"/>
    <x v="4"/>
  </r>
  <r>
    <s v="APT00670"/>
    <d v="2025-05-19T00:00:00"/>
    <x v="80"/>
    <x v="3"/>
    <s v="Follow-up"/>
    <s v="Routine"/>
    <x v="2"/>
    <s v="Neurology A"/>
    <s v="Royal South Hospital"/>
    <n v="15"/>
    <n v="39"/>
    <x v="1"/>
  </r>
  <r>
    <s v="APT00671"/>
    <d v="2026-03-13T00:00:00"/>
    <x v="157"/>
    <x v="3"/>
    <s v="Follow-up"/>
    <s v="Routine"/>
    <x v="0"/>
    <s v="Neurology A"/>
    <s v="Royal South Hospital"/>
    <n v="15"/>
    <n v="43"/>
    <x v="3"/>
  </r>
  <r>
    <s v="APT00672"/>
    <d v="2025-11-10T00:00:00"/>
    <x v="20"/>
    <x v="2"/>
    <s v="Follow-up"/>
    <s v="Routine"/>
    <x v="2"/>
    <s v="Gastro A"/>
    <s v="Central Outpatients"/>
    <n v="15"/>
    <n v="15"/>
    <x v="0"/>
  </r>
  <r>
    <s v="APT00673"/>
    <d v="2025-11-18T00:00:00"/>
    <x v="202"/>
    <x v="0"/>
    <s v="Follow-up"/>
    <s v="Urgent"/>
    <x v="0"/>
    <s v="Dermatology B"/>
    <s v="Central Outpatients"/>
    <n v="15"/>
    <n v="11"/>
    <x v="2"/>
  </r>
  <r>
    <s v="APT00674"/>
    <d v="2025-05-05T00:00:00"/>
    <x v="233"/>
    <x v="1"/>
    <s v="New"/>
    <s v="Routine"/>
    <x v="2"/>
    <s v="Cardiology A"/>
    <s v="Riverside Clinic"/>
    <n v="45"/>
    <n v="63"/>
    <x v="4"/>
  </r>
  <r>
    <s v="APT00675"/>
    <d v="2025-11-13T00:00:00"/>
    <x v="38"/>
    <x v="0"/>
    <s v="Follow-up"/>
    <s v="Routine"/>
    <x v="1"/>
    <s v="Dermatology B"/>
    <s v="Royal South Hospital"/>
    <n v="15"/>
    <n v="18"/>
    <x v="0"/>
  </r>
  <r>
    <s v="APT00676"/>
    <d v="2025-12-21T00:00:00"/>
    <x v="223"/>
    <x v="1"/>
    <s v="Follow-up"/>
    <s v="Urgent"/>
    <x v="0"/>
    <s v="Cardiology B"/>
    <s v="Central Outpatients"/>
    <n v="30"/>
    <n v="16"/>
    <x v="0"/>
  </r>
  <r>
    <s v="APT00677"/>
    <d v="2025-10-29T00:00:00"/>
    <x v="106"/>
    <x v="3"/>
    <s v="New"/>
    <s v="Urgent"/>
    <x v="0"/>
    <s v="Neurology A"/>
    <s v="Riverside Clinic"/>
    <n v="45"/>
    <n v="34"/>
    <x v="1"/>
  </r>
  <r>
    <s v="APT00678"/>
    <d v="2025-05-01T00:00:00"/>
    <x v="170"/>
    <x v="4"/>
    <s v="New"/>
    <s v="Routine"/>
    <x v="1"/>
    <s v="Orthopaedics B"/>
    <s v="Central Outpatients"/>
    <n v="45"/>
    <n v="33"/>
    <x v="1"/>
  </r>
  <r>
    <s v="APT00679"/>
    <d v="2025-10-08T00:00:00"/>
    <x v="184"/>
    <x v="0"/>
    <s v="New"/>
    <s v="Routine"/>
    <x v="0"/>
    <s v="Dermatology A"/>
    <s v="Royal South Hospital"/>
    <n v="30"/>
    <n v="18"/>
    <x v="0"/>
  </r>
  <r>
    <s v="APT00680"/>
    <d v="2026-03-07T00:00:00"/>
    <x v="132"/>
    <x v="0"/>
    <s v="New"/>
    <s v="Routine"/>
    <x v="0"/>
    <s v="Dermatology A"/>
    <s v="Royal South Hospital"/>
    <n v="30"/>
    <n v="29"/>
    <x v="1"/>
  </r>
  <r>
    <s v="APT00681"/>
    <d v="2025-12-20T00:00:00"/>
    <x v="236"/>
    <x v="3"/>
    <s v="New"/>
    <s v="Routine"/>
    <x v="0"/>
    <s v="Neurology A"/>
    <s v="Royal South Hospital"/>
    <n v="30"/>
    <n v="57"/>
    <x v="4"/>
  </r>
  <r>
    <s v="APT00682"/>
    <d v="2025-05-21T00:00:00"/>
    <x v="92"/>
    <x v="1"/>
    <s v="New"/>
    <s v="Routine"/>
    <x v="0"/>
    <s v="Cardiology B"/>
    <s v="Central Outpatients"/>
    <n v="30"/>
    <n v="20"/>
    <x v="0"/>
  </r>
  <r>
    <s v="APT00683"/>
    <d v="2026-03-16T00:00:00"/>
    <x v="291"/>
    <x v="4"/>
    <s v="Follow-up"/>
    <s v="Routine"/>
    <x v="0"/>
    <s v="Orthopaedics B"/>
    <s v="Riverside Clinic"/>
    <n v="15"/>
    <n v="9"/>
    <x v="2"/>
  </r>
  <r>
    <s v="APT00684"/>
    <d v="2026-03-16T00:00:00"/>
    <x v="113"/>
    <x v="0"/>
    <s v="New"/>
    <s v="Routine"/>
    <x v="0"/>
    <s v="Dermatology B"/>
    <s v="Royal South Hospital"/>
    <n v="30"/>
    <n v="51"/>
    <x v="3"/>
  </r>
  <r>
    <s v="APT00685"/>
    <d v="2025-06-01T00:00:00"/>
    <x v="110"/>
    <x v="1"/>
    <s v="New"/>
    <s v="Routine"/>
    <x v="0"/>
    <s v="Cardiology A"/>
    <s v="Central Outpatients"/>
    <n v="30"/>
    <n v="43"/>
    <x v="3"/>
  </r>
  <r>
    <s v="APT00686"/>
    <d v="2026-01-17T00:00:00"/>
    <x v="185"/>
    <x v="1"/>
    <s v="Follow-up"/>
    <s v="Routine"/>
    <x v="0"/>
    <s v="Cardiology B"/>
    <s v="Central Outpatients"/>
    <n v="15"/>
    <n v="23"/>
    <x v="0"/>
  </r>
  <r>
    <s v="APT00687"/>
    <d v="2025-08-27T00:00:00"/>
    <x v="175"/>
    <x v="4"/>
    <s v="New"/>
    <s v="Routine"/>
    <x v="0"/>
    <s v="Orthopaedics B"/>
    <s v="Royal South Hospital"/>
    <n v="30"/>
    <n v="6"/>
    <x v="2"/>
  </r>
  <r>
    <s v="APT00688"/>
    <d v="2025-11-03T00:00:00"/>
    <x v="71"/>
    <x v="0"/>
    <s v="Follow-up"/>
    <s v="Routine"/>
    <x v="0"/>
    <s v="Dermatology B"/>
    <s v="Riverside Clinic"/>
    <n v="15"/>
    <n v="21"/>
    <x v="0"/>
  </r>
  <r>
    <s v="APT00689"/>
    <d v="2025-09-10T00:00:00"/>
    <x v="108"/>
    <x v="3"/>
    <s v="Follow-up"/>
    <s v="Routine"/>
    <x v="0"/>
    <s v="Neurology A"/>
    <s v="Riverside Clinic"/>
    <n v="15"/>
    <n v="34"/>
    <x v="1"/>
  </r>
  <r>
    <s v="APT00690"/>
    <d v="2026-01-10T00:00:00"/>
    <x v="250"/>
    <x v="1"/>
    <s v="Follow-up"/>
    <s v="Routine"/>
    <x v="0"/>
    <s v="Cardiology A"/>
    <s v="Royal South Hospital"/>
    <n v="15"/>
    <n v="55"/>
    <x v="3"/>
  </r>
  <r>
    <s v="APT00691"/>
    <d v="2026-03-29T00:00:00"/>
    <x v="275"/>
    <x v="1"/>
    <s v="Follow-up"/>
    <s v="Routine"/>
    <x v="0"/>
    <s v="Cardiology B"/>
    <s v="Riverside Clinic"/>
    <n v="15"/>
    <n v="16"/>
    <x v="0"/>
  </r>
  <r>
    <s v="APT00692"/>
    <d v="2026-01-15T00:00:00"/>
    <x v="224"/>
    <x v="4"/>
    <s v="New"/>
    <s v="Routine"/>
    <x v="0"/>
    <s v="Orthopaedics B"/>
    <s v="Royal South Hospital"/>
    <n v="30"/>
    <n v="33"/>
    <x v="1"/>
  </r>
  <r>
    <s v="APT00693"/>
    <d v="2026-03-06T00:00:00"/>
    <x v="11"/>
    <x v="1"/>
    <s v="New"/>
    <s v="Routine"/>
    <x v="0"/>
    <s v="Cardiology A"/>
    <s v="Central Outpatients"/>
    <n v="30"/>
    <n v="47"/>
    <x v="3"/>
  </r>
  <r>
    <s v="APT00694"/>
    <d v="2026-03-11T00:00:00"/>
    <x v="83"/>
    <x v="1"/>
    <s v="Follow-up"/>
    <s v="Routine"/>
    <x v="0"/>
    <s v="Cardiology B"/>
    <s v="Central Outpatients"/>
    <n v="15"/>
    <n v="2"/>
    <x v="2"/>
  </r>
  <r>
    <s v="APT00695"/>
    <d v="2025-05-03T00:00:00"/>
    <x v="124"/>
    <x v="2"/>
    <s v="Follow-up"/>
    <s v="Urgent"/>
    <x v="0"/>
    <s v="Gastro A"/>
    <s v="Central Outpatients"/>
    <n v="30"/>
    <n v="53"/>
    <x v="3"/>
  </r>
  <r>
    <s v="APT00696"/>
    <d v="2025-07-02T00:00:00"/>
    <x v="259"/>
    <x v="4"/>
    <s v="Follow-up"/>
    <s v="Routine"/>
    <x v="1"/>
    <s v="Orthopaedics B"/>
    <s v="Riverside Clinic"/>
    <n v="30"/>
    <n v="13"/>
    <x v="2"/>
  </r>
  <r>
    <s v="APT00697"/>
    <d v="2025-12-19T00:00:00"/>
    <x v="60"/>
    <x v="0"/>
    <s v="Follow-up"/>
    <s v="Routine"/>
    <x v="0"/>
    <s v="Dermatology B"/>
    <s v="Royal South Hospital"/>
    <n v="30"/>
    <n v="40"/>
    <x v="1"/>
  </r>
  <r>
    <s v="APT00698"/>
    <d v="2025-11-01T00:00:00"/>
    <x v="257"/>
    <x v="1"/>
    <s v="New"/>
    <s v="Routine"/>
    <x v="2"/>
    <s v="Cardiology B"/>
    <s v="Royal South Hospital"/>
    <n v="45"/>
    <n v="39"/>
    <x v="1"/>
  </r>
  <r>
    <s v="APT00699"/>
    <d v="2025-04-19T00:00:00"/>
    <x v="248"/>
    <x v="4"/>
    <s v="Follow-up"/>
    <s v="Routine"/>
    <x v="0"/>
    <s v="Orthopaedics A"/>
    <s v="Riverside Clinic"/>
    <n v="15"/>
    <n v="54"/>
    <x v="3"/>
  </r>
  <r>
    <s v="APT00700"/>
    <d v="2025-05-05T00:00:00"/>
    <x v="176"/>
    <x v="3"/>
    <s v="Follow-up"/>
    <s v="Routine"/>
    <x v="0"/>
    <s v="Neurology A"/>
    <s v="Royal South Hospital"/>
    <n v="15"/>
    <n v="44"/>
    <x v="3"/>
  </r>
  <r>
    <s v="APT00701"/>
    <d v="2025-10-07T00:00:00"/>
    <x v="294"/>
    <x v="4"/>
    <s v="Follow-up"/>
    <s v="Routine"/>
    <x v="0"/>
    <s v="Orthopaedics B"/>
    <s v="Riverside Clinic"/>
    <n v="15"/>
    <n v="2"/>
    <x v="2"/>
  </r>
  <r>
    <s v="APT00702"/>
    <d v="2025-11-11T00:00:00"/>
    <x v="38"/>
    <x v="4"/>
    <s v="New"/>
    <s v="Urgent"/>
    <x v="0"/>
    <s v="Orthopaedics B"/>
    <s v="Royal South Hospital"/>
    <n v="45"/>
    <n v="20"/>
    <x v="0"/>
  </r>
  <r>
    <s v="APT00703"/>
    <d v="2025-06-01T00:00:00"/>
    <x v="304"/>
    <x v="3"/>
    <s v="Follow-up"/>
    <s v="Routine"/>
    <x v="0"/>
    <s v="Neurology A"/>
    <s v="Royal South Hospital"/>
    <n v="15"/>
    <n v="37"/>
    <x v="1"/>
  </r>
  <r>
    <s v="APT00704"/>
    <d v="2025-06-02T00:00:00"/>
    <x v="190"/>
    <x v="0"/>
    <s v="New"/>
    <s v="Routine"/>
    <x v="1"/>
    <s v="Dermatology B"/>
    <s v="Riverside Clinic"/>
    <n v="30"/>
    <n v="31"/>
    <x v="1"/>
  </r>
  <r>
    <s v="APT00705"/>
    <d v="2025-05-18T00:00:00"/>
    <x v="160"/>
    <x v="0"/>
    <s v="Follow-up"/>
    <s v="Routine"/>
    <x v="1"/>
    <s v="Dermatology B"/>
    <s v="Riverside Clinic"/>
    <n v="15"/>
    <n v="43"/>
    <x v="3"/>
  </r>
  <r>
    <s v="APT00706"/>
    <d v="2025-10-23T00:00:00"/>
    <x v="169"/>
    <x v="3"/>
    <s v="New"/>
    <s v="Routine"/>
    <x v="0"/>
    <s v="Neurology A"/>
    <s v="Riverside Clinic"/>
    <n v="45"/>
    <n v="49"/>
    <x v="3"/>
  </r>
  <r>
    <s v="APT00707"/>
    <d v="2025-04-03T00:00:00"/>
    <x v="305"/>
    <x v="3"/>
    <s v="Follow-up"/>
    <s v="Routine"/>
    <x v="2"/>
    <s v="Neurology B"/>
    <s v="Riverside Clinic"/>
    <n v="15"/>
    <n v="45"/>
    <x v="3"/>
  </r>
  <r>
    <s v="APT00708"/>
    <d v="2025-10-26T00:00:00"/>
    <x v="25"/>
    <x v="4"/>
    <s v="New"/>
    <s v="Routine"/>
    <x v="0"/>
    <s v="Orthopaedics B"/>
    <s v="Royal South Hospital"/>
    <n v="30"/>
    <n v="31"/>
    <x v="1"/>
  </r>
  <r>
    <s v="APT00709"/>
    <d v="2025-09-21T00:00:00"/>
    <x v="4"/>
    <x v="2"/>
    <s v="Follow-up"/>
    <s v="Routine"/>
    <x v="0"/>
    <s v="Gastro A"/>
    <s v="Riverside Clinic"/>
    <n v="30"/>
    <n v="2"/>
    <x v="2"/>
  </r>
  <r>
    <s v="APT00710"/>
    <d v="2025-09-17T00:00:00"/>
    <x v="268"/>
    <x v="0"/>
    <s v="Follow-up"/>
    <s v="Routine"/>
    <x v="1"/>
    <s v="Dermatology A"/>
    <s v="Riverside Clinic"/>
    <n v="30"/>
    <n v="26"/>
    <x v="0"/>
  </r>
  <r>
    <s v="APT00711"/>
    <d v="2025-12-04T00:00:00"/>
    <x v="63"/>
    <x v="2"/>
    <s v="New"/>
    <s v="Urgent"/>
    <x v="0"/>
    <s v="Gastro B"/>
    <s v="Riverside Clinic"/>
    <n v="30"/>
    <n v="42"/>
    <x v="1"/>
  </r>
  <r>
    <s v="APT00712"/>
    <d v="2025-10-08T00:00:00"/>
    <x v="48"/>
    <x v="3"/>
    <s v="Follow-up"/>
    <s v="Routine"/>
    <x v="0"/>
    <s v="Neurology B"/>
    <s v="Royal South Hospital"/>
    <n v="30"/>
    <n v="15"/>
    <x v="0"/>
  </r>
  <r>
    <s v="APT00713"/>
    <d v="2025-12-21T00:00:00"/>
    <x v="51"/>
    <x v="2"/>
    <s v="Follow-up"/>
    <s v="Urgent"/>
    <x v="0"/>
    <s v="Gastro A"/>
    <s v="Riverside Clinic"/>
    <n v="30"/>
    <n v="46"/>
    <x v="3"/>
  </r>
  <r>
    <s v="APT00714"/>
    <d v="2026-01-04T00:00:00"/>
    <x v="230"/>
    <x v="4"/>
    <s v="Follow-up"/>
    <s v="Routine"/>
    <x v="0"/>
    <s v="Orthopaedics A"/>
    <s v="Royal South Hospital"/>
    <n v="30"/>
    <n v="51"/>
    <x v="3"/>
  </r>
  <r>
    <s v="APT00715"/>
    <d v="2026-03-01T00:00:00"/>
    <x v="109"/>
    <x v="2"/>
    <s v="New"/>
    <s v="Urgent"/>
    <x v="0"/>
    <s v="Gastro B"/>
    <s v="Riverside Clinic"/>
    <n v="30"/>
    <n v="37"/>
    <x v="1"/>
  </r>
  <r>
    <s v="APT00716"/>
    <d v="2026-01-16T00:00:00"/>
    <x v="177"/>
    <x v="1"/>
    <s v="Follow-up"/>
    <s v="Routine"/>
    <x v="0"/>
    <s v="Cardiology A"/>
    <s v="Royal South Hospital"/>
    <n v="15"/>
    <n v="2"/>
    <x v="2"/>
  </r>
  <r>
    <s v="APT00717"/>
    <d v="2025-10-06T00:00:00"/>
    <x v="285"/>
    <x v="2"/>
    <s v="Follow-up"/>
    <s v="Routine"/>
    <x v="0"/>
    <s v="Gastro A"/>
    <s v="Central Outpatients"/>
    <n v="30"/>
    <n v="11"/>
    <x v="2"/>
  </r>
  <r>
    <s v="APT00718"/>
    <d v="2025-09-27T00:00:00"/>
    <x v="306"/>
    <x v="3"/>
    <s v="Follow-up"/>
    <s v="Routine"/>
    <x v="0"/>
    <s v="Neurology B"/>
    <s v="Central Outpatients"/>
    <n v="15"/>
    <n v="68"/>
    <x v="4"/>
  </r>
  <r>
    <s v="APT00719"/>
    <d v="2025-06-25T00:00:00"/>
    <x v="22"/>
    <x v="4"/>
    <s v="Follow-up"/>
    <s v="Routine"/>
    <x v="2"/>
    <s v="Orthopaedics B"/>
    <s v="Riverside Clinic"/>
    <n v="30"/>
    <n v="25"/>
    <x v="0"/>
  </r>
  <r>
    <s v="APT00720"/>
    <d v="2025-11-05T00:00:00"/>
    <x v="300"/>
    <x v="2"/>
    <s v="Follow-up"/>
    <s v="Routine"/>
    <x v="0"/>
    <s v="Gastro B"/>
    <s v="Central Outpatients"/>
    <n v="30"/>
    <n v="2"/>
    <x v="2"/>
  </r>
  <r>
    <s v="APT00721"/>
    <d v="2025-05-21T00:00:00"/>
    <x v="174"/>
    <x v="2"/>
    <s v="New"/>
    <s v="Routine"/>
    <x v="0"/>
    <s v="Gastro A"/>
    <s v="Riverside Clinic"/>
    <n v="45"/>
    <n v="57"/>
    <x v="4"/>
  </r>
  <r>
    <s v="APT00722"/>
    <d v="2026-03-05T00:00:00"/>
    <x v="307"/>
    <x v="2"/>
    <s v="New"/>
    <s v="Routine"/>
    <x v="0"/>
    <s v="Gastro B"/>
    <s v="Royal South Hospital"/>
    <n v="30"/>
    <n v="35"/>
    <x v="1"/>
  </r>
  <r>
    <s v="APT00723"/>
    <d v="2026-02-02T00:00:00"/>
    <x v="216"/>
    <x v="2"/>
    <s v="New"/>
    <s v="Routine"/>
    <x v="0"/>
    <s v="Gastro B"/>
    <s v="Riverside Clinic"/>
    <n v="30"/>
    <n v="54"/>
    <x v="3"/>
  </r>
  <r>
    <s v="APT00724"/>
    <d v="2025-05-14T00:00:00"/>
    <x v="244"/>
    <x v="1"/>
    <s v="New"/>
    <s v="Routine"/>
    <x v="0"/>
    <s v="Cardiology B"/>
    <s v="Central Outpatients"/>
    <n v="30"/>
    <n v="39"/>
    <x v="1"/>
  </r>
  <r>
    <s v="APT00725"/>
    <d v="2026-01-12T00:00:00"/>
    <x v="230"/>
    <x v="4"/>
    <s v="New"/>
    <s v="Routine"/>
    <x v="0"/>
    <s v="Orthopaedics B"/>
    <s v="Royal South Hospital"/>
    <n v="30"/>
    <n v="43"/>
    <x v="3"/>
  </r>
  <r>
    <s v="APT00726"/>
    <d v="2025-05-13T00:00:00"/>
    <x v="225"/>
    <x v="4"/>
    <s v="New"/>
    <s v="Urgent"/>
    <x v="0"/>
    <s v="Orthopaedics A"/>
    <s v="Royal South Hospital"/>
    <n v="30"/>
    <n v="41"/>
    <x v="1"/>
  </r>
  <r>
    <s v="APT00727"/>
    <d v="2025-12-19T00:00:00"/>
    <x v="161"/>
    <x v="2"/>
    <s v="Follow-up"/>
    <s v="Routine"/>
    <x v="0"/>
    <s v="Gastro B"/>
    <s v="Riverside Clinic"/>
    <n v="30"/>
    <n v="47"/>
    <x v="3"/>
  </r>
  <r>
    <s v="APT00728"/>
    <d v="2025-05-02T00:00:00"/>
    <x v="178"/>
    <x v="2"/>
    <s v="Follow-up"/>
    <s v="Routine"/>
    <x v="0"/>
    <s v="Gastro B"/>
    <s v="Royal South Hospital"/>
    <n v="30"/>
    <n v="75"/>
    <x v="4"/>
  </r>
  <r>
    <s v="APT00729"/>
    <d v="2025-09-25T00:00:00"/>
    <x v="308"/>
    <x v="1"/>
    <s v="New"/>
    <s v="Routine"/>
    <x v="0"/>
    <s v="Cardiology B"/>
    <s v="Riverside Clinic"/>
    <n v="30"/>
    <n v="52"/>
    <x v="3"/>
  </r>
  <r>
    <s v="APT00730"/>
    <d v="2025-11-26T00:00:00"/>
    <x v="106"/>
    <x v="2"/>
    <s v="Follow-up"/>
    <s v="Urgent"/>
    <x v="1"/>
    <s v="Gastro B"/>
    <s v="Riverside Clinic"/>
    <n v="15"/>
    <n v="6"/>
    <x v="2"/>
  </r>
  <r>
    <s v="APT00731"/>
    <d v="2025-12-22T00:00:00"/>
    <x v="12"/>
    <x v="2"/>
    <s v="Follow-up"/>
    <s v="Routine"/>
    <x v="0"/>
    <s v="Gastro A"/>
    <s v="Central Outpatients"/>
    <n v="15"/>
    <n v="43"/>
    <x v="3"/>
  </r>
  <r>
    <s v="APT00732"/>
    <d v="2025-08-31T00:00:00"/>
    <x v="102"/>
    <x v="3"/>
    <s v="Follow-up"/>
    <s v="Routine"/>
    <x v="0"/>
    <s v="Neurology A"/>
    <s v="Royal South Hospital"/>
    <n v="15"/>
    <n v="55"/>
    <x v="3"/>
  </r>
  <r>
    <s v="APT00733"/>
    <d v="2026-03-02T00:00:00"/>
    <x v="309"/>
    <x v="1"/>
    <s v="Follow-up"/>
    <s v="Urgent"/>
    <x v="0"/>
    <s v="Cardiology B"/>
    <s v="Royal South Hospital"/>
    <n v="15"/>
    <n v="56"/>
    <x v="3"/>
  </r>
  <r>
    <s v="APT00734"/>
    <d v="2026-01-07T00:00:00"/>
    <x v="12"/>
    <x v="3"/>
    <s v="Follow-up"/>
    <s v="Routine"/>
    <x v="0"/>
    <s v="Neurology B"/>
    <s v="Central Outpatients"/>
    <n v="15"/>
    <n v="27"/>
    <x v="0"/>
  </r>
  <r>
    <s v="APT00735"/>
    <d v="2025-06-15T00:00:00"/>
    <x v="228"/>
    <x v="0"/>
    <s v="Follow-up"/>
    <s v="Urgent"/>
    <x v="0"/>
    <s v="Dermatology A"/>
    <s v="Royal South Hospital"/>
    <n v="30"/>
    <n v="55"/>
    <x v="3"/>
  </r>
  <r>
    <s v="APT00736"/>
    <d v="2025-12-01T00:00:00"/>
    <x v="118"/>
    <x v="3"/>
    <s v="Follow-up"/>
    <s v="Routine"/>
    <x v="0"/>
    <s v="Neurology A"/>
    <s v="Riverside Clinic"/>
    <n v="30"/>
    <n v="51"/>
    <x v="3"/>
  </r>
  <r>
    <s v="APT00737"/>
    <d v="2025-12-22T00:00:00"/>
    <x v="83"/>
    <x v="3"/>
    <s v="Follow-up"/>
    <s v="Routine"/>
    <x v="0"/>
    <s v="Neurology A"/>
    <s v="Royal South Hospital"/>
    <n v="15"/>
    <n v="81"/>
    <x v="4"/>
  </r>
  <r>
    <s v="APT00738"/>
    <d v="2025-07-31T00:00:00"/>
    <x v="198"/>
    <x v="0"/>
    <s v="New"/>
    <s v="Routine"/>
    <x v="0"/>
    <s v="Dermatology A"/>
    <s v="Royal South Hospital"/>
    <n v="45"/>
    <n v="21"/>
    <x v="0"/>
  </r>
  <r>
    <s v="APT00739"/>
    <d v="2025-12-25T00:00:00"/>
    <x v="310"/>
    <x v="2"/>
    <s v="Follow-up"/>
    <s v="Urgent"/>
    <x v="0"/>
    <s v="Gastro B"/>
    <s v="Royal South Hospital"/>
    <n v="15"/>
    <n v="25"/>
    <x v="0"/>
  </r>
  <r>
    <s v="APT00740"/>
    <d v="2026-02-22T00:00:00"/>
    <x v="76"/>
    <x v="4"/>
    <s v="Follow-up"/>
    <s v="Urgent"/>
    <x v="0"/>
    <s v="Orthopaedics B"/>
    <s v="Royal South Hospital"/>
    <n v="15"/>
    <n v="29"/>
    <x v="1"/>
  </r>
  <r>
    <s v="APT00741"/>
    <d v="2026-01-23T00:00:00"/>
    <x v="84"/>
    <x v="3"/>
    <s v="Follow-up"/>
    <s v="Routine"/>
    <x v="0"/>
    <s v="Neurology A"/>
    <s v="Riverside Clinic"/>
    <n v="30"/>
    <n v="26"/>
    <x v="0"/>
  </r>
  <r>
    <s v="APT00742"/>
    <d v="2026-01-03T00:00:00"/>
    <x v="118"/>
    <x v="1"/>
    <s v="Follow-up"/>
    <s v="Routine"/>
    <x v="0"/>
    <s v="Cardiology B"/>
    <s v="Riverside Clinic"/>
    <n v="15"/>
    <n v="18"/>
    <x v="0"/>
  </r>
  <r>
    <s v="APT00743"/>
    <d v="2025-11-17T00:00:00"/>
    <x v="303"/>
    <x v="2"/>
    <s v="New"/>
    <s v="Routine"/>
    <x v="0"/>
    <s v="Gastro B"/>
    <s v="Central Outpatients"/>
    <n v="30"/>
    <n v="2"/>
    <x v="2"/>
  </r>
  <r>
    <s v="APT00744"/>
    <d v="2025-07-08T00:00:00"/>
    <x v="311"/>
    <x v="0"/>
    <s v="New"/>
    <s v="Routine"/>
    <x v="0"/>
    <s v="Dermatology B"/>
    <s v="Central Outpatients"/>
    <n v="45"/>
    <n v="27"/>
    <x v="0"/>
  </r>
  <r>
    <s v="APT00745"/>
    <d v="2026-01-15T00:00:00"/>
    <x v="40"/>
    <x v="3"/>
    <s v="Follow-up"/>
    <s v="Routine"/>
    <x v="0"/>
    <s v="Neurology B"/>
    <s v="Royal South Hospital"/>
    <n v="15"/>
    <n v="41"/>
    <x v="1"/>
  </r>
  <r>
    <s v="APT00746"/>
    <d v="2025-08-11T00:00:00"/>
    <x v="215"/>
    <x v="3"/>
    <s v="Follow-up"/>
    <s v="Routine"/>
    <x v="0"/>
    <s v="Neurology B"/>
    <s v="Royal South Hospital"/>
    <n v="15"/>
    <n v="26"/>
    <x v="0"/>
  </r>
  <r>
    <s v="APT00747"/>
    <d v="2025-10-11T00:00:00"/>
    <x v="312"/>
    <x v="1"/>
    <s v="Follow-up"/>
    <s v="Routine"/>
    <x v="0"/>
    <s v="Cardiology B"/>
    <s v="Central Outpatients"/>
    <n v="15"/>
    <n v="69"/>
    <x v="4"/>
  </r>
  <r>
    <s v="APT00748"/>
    <d v="2025-07-24T00:00:00"/>
    <x v="313"/>
    <x v="3"/>
    <s v="Follow-up"/>
    <s v="Routine"/>
    <x v="0"/>
    <s v="Neurology A"/>
    <s v="Royal South Hospital"/>
    <n v="15"/>
    <n v="35"/>
    <x v="1"/>
  </r>
  <r>
    <s v="APT00749"/>
    <d v="2025-07-23T00:00:00"/>
    <x v="121"/>
    <x v="3"/>
    <s v="Follow-up"/>
    <s v="Urgent"/>
    <x v="0"/>
    <s v="Neurology A"/>
    <s v="Royal South Hospital"/>
    <n v="15"/>
    <n v="58"/>
    <x v="4"/>
  </r>
  <r>
    <s v="APT00750"/>
    <d v="2025-05-28T00:00:00"/>
    <x v="314"/>
    <x v="4"/>
    <s v="Follow-up"/>
    <s v="Routine"/>
    <x v="0"/>
    <s v="Orthopaedics B"/>
    <s v="Royal South Hospital"/>
    <n v="15"/>
    <n v="39"/>
    <x v="1"/>
  </r>
  <r>
    <s v="APT00751"/>
    <d v="2026-03-16T00:00:00"/>
    <x v="315"/>
    <x v="1"/>
    <s v="New"/>
    <s v="Routine"/>
    <x v="0"/>
    <s v="Cardiology B"/>
    <s v="Riverside Clinic"/>
    <n v="45"/>
    <n v="49"/>
    <x v="3"/>
  </r>
  <r>
    <s v="APT00752"/>
    <d v="2025-05-24T00:00:00"/>
    <x v="190"/>
    <x v="0"/>
    <s v="Follow-up"/>
    <s v="Routine"/>
    <x v="0"/>
    <s v="Dermatology A"/>
    <s v="Royal South Hospital"/>
    <n v="15"/>
    <n v="40"/>
    <x v="1"/>
  </r>
  <r>
    <s v="APT00753"/>
    <d v="2025-05-02T00:00:00"/>
    <x v="160"/>
    <x v="2"/>
    <s v="New"/>
    <s v="Routine"/>
    <x v="0"/>
    <s v="Gastro B"/>
    <s v="Royal South Hospital"/>
    <n v="30"/>
    <n v="59"/>
    <x v="4"/>
  </r>
  <r>
    <s v="APT00754"/>
    <d v="2026-03-07T00:00:00"/>
    <x v="192"/>
    <x v="1"/>
    <s v="Follow-up"/>
    <s v="Routine"/>
    <x v="2"/>
    <s v="Cardiology A"/>
    <s v="Riverside Clinic"/>
    <n v="30"/>
    <n v="36"/>
    <x v="1"/>
  </r>
  <r>
    <s v="APT00755"/>
    <d v="2025-10-20T00:00:00"/>
    <x v="106"/>
    <x v="2"/>
    <s v="New"/>
    <s v="Routine"/>
    <x v="0"/>
    <s v="Gastro A"/>
    <s v="Riverside Clinic"/>
    <n v="45"/>
    <n v="43"/>
    <x v="3"/>
  </r>
  <r>
    <s v="APT00756"/>
    <d v="2025-09-07T00:00:00"/>
    <x v="316"/>
    <x v="1"/>
    <s v="Follow-up"/>
    <s v="Routine"/>
    <x v="0"/>
    <s v="Cardiology A"/>
    <s v="Royal South Hospital"/>
    <n v="30"/>
    <n v="41"/>
    <x v="1"/>
  </r>
  <r>
    <s v="APT00757"/>
    <d v="2025-12-25T00:00:00"/>
    <x v="277"/>
    <x v="1"/>
    <s v="New"/>
    <s v="Routine"/>
    <x v="0"/>
    <s v="Cardiology A"/>
    <s v="Riverside Clinic"/>
    <n v="45"/>
    <n v="29"/>
    <x v="1"/>
  </r>
  <r>
    <s v="APT00758"/>
    <d v="2025-08-18T00:00:00"/>
    <x v="54"/>
    <x v="3"/>
    <s v="New"/>
    <s v="Urgent"/>
    <x v="2"/>
    <s v="Neurology A"/>
    <s v="Royal South Hospital"/>
    <n v="30"/>
    <n v="42"/>
    <x v="1"/>
  </r>
  <r>
    <s v="APT00759"/>
    <d v="2025-05-17T00:00:00"/>
    <x v="8"/>
    <x v="0"/>
    <s v="Follow-up"/>
    <s v="Routine"/>
    <x v="0"/>
    <s v="Dermatology B"/>
    <s v="Royal South Hospital"/>
    <n v="15"/>
    <n v="75"/>
    <x v="4"/>
  </r>
  <r>
    <s v="APT00760"/>
    <d v="2025-12-22T00:00:00"/>
    <x v="118"/>
    <x v="3"/>
    <s v="Follow-up"/>
    <s v="Routine"/>
    <x v="0"/>
    <s v="Neurology A"/>
    <s v="Royal South Hospital"/>
    <n v="15"/>
    <n v="30"/>
    <x v="1"/>
  </r>
  <r>
    <s v="APT00761"/>
    <d v="2025-06-04T00:00:00"/>
    <x v="178"/>
    <x v="1"/>
    <s v="New"/>
    <s v="Routine"/>
    <x v="0"/>
    <s v="Cardiology B"/>
    <s v="Royal South Hospital"/>
    <n v="45"/>
    <n v="42"/>
    <x v="1"/>
  </r>
  <r>
    <s v="APT00762"/>
    <d v="2025-10-19T00:00:00"/>
    <x v="2"/>
    <x v="2"/>
    <s v="Follow-up"/>
    <s v="Routine"/>
    <x v="0"/>
    <s v="Gastro B"/>
    <s v="Royal South Hospital"/>
    <n v="15"/>
    <n v="57"/>
    <x v="4"/>
  </r>
  <r>
    <s v="APT00763"/>
    <d v="2026-03-12T00:00:00"/>
    <x v="113"/>
    <x v="0"/>
    <s v="New"/>
    <s v="Routine"/>
    <x v="0"/>
    <s v="Dermatology B"/>
    <s v="Central Outpatients"/>
    <n v="45"/>
    <n v="55"/>
    <x v="3"/>
  </r>
  <r>
    <s v="APT00764"/>
    <d v="2026-03-07T00:00:00"/>
    <x v="219"/>
    <x v="4"/>
    <s v="New"/>
    <s v="Routine"/>
    <x v="1"/>
    <s v="Orthopaedics B"/>
    <s v="Royal South Hospital"/>
    <n v="30"/>
    <n v="35"/>
    <x v="1"/>
  </r>
  <r>
    <s v="APT00765"/>
    <d v="2025-08-10T00:00:00"/>
    <x v="87"/>
    <x v="4"/>
    <s v="New"/>
    <s v="Urgent"/>
    <x v="0"/>
    <s v="Orthopaedics A"/>
    <s v="Central Outpatients"/>
    <n v="30"/>
    <n v="2"/>
    <x v="2"/>
  </r>
  <r>
    <s v="APT00766"/>
    <d v="2026-01-10T00:00:00"/>
    <x v="317"/>
    <x v="0"/>
    <s v="Follow-up"/>
    <s v="Routine"/>
    <x v="2"/>
    <s v="Dermatology B"/>
    <s v="Royal South Hospital"/>
    <n v="15"/>
    <n v="44"/>
    <x v="3"/>
  </r>
  <r>
    <s v="APT00767"/>
    <d v="2025-11-10T00:00:00"/>
    <x v="134"/>
    <x v="3"/>
    <s v="Follow-up"/>
    <s v="Routine"/>
    <x v="2"/>
    <s v="Neurology B"/>
    <s v="Royal South Hospital"/>
    <n v="15"/>
    <n v="2"/>
    <x v="2"/>
  </r>
  <r>
    <s v="APT00768"/>
    <d v="2025-09-22T00:00:00"/>
    <x v="318"/>
    <x v="0"/>
    <s v="Follow-up"/>
    <s v="Routine"/>
    <x v="2"/>
    <s v="Dermatology A"/>
    <s v="Riverside Clinic"/>
    <n v="15"/>
    <n v="61"/>
    <x v="4"/>
  </r>
  <r>
    <s v="APT00769"/>
    <d v="2025-05-21T00:00:00"/>
    <x v="61"/>
    <x v="2"/>
    <s v="Follow-up"/>
    <s v="Routine"/>
    <x v="1"/>
    <s v="Gastro B"/>
    <s v="Central Outpatients"/>
    <n v="30"/>
    <n v="38"/>
    <x v="1"/>
  </r>
  <r>
    <s v="APT00770"/>
    <d v="2025-08-15T00:00:00"/>
    <x v="319"/>
    <x v="1"/>
    <s v="Follow-up"/>
    <s v="Routine"/>
    <x v="0"/>
    <s v="Cardiology B"/>
    <s v="Royal South Hospital"/>
    <n v="15"/>
    <n v="52"/>
    <x v="3"/>
  </r>
  <r>
    <s v="APT00771"/>
    <d v="2025-11-24T00:00:00"/>
    <x v="168"/>
    <x v="2"/>
    <s v="Follow-up"/>
    <s v="Routine"/>
    <x v="0"/>
    <s v="Gastro B"/>
    <s v="Royal South Hospital"/>
    <n v="15"/>
    <n v="18"/>
    <x v="0"/>
  </r>
  <r>
    <s v="APT00772"/>
    <d v="2026-03-26T00:00:00"/>
    <x v="320"/>
    <x v="1"/>
    <s v="Follow-up"/>
    <s v="Routine"/>
    <x v="0"/>
    <s v="Cardiology A"/>
    <s v="Riverside Clinic"/>
    <n v="30"/>
    <n v="7"/>
    <x v="2"/>
  </r>
  <r>
    <s v="APT00773"/>
    <d v="2025-04-02T00:00:00"/>
    <x v="9"/>
    <x v="4"/>
    <s v="New"/>
    <s v="Routine"/>
    <x v="0"/>
    <s v="Orthopaedics A"/>
    <s v="Royal South Hospital"/>
    <n v="30"/>
    <n v="39"/>
    <x v="1"/>
  </r>
  <r>
    <s v="APT00774"/>
    <d v="2025-12-18T00:00:00"/>
    <x v="118"/>
    <x v="2"/>
    <s v="New"/>
    <s v="Routine"/>
    <x v="0"/>
    <s v="Gastro B"/>
    <s v="Riverside Clinic"/>
    <n v="45"/>
    <n v="34"/>
    <x v="1"/>
  </r>
  <r>
    <s v="APT00775"/>
    <d v="2026-02-03T00:00:00"/>
    <x v="97"/>
    <x v="2"/>
    <s v="New"/>
    <s v="Routine"/>
    <x v="1"/>
    <s v="Gastro B"/>
    <s v="Central Outpatients"/>
    <n v="30"/>
    <n v="26"/>
    <x v="0"/>
  </r>
  <r>
    <s v="APT00776"/>
    <d v="2026-03-13T00:00:00"/>
    <x v="181"/>
    <x v="0"/>
    <s v="Follow-up"/>
    <s v="Routine"/>
    <x v="0"/>
    <s v="Dermatology B"/>
    <s v="Royal South Hospital"/>
    <n v="15"/>
    <n v="36"/>
    <x v="1"/>
  </r>
  <r>
    <s v="APT00777"/>
    <d v="2025-09-02T00:00:00"/>
    <x v="20"/>
    <x v="0"/>
    <s v="Follow-up"/>
    <s v="Urgent"/>
    <x v="0"/>
    <s v="Dermatology A"/>
    <s v="Central Outpatients"/>
    <n v="15"/>
    <n v="84"/>
    <x v="4"/>
  </r>
  <r>
    <s v="APT00778"/>
    <d v="2025-05-14T00:00:00"/>
    <x v="190"/>
    <x v="1"/>
    <s v="New"/>
    <s v="Routine"/>
    <x v="0"/>
    <s v="Cardiology A"/>
    <s v="Royal South Hospital"/>
    <n v="30"/>
    <n v="50"/>
    <x v="3"/>
  </r>
  <r>
    <s v="APT00779"/>
    <d v="2025-07-08T00:00:00"/>
    <x v="321"/>
    <x v="4"/>
    <s v="Follow-up"/>
    <s v="Routine"/>
    <x v="0"/>
    <s v="Orthopaedics B"/>
    <s v="Central Outpatients"/>
    <n v="30"/>
    <n v="53"/>
    <x v="3"/>
  </r>
  <r>
    <s v="APT00780"/>
    <d v="2026-02-04T00:00:00"/>
    <x v="23"/>
    <x v="4"/>
    <s v="Follow-up"/>
    <s v="Urgent"/>
    <x v="0"/>
    <s v="Orthopaedics B"/>
    <s v="Central Outpatients"/>
    <n v="15"/>
    <n v="50"/>
    <x v="3"/>
  </r>
  <r>
    <s v="APT00781"/>
    <d v="2026-02-14T00:00:00"/>
    <x v="52"/>
    <x v="1"/>
    <s v="New"/>
    <s v="Routine"/>
    <x v="0"/>
    <s v="Cardiology B"/>
    <s v="Riverside Clinic"/>
    <n v="45"/>
    <n v="61"/>
    <x v="4"/>
  </r>
  <r>
    <s v="APT00782"/>
    <d v="2025-11-18T00:00:00"/>
    <x v="312"/>
    <x v="3"/>
    <s v="New"/>
    <s v="Routine"/>
    <x v="0"/>
    <s v="Neurology B"/>
    <s v="Central Outpatients"/>
    <n v="30"/>
    <n v="31"/>
    <x v="1"/>
  </r>
  <r>
    <s v="APT00783"/>
    <d v="2025-05-15T00:00:00"/>
    <x v="164"/>
    <x v="2"/>
    <s v="New"/>
    <s v="Routine"/>
    <x v="0"/>
    <s v="Gastro A"/>
    <s v="Central Outpatients"/>
    <n v="45"/>
    <n v="2"/>
    <x v="2"/>
  </r>
  <r>
    <s v="APT00784"/>
    <d v="2025-05-15T00:00:00"/>
    <x v="322"/>
    <x v="1"/>
    <s v="New"/>
    <s v="Routine"/>
    <x v="2"/>
    <s v="Cardiology A"/>
    <s v="Royal South Hospital"/>
    <n v="30"/>
    <n v="31"/>
    <x v="1"/>
  </r>
  <r>
    <s v="APT00785"/>
    <d v="2025-09-22T00:00:00"/>
    <x v="323"/>
    <x v="2"/>
    <s v="Follow-up"/>
    <s v="Routine"/>
    <x v="0"/>
    <s v="Gastro B"/>
    <s v="Royal South Hospital"/>
    <n v="15"/>
    <n v="49"/>
    <x v="3"/>
  </r>
  <r>
    <s v="APT00786"/>
    <d v="2025-11-01T00:00:00"/>
    <x v="281"/>
    <x v="1"/>
    <s v="Follow-up"/>
    <s v="Routine"/>
    <x v="0"/>
    <s v="Cardiology B"/>
    <s v="Royal South Hospital"/>
    <n v="30"/>
    <n v="17"/>
    <x v="0"/>
  </r>
  <r>
    <s v="APT00787"/>
    <d v="2025-04-12T00:00:00"/>
    <x v="103"/>
    <x v="1"/>
    <s v="New"/>
    <s v="Routine"/>
    <x v="0"/>
    <s v="Cardiology B"/>
    <s v="Royal South Hospital"/>
    <n v="30"/>
    <n v="31"/>
    <x v="1"/>
  </r>
  <r>
    <s v="APT00788"/>
    <d v="2025-12-06T00:00:00"/>
    <x v="128"/>
    <x v="3"/>
    <s v="Follow-up"/>
    <s v="Routine"/>
    <x v="0"/>
    <s v="Neurology B"/>
    <s v="Riverside Clinic"/>
    <n v="30"/>
    <n v="22"/>
    <x v="0"/>
  </r>
  <r>
    <s v="APT00789"/>
    <d v="2025-10-16T00:00:00"/>
    <x v="324"/>
    <x v="0"/>
    <s v="New"/>
    <s v="Routine"/>
    <x v="0"/>
    <s v="Dermatology A"/>
    <s v="Royal South Hospital"/>
    <n v="30"/>
    <n v="62"/>
    <x v="4"/>
  </r>
  <r>
    <s v="APT00790"/>
    <d v="2025-04-05T00:00:00"/>
    <x v="325"/>
    <x v="4"/>
    <s v="New"/>
    <s v="Urgent"/>
    <x v="0"/>
    <s v="Orthopaedics A"/>
    <s v="Riverside Clinic"/>
    <n v="30"/>
    <n v="48"/>
    <x v="3"/>
  </r>
  <r>
    <s v="APT00791"/>
    <d v="2025-05-05T00:00:00"/>
    <x v="326"/>
    <x v="3"/>
    <s v="New"/>
    <s v="Routine"/>
    <x v="0"/>
    <s v="Neurology A"/>
    <s v="Royal South Hospital"/>
    <n v="30"/>
    <n v="46"/>
    <x v="3"/>
  </r>
  <r>
    <s v="APT00792"/>
    <d v="2025-09-13T00:00:00"/>
    <x v="85"/>
    <x v="4"/>
    <s v="Follow-up"/>
    <s v="Routine"/>
    <x v="0"/>
    <s v="Orthopaedics A"/>
    <s v="Royal South Hospital"/>
    <n v="15"/>
    <n v="46"/>
    <x v="3"/>
  </r>
  <r>
    <s v="APT00793"/>
    <d v="2025-12-20T00:00:00"/>
    <x v="277"/>
    <x v="3"/>
    <s v="Follow-up"/>
    <s v="Routine"/>
    <x v="0"/>
    <s v="Neurology A"/>
    <s v="Royal South Hospital"/>
    <n v="15"/>
    <n v="34"/>
    <x v="1"/>
  </r>
  <r>
    <s v="APT00794"/>
    <d v="2026-01-26T00:00:00"/>
    <x v="327"/>
    <x v="4"/>
    <s v="Follow-up"/>
    <s v="Routine"/>
    <x v="0"/>
    <s v="Orthopaedics A"/>
    <s v="Central Outpatients"/>
    <n v="30"/>
    <n v="38"/>
    <x v="1"/>
  </r>
  <r>
    <s v="APT00795"/>
    <d v="2025-09-04T00:00:00"/>
    <x v="73"/>
    <x v="0"/>
    <s v="New"/>
    <s v="Routine"/>
    <x v="0"/>
    <s v="Dermatology A"/>
    <s v="Royal South Hospital"/>
    <n v="45"/>
    <n v="13"/>
    <x v="2"/>
  </r>
  <r>
    <s v="APT00796"/>
    <d v="2025-07-17T00:00:00"/>
    <x v="328"/>
    <x v="2"/>
    <s v="Follow-up"/>
    <s v="Routine"/>
    <x v="0"/>
    <s v="Gastro B"/>
    <s v="Royal South Hospital"/>
    <n v="15"/>
    <n v="2"/>
    <x v="2"/>
  </r>
  <r>
    <s v="APT00797"/>
    <d v="2026-03-19T00:00:00"/>
    <x v="157"/>
    <x v="2"/>
    <s v="New"/>
    <s v="Routine"/>
    <x v="0"/>
    <s v="Gastro A"/>
    <s v="Royal South Hospital"/>
    <n v="30"/>
    <n v="37"/>
    <x v="1"/>
  </r>
  <r>
    <s v="APT00798"/>
    <d v="2025-09-14T00:00:00"/>
    <x v="44"/>
    <x v="4"/>
    <s v="New"/>
    <s v="Urgent"/>
    <x v="2"/>
    <s v="Orthopaedics A"/>
    <s v="Central Outpatients"/>
    <n v="30"/>
    <n v="40"/>
    <x v="1"/>
  </r>
  <r>
    <s v="APT00799"/>
    <d v="2025-07-24T00:00:00"/>
    <x v="245"/>
    <x v="1"/>
    <s v="Follow-up"/>
    <s v="Routine"/>
    <x v="0"/>
    <s v="Cardiology B"/>
    <s v="Royal South Hospital"/>
    <n v="15"/>
    <n v="56"/>
    <x v="3"/>
  </r>
  <r>
    <s v="APT00800"/>
    <d v="2025-09-09T00:00:00"/>
    <x v="59"/>
    <x v="2"/>
    <s v="Follow-up"/>
    <s v="Urgent"/>
    <x v="1"/>
    <s v="Gastro A"/>
    <s v="Riverside Clinic"/>
    <n v="30"/>
    <n v="63"/>
    <x v="4"/>
  </r>
  <r>
    <s v="APT00801"/>
    <d v="2025-04-05T00:00:00"/>
    <x v="72"/>
    <x v="4"/>
    <s v="New"/>
    <s v="Routine"/>
    <x v="1"/>
    <s v="Orthopaedics B"/>
    <s v="Royal South Hospital"/>
    <n v="45"/>
    <n v="63"/>
    <x v="4"/>
  </r>
  <r>
    <s v="APT00802"/>
    <d v="2025-07-19T00:00:00"/>
    <x v="212"/>
    <x v="0"/>
    <s v="Follow-up"/>
    <s v="Routine"/>
    <x v="2"/>
    <s v="Dermatology A"/>
    <s v="Royal South Hospital"/>
    <n v="30"/>
    <n v="17"/>
    <x v="0"/>
  </r>
  <r>
    <s v="APT00803"/>
    <d v="2025-10-05T00:00:00"/>
    <x v="28"/>
    <x v="4"/>
    <s v="Follow-up"/>
    <s v="Urgent"/>
    <x v="1"/>
    <s v="Orthopaedics B"/>
    <s v="Riverside Clinic"/>
    <n v="15"/>
    <n v="28"/>
    <x v="0"/>
  </r>
  <r>
    <s v="APT00804"/>
    <d v="2026-03-01T00:00:00"/>
    <x v="221"/>
    <x v="0"/>
    <s v="Follow-up"/>
    <s v="Urgent"/>
    <x v="0"/>
    <s v="Dermatology B"/>
    <s v="Riverside Clinic"/>
    <n v="15"/>
    <n v="43"/>
    <x v="3"/>
  </r>
  <r>
    <s v="APT00805"/>
    <d v="2025-12-25T00:00:00"/>
    <x v="162"/>
    <x v="1"/>
    <s v="Follow-up"/>
    <s v="Routine"/>
    <x v="2"/>
    <s v="Cardiology B"/>
    <s v="Riverside Clinic"/>
    <n v="30"/>
    <n v="80"/>
    <x v="4"/>
  </r>
  <r>
    <s v="APT00806"/>
    <d v="2026-01-10T00:00:00"/>
    <x v="163"/>
    <x v="2"/>
    <s v="New"/>
    <s v="Routine"/>
    <x v="1"/>
    <s v="Gastro B"/>
    <s v="Royal South Hospital"/>
    <n v="45"/>
    <n v="61"/>
    <x v="4"/>
  </r>
  <r>
    <s v="APT00807"/>
    <d v="2025-10-16T00:00:00"/>
    <x v="257"/>
    <x v="2"/>
    <s v="Follow-up"/>
    <s v="Urgent"/>
    <x v="0"/>
    <s v="Gastro B"/>
    <s v="Central Outpatients"/>
    <n v="15"/>
    <n v="55"/>
    <x v="3"/>
  </r>
  <r>
    <s v="APT00808"/>
    <d v="2025-05-11T00:00:00"/>
    <x v="58"/>
    <x v="1"/>
    <s v="New"/>
    <s v="Routine"/>
    <x v="0"/>
    <s v="Cardiology B"/>
    <s v="Riverside Clinic"/>
    <n v="30"/>
    <n v="28"/>
    <x v="0"/>
  </r>
  <r>
    <s v="APT00809"/>
    <d v="2025-08-21T00:00:00"/>
    <x v="329"/>
    <x v="1"/>
    <s v="New"/>
    <s v="Routine"/>
    <x v="2"/>
    <s v="Cardiology B"/>
    <s v="Central Outpatients"/>
    <n v="30"/>
    <n v="19"/>
    <x v="0"/>
  </r>
  <r>
    <s v="APT00810"/>
    <d v="2026-03-29T00:00:00"/>
    <x v="330"/>
    <x v="1"/>
    <s v="Follow-up"/>
    <s v="Routine"/>
    <x v="0"/>
    <s v="Cardiology B"/>
    <s v="Royal South Hospital"/>
    <n v="15"/>
    <n v="49"/>
    <x v="3"/>
  </r>
  <r>
    <s v="APT00811"/>
    <d v="2025-04-17T00:00:00"/>
    <x v="331"/>
    <x v="4"/>
    <s v="Follow-up"/>
    <s v="Routine"/>
    <x v="0"/>
    <s v="Orthopaedics B"/>
    <s v="Royal South Hospital"/>
    <n v="15"/>
    <n v="15"/>
    <x v="0"/>
  </r>
  <r>
    <s v="APT00812"/>
    <d v="2026-02-15T00:00:00"/>
    <x v="27"/>
    <x v="0"/>
    <s v="New"/>
    <s v="Routine"/>
    <x v="0"/>
    <s v="Orthopaedics B"/>
    <s v="Royal South Hospital"/>
    <n v="30"/>
    <n v="30"/>
    <x v="1"/>
  </r>
  <r>
    <s v="APT00813"/>
    <d v="2025-12-06T00:00:00"/>
    <x v="100"/>
    <x v="2"/>
    <s v="Follow-up"/>
    <s v="Routine"/>
    <x v="0"/>
    <s v="Gastro A"/>
    <s v="Riverside Clinic"/>
    <n v="15"/>
    <n v="32"/>
    <x v="1"/>
  </r>
  <r>
    <s v="APT00814"/>
    <d v="2025-07-13T00:00:00"/>
    <x v="21"/>
    <x v="1"/>
    <s v="Follow-up"/>
    <s v="Routine"/>
    <x v="0"/>
    <s v="Cardiology B"/>
    <s v="Riverside Clinic"/>
    <n v="15"/>
    <n v="63"/>
    <x v="4"/>
  </r>
  <r>
    <s v="APT00815"/>
    <d v="2026-01-09T00:00:00"/>
    <x v="13"/>
    <x v="2"/>
    <s v="Follow-up"/>
    <s v="Routine"/>
    <x v="0"/>
    <s v="Gastro B"/>
    <s v="Royal South Hospital"/>
    <n v="15"/>
    <n v="28"/>
    <x v="0"/>
  </r>
  <r>
    <s v="APT00816"/>
    <d v="2026-01-30T00:00:00"/>
    <x v="53"/>
    <x v="4"/>
    <s v="New"/>
    <s v="Routine"/>
    <x v="0"/>
    <s v="Orthopaedics A"/>
    <s v="Royal South Hospital"/>
    <n v="30"/>
    <n v="2"/>
    <x v="2"/>
  </r>
  <r>
    <s v="APT00817"/>
    <d v="2025-04-16T00:00:00"/>
    <x v="0"/>
    <x v="3"/>
    <s v="New"/>
    <s v="Routine"/>
    <x v="2"/>
    <s v="Neurology A"/>
    <s v="Royal South Hospital"/>
    <n v="30"/>
    <n v="44"/>
    <x v="3"/>
  </r>
  <r>
    <s v="APT00818"/>
    <d v="2025-05-09T00:00:00"/>
    <x v="69"/>
    <x v="0"/>
    <s v="New"/>
    <s v="Routine"/>
    <x v="0"/>
    <s v="Dermatology A"/>
    <s v="Royal South Hospital"/>
    <n v="45"/>
    <n v="22"/>
    <x v="0"/>
  </r>
  <r>
    <s v="APT00819"/>
    <d v="2025-11-29T00:00:00"/>
    <x v="46"/>
    <x v="1"/>
    <s v="New"/>
    <s v="Routine"/>
    <x v="0"/>
    <s v="Cardiology A"/>
    <s v="Central Outpatients"/>
    <n v="30"/>
    <n v="35"/>
    <x v="1"/>
  </r>
  <r>
    <s v="APT00820"/>
    <d v="2026-03-30T00:00:00"/>
    <x v="332"/>
    <x v="4"/>
    <s v="New"/>
    <s v="Routine"/>
    <x v="0"/>
    <s v="Orthopaedics B"/>
    <s v="Royal South Hospital"/>
    <n v="30"/>
    <n v="33"/>
    <x v="1"/>
  </r>
  <r>
    <s v="APT00821"/>
    <d v="2025-04-09T00:00:00"/>
    <x v="115"/>
    <x v="4"/>
    <s v="New"/>
    <s v="Urgent"/>
    <x v="0"/>
    <s v="Orthopaedics A"/>
    <s v="Royal South Hospital"/>
    <n v="30"/>
    <n v="30"/>
    <x v="1"/>
  </r>
  <r>
    <s v="APT00822"/>
    <d v="2025-11-29T00:00:00"/>
    <x v="150"/>
    <x v="1"/>
    <s v="New"/>
    <s v="Routine"/>
    <x v="2"/>
    <s v="Cardiology A"/>
    <s v="Royal South Hospital"/>
    <n v="45"/>
    <n v="49"/>
    <x v="3"/>
  </r>
  <r>
    <s v="APT00823"/>
    <d v="2025-05-20T00:00:00"/>
    <x v="333"/>
    <x v="4"/>
    <s v="New"/>
    <s v="Routine"/>
    <x v="0"/>
    <s v="Orthopaedics B"/>
    <s v="Royal South Hospital"/>
    <n v="30"/>
    <n v="7"/>
    <x v="2"/>
  </r>
  <r>
    <s v="APT00824"/>
    <d v="2025-11-23T00:00:00"/>
    <x v="288"/>
    <x v="1"/>
    <s v="Follow-up"/>
    <s v="Routine"/>
    <x v="0"/>
    <s v="Cardiology A"/>
    <s v="Central Outpatients"/>
    <n v="15"/>
    <n v="25"/>
    <x v="0"/>
  </r>
  <r>
    <s v="APT00825"/>
    <d v="2025-11-13T00:00:00"/>
    <x v="334"/>
    <x v="1"/>
    <s v="Follow-up"/>
    <s v="Routine"/>
    <x v="1"/>
    <s v="Cardiology B"/>
    <s v="Royal South Hospital"/>
    <n v="15"/>
    <n v="47"/>
    <x v="3"/>
  </r>
  <r>
    <s v="APT00826"/>
    <d v="2025-05-03T00:00:00"/>
    <x v="335"/>
    <x v="4"/>
    <s v="New"/>
    <s v="Routine"/>
    <x v="0"/>
    <s v="Orthopaedics B"/>
    <s v="Central Outpatients"/>
    <n v="30"/>
    <n v="23"/>
    <x v="0"/>
  </r>
  <r>
    <s v="APT00827"/>
    <d v="2025-12-04T00:00:00"/>
    <x v="257"/>
    <x v="2"/>
    <s v="Follow-up"/>
    <s v="Routine"/>
    <x v="0"/>
    <s v="Gastro A"/>
    <s v="Riverside Clinic"/>
    <n v="15"/>
    <n v="6"/>
    <x v="2"/>
  </r>
  <r>
    <s v="APT00828"/>
    <d v="2026-02-21T00:00:00"/>
    <x v="307"/>
    <x v="2"/>
    <s v="New"/>
    <s v="Routine"/>
    <x v="0"/>
    <s v="Gastro B"/>
    <s v="Riverside Clinic"/>
    <n v="45"/>
    <n v="47"/>
    <x v="3"/>
  </r>
  <r>
    <s v="APT00829"/>
    <d v="2026-02-09T00:00:00"/>
    <x v="132"/>
    <x v="4"/>
    <s v="New"/>
    <s v="Routine"/>
    <x v="0"/>
    <s v="Orthopaedics A"/>
    <s v="Royal South Hospital"/>
    <n v="30"/>
    <n v="55"/>
    <x v="3"/>
  </r>
  <r>
    <s v="APT00830"/>
    <d v="2025-04-11T00:00:00"/>
    <x v="182"/>
    <x v="4"/>
    <s v="Follow-up"/>
    <s v="Routine"/>
    <x v="1"/>
    <s v="Orthopaedics A"/>
    <s v="Riverside Clinic"/>
    <n v="15"/>
    <n v="34"/>
    <x v="1"/>
  </r>
  <r>
    <s v="APT00831"/>
    <d v="2025-06-29T00:00:00"/>
    <x v="30"/>
    <x v="1"/>
    <s v="Follow-up"/>
    <s v="Routine"/>
    <x v="0"/>
    <s v="Cardiology B"/>
    <s v="Riverside Clinic"/>
    <n v="15"/>
    <n v="2"/>
    <x v="2"/>
  </r>
  <r>
    <s v="APT00832"/>
    <d v="2025-06-27T00:00:00"/>
    <x v="66"/>
    <x v="3"/>
    <s v="New"/>
    <s v="Routine"/>
    <x v="0"/>
    <s v="Neurology A"/>
    <s v="Royal South Hospital"/>
    <n v="30"/>
    <n v="47"/>
    <x v="3"/>
  </r>
  <r>
    <s v="APT00833"/>
    <d v="2025-09-12T00:00:00"/>
    <x v="73"/>
    <x v="4"/>
    <s v="New"/>
    <s v="Routine"/>
    <x v="0"/>
    <s v="Orthopaedics A"/>
    <s v="Central Outpatients"/>
    <n v="30"/>
    <n v="5"/>
    <x v="2"/>
  </r>
  <r>
    <s v="APT00834"/>
    <d v="2025-05-23T00:00:00"/>
    <x v="279"/>
    <x v="2"/>
    <s v="Follow-up"/>
    <s v="Routine"/>
    <x v="1"/>
    <s v="Gastro A"/>
    <s v="Royal South Hospital"/>
    <n v="15"/>
    <n v="40"/>
    <x v="1"/>
  </r>
  <r>
    <s v="APT00835"/>
    <d v="2026-02-05T00:00:00"/>
    <x v="230"/>
    <x v="4"/>
    <s v="Follow-up"/>
    <s v="Routine"/>
    <x v="0"/>
    <s v="Orthopaedics B"/>
    <s v="Royal South Hospital"/>
    <n v="15"/>
    <n v="19"/>
    <x v="0"/>
  </r>
  <r>
    <s v="APT00836"/>
    <d v="2026-01-08T00:00:00"/>
    <x v="154"/>
    <x v="3"/>
    <s v="New"/>
    <s v="Routine"/>
    <x v="0"/>
    <s v="Neurology A"/>
    <s v="Royal South Hospital"/>
    <n v="30"/>
    <n v="14"/>
    <x v="2"/>
  </r>
  <r>
    <s v="APT00837"/>
    <d v="2026-01-20T00:00:00"/>
    <x v="173"/>
    <x v="1"/>
    <s v="Follow-up"/>
    <s v="Routine"/>
    <x v="0"/>
    <s v="Cardiology B"/>
    <s v="Riverside Clinic"/>
    <n v="30"/>
    <n v="27"/>
    <x v="0"/>
  </r>
  <r>
    <s v="APT00838"/>
    <d v="2025-06-12T00:00:00"/>
    <x v="201"/>
    <x v="1"/>
    <s v="New"/>
    <s v="Routine"/>
    <x v="0"/>
    <s v="Cardiology A"/>
    <s v="Royal South Hospital"/>
    <n v="30"/>
    <n v="31"/>
    <x v="1"/>
  </r>
  <r>
    <s v="APT00839"/>
    <d v="2025-04-06T00:00:00"/>
    <x v="336"/>
    <x v="4"/>
    <s v="Follow-up"/>
    <s v="Routine"/>
    <x v="0"/>
    <s v="Orthopaedics A"/>
    <s v="Royal South Hospital"/>
    <n v="30"/>
    <n v="23"/>
    <x v="0"/>
  </r>
  <r>
    <s v="APT00840"/>
    <d v="2026-02-26T00:00:00"/>
    <x v="192"/>
    <x v="4"/>
    <s v="New"/>
    <s v="Routine"/>
    <x v="0"/>
    <s v="Orthopaedics B"/>
    <s v="Royal South Hospital"/>
    <n v="30"/>
    <n v="45"/>
    <x v="3"/>
  </r>
  <r>
    <s v="APT00841"/>
    <d v="2025-07-15T00:00:00"/>
    <x v="238"/>
    <x v="1"/>
    <s v="Follow-up"/>
    <s v="Routine"/>
    <x v="0"/>
    <s v="Cardiology A"/>
    <s v="Royal South Hospital"/>
    <n v="30"/>
    <n v="26"/>
    <x v="0"/>
  </r>
  <r>
    <s v="APT00842"/>
    <d v="2025-11-25T00:00:00"/>
    <x v="7"/>
    <x v="1"/>
    <s v="Follow-up"/>
    <s v="Routine"/>
    <x v="0"/>
    <s v="Cardiology B"/>
    <s v="Royal South Hospital"/>
    <n v="15"/>
    <n v="52"/>
    <x v="3"/>
  </r>
  <r>
    <s v="APT00843"/>
    <d v="2026-02-26T00:00:00"/>
    <x v="109"/>
    <x v="4"/>
    <s v="New"/>
    <s v="Routine"/>
    <x v="0"/>
    <s v="Orthopaedics A"/>
    <s v="Central Outpatients"/>
    <n v="30"/>
    <n v="40"/>
    <x v="1"/>
  </r>
  <r>
    <s v="APT00844"/>
    <d v="2025-04-14T00:00:00"/>
    <x v="337"/>
    <x v="1"/>
    <s v="Follow-up"/>
    <s v="Routine"/>
    <x v="0"/>
    <s v="Cardiology A"/>
    <s v="Royal South Hospital"/>
    <n v="30"/>
    <n v="22"/>
    <x v="0"/>
  </r>
  <r>
    <s v="APT00845"/>
    <d v="2025-04-02T00:00:00"/>
    <x v="338"/>
    <x v="1"/>
    <s v="New"/>
    <s v="Routine"/>
    <x v="0"/>
    <s v="Cardiology A"/>
    <s v="Central Outpatients"/>
    <n v="30"/>
    <n v="19"/>
    <x v="0"/>
  </r>
  <r>
    <s v="APT00846"/>
    <d v="2025-04-02T00:00:00"/>
    <x v="339"/>
    <x v="4"/>
    <s v="New"/>
    <s v="Urgent"/>
    <x v="0"/>
    <s v="Orthopaedics A"/>
    <s v="Riverside Clinic"/>
    <n v="30"/>
    <n v="5"/>
    <x v="2"/>
  </r>
  <r>
    <s v="APT00847"/>
    <d v="2025-05-27T00:00:00"/>
    <x v="314"/>
    <x v="4"/>
    <s v="Follow-up"/>
    <s v="Urgent"/>
    <x v="2"/>
    <s v="Orthopaedics B"/>
    <s v="Riverside Clinic"/>
    <n v="15"/>
    <n v="40"/>
    <x v="1"/>
  </r>
  <r>
    <s v="APT00848"/>
    <d v="2025-04-19T00:00:00"/>
    <x v="164"/>
    <x v="4"/>
    <s v="Follow-up"/>
    <s v="Routine"/>
    <x v="0"/>
    <s v="Orthopaedics B"/>
    <s v="Central Outpatients"/>
    <n v="15"/>
    <n v="28"/>
    <x v="0"/>
  </r>
  <r>
    <s v="APT00849"/>
    <d v="2026-01-24T00:00:00"/>
    <x v="237"/>
    <x v="3"/>
    <s v="Follow-up"/>
    <s v="Routine"/>
    <x v="0"/>
    <s v="Neurology B"/>
    <s v="Royal South Hospital"/>
    <n v="15"/>
    <n v="2"/>
    <x v="2"/>
  </r>
  <r>
    <s v="APT00850"/>
    <d v="2025-11-07T00:00:00"/>
    <x v="106"/>
    <x v="0"/>
    <s v="Follow-up"/>
    <s v="Routine"/>
    <x v="0"/>
    <s v="Dermatology A"/>
    <s v="Riverside Clinic"/>
    <n v="15"/>
    <n v="25"/>
    <x v="0"/>
  </r>
  <r>
    <s v="APT00851"/>
    <d v="2026-03-23T00:00:00"/>
    <x v="340"/>
    <x v="4"/>
    <s v="New"/>
    <s v="Routine"/>
    <x v="0"/>
    <s v="Orthopaedics A"/>
    <s v="Royal South Hospital"/>
    <n v="30"/>
    <n v="18"/>
    <x v="0"/>
  </r>
  <r>
    <s v="APT00852"/>
    <d v="2026-01-17T00:00:00"/>
    <x v="243"/>
    <x v="0"/>
    <s v="New"/>
    <s v="Urgent"/>
    <x v="0"/>
    <s v="Dermatology A"/>
    <s v="Royal South Hospital"/>
    <n v="45"/>
    <n v="63"/>
    <x v="4"/>
  </r>
  <r>
    <s v="APT00853"/>
    <d v="2026-03-17T00:00:00"/>
    <x v="243"/>
    <x v="0"/>
    <s v="Follow-up"/>
    <s v="Routine"/>
    <x v="1"/>
    <s v="Dermatology B"/>
    <s v="Royal South Hospital"/>
    <n v="30"/>
    <n v="4"/>
    <x v="2"/>
  </r>
  <r>
    <s v="APT00854"/>
    <d v="2025-06-26T00:00:00"/>
    <x v="158"/>
    <x v="4"/>
    <s v="New"/>
    <s v="Routine"/>
    <x v="0"/>
    <s v="Orthopaedics A"/>
    <s v="Riverside Clinic"/>
    <n v="45"/>
    <n v="9"/>
    <x v="2"/>
  </r>
  <r>
    <s v="APT00855"/>
    <d v="2025-07-14T00:00:00"/>
    <x v="215"/>
    <x v="3"/>
    <s v="New"/>
    <s v="Routine"/>
    <x v="0"/>
    <s v="Neurology B"/>
    <s v="Central Outpatients"/>
    <n v="30"/>
    <n v="54"/>
    <x v="3"/>
  </r>
  <r>
    <s v="APT00856"/>
    <d v="2026-02-04T00:00:00"/>
    <x v="153"/>
    <x v="4"/>
    <s v="Follow-up"/>
    <s v="Routine"/>
    <x v="0"/>
    <s v="Orthopaedics B"/>
    <s v="Royal South Hospital"/>
    <n v="15"/>
    <n v="59"/>
    <x v="4"/>
  </r>
  <r>
    <s v="APT00857"/>
    <d v="2025-06-29T00:00:00"/>
    <x v="22"/>
    <x v="1"/>
    <s v="Follow-up"/>
    <s v="Urgent"/>
    <x v="0"/>
    <s v="Cardiology A"/>
    <s v="Riverside Clinic"/>
    <n v="30"/>
    <n v="21"/>
    <x v="0"/>
  </r>
  <r>
    <s v="APT00858"/>
    <d v="2025-04-21T00:00:00"/>
    <x v="126"/>
    <x v="4"/>
    <s v="Follow-up"/>
    <s v="Routine"/>
    <x v="0"/>
    <s v="Orthopaedics A"/>
    <s v="Royal South Hospital"/>
    <n v="15"/>
    <n v="23"/>
    <x v="0"/>
  </r>
  <r>
    <s v="APT00859"/>
    <d v="2025-11-30T00:00:00"/>
    <x v="63"/>
    <x v="3"/>
    <s v="New"/>
    <s v="Routine"/>
    <x v="0"/>
    <s v="Neurology B"/>
    <s v="Royal South Hospital"/>
    <n v="45"/>
    <n v="46"/>
    <x v="3"/>
  </r>
  <r>
    <s v="APT00860"/>
    <d v="2026-01-17T00:00:00"/>
    <x v="310"/>
    <x v="3"/>
    <s v="New"/>
    <s v="Routine"/>
    <x v="0"/>
    <s v="Neurology A"/>
    <s v="Royal South Hospital"/>
    <n v="30"/>
    <n v="2"/>
    <x v="2"/>
  </r>
  <r>
    <s v="APT00861"/>
    <d v="2026-03-19T00:00:00"/>
    <x v="243"/>
    <x v="4"/>
    <s v="Follow-up"/>
    <s v="Urgent"/>
    <x v="2"/>
    <s v="Orthopaedics B"/>
    <s v="Riverside Clinic"/>
    <n v="15"/>
    <n v="2"/>
    <x v="2"/>
  </r>
  <r>
    <s v="APT00862"/>
    <d v="2026-03-04T00:00:00"/>
    <x v="320"/>
    <x v="0"/>
    <s v="Follow-up"/>
    <s v="Routine"/>
    <x v="0"/>
    <s v="Dermatology B"/>
    <s v="Royal South Hospital"/>
    <n v="15"/>
    <n v="29"/>
    <x v="1"/>
  </r>
  <r>
    <s v="APT00863"/>
    <d v="2025-05-14T00:00:00"/>
    <x v="259"/>
    <x v="3"/>
    <s v="New"/>
    <s v="Routine"/>
    <x v="0"/>
    <s v="Neurology B"/>
    <s v="Royal South Hospital"/>
    <n v="30"/>
    <n v="62"/>
    <x v="4"/>
  </r>
  <r>
    <s v="APT00864"/>
    <d v="2026-01-07T00:00:00"/>
    <x v="12"/>
    <x v="3"/>
    <s v="New"/>
    <s v="Routine"/>
    <x v="2"/>
    <s v="Neurology B"/>
    <s v="Royal South Hospital"/>
    <n v="30"/>
    <n v="27"/>
    <x v="0"/>
  </r>
  <r>
    <s v="APT00865"/>
    <d v="2026-02-02T00:00:00"/>
    <x v="189"/>
    <x v="4"/>
    <s v="New"/>
    <s v="Urgent"/>
    <x v="0"/>
    <s v="Orthopaedics B"/>
    <s v="Riverside Clinic"/>
    <n v="30"/>
    <n v="36"/>
    <x v="1"/>
  </r>
  <r>
    <s v="APT00866"/>
    <d v="2025-12-11T00:00:00"/>
    <x v="161"/>
    <x v="4"/>
    <s v="Follow-up"/>
    <s v="Routine"/>
    <x v="0"/>
    <s v="Orthopaedics B"/>
    <s v="Central Outpatients"/>
    <n v="15"/>
    <n v="55"/>
    <x v="3"/>
  </r>
  <r>
    <s v="APT00867"/>
    <d v="2026-01-24T00:00:00"/>
    <x v="253"/>
    <x v="3"/>
    <s v="Follow-up"/>
    <s v="Routine"/>
    <x v="0"/>
    <s v="Neurology A"/>
    <s v="Royal South Hospital"/>
    <n v="15"/>
    <n v="72"/>
    <x v="4"/>
  </r>
  <r>
    <s v="APT00868"/>
    <d v="2026-01-31T00:00:00"/>
    <x v="230"/>
    <x v="1"/>
    <s v="Follow-up"/>
    <s v="Routine"/>
    <x v="2"/>
    <s v="Cardiology B"/>
    <s v="Riverside Clinic"/>
    <n v="15"/>
    <n v="24"/>
    <x v="0"/>
  </r>
  <r>
    <s v="APT00869"/>
    <d v="2025-09-10T00:00:00"/>
    <x v="108"/>
    <x v="1"/>
    <s v="New"/>
    <s v="Routine"/>
    <x v="0"/>
    <s v="Cardiology A"/>
    <s v="Riverside Clinic"/>
    <n v="30"/>
    <n v="34"/>
    <x v="1"/>
  </r>
  <r>
    <s v="APT00870"/>
    <d v="2025-04-15T00:00:00"/>
    <x v="62"/>
    <x v="4"/>
    <s v="Follow-up"/>
    <s v="Routine"/>
    <x v="0"/>
    <s v="Orthopaedics B"/>
    <s v="Royal South Hospital"/>
    <n v="30"/>
    <n v="67"/>
    <x v="4"/>
  </r>
  <r>
    <s v="APT00871"/>
    <d v="2025-09-14T00:00:00"/>
    <x v="3"/>
    <x v="4"/>
    <s v="Follow-up"/>
    <s v="Routine"/>
    <x v="0"/>
    <s v="Orthopaedics B"/>
    <s v="Royal South Hospital"/>
    <n v="15"/>
    <n v="7"/>
    <x v="2"/>
  </r>
  <r>
    <s v="APT00872"/>
    <d v="2025-06-13T00:00:00"/>
    <x v="212"/>
    <x v="4"/>
    <s v="New"/>
    <s v="Routine"/>
    <x v="0"/>
    <s v="Orthopaedics A"/>
    <s v="Central Outpatients"/>
    <n v="30"/>
    <n v="53"/>
    <x v="3"/>
  </r>
  <r>
    <s v="APT00873"/>
    <d v="2025-05-12T00:00:00"/>
    <x v="211"/>
    <x v="1"/>
    <s v="New"/>
    <s v="Routine"/>
    <x v="0"/>
    <s v="Cardiology A"/>
    <s v="Royal South Hospital"/>
    <n v="30"/>
    <n v="16"/>
    <x v="0"/>
  </r>
  <r>
    <s v="APT00874"/>
    <d v="2025-05-16T00:00:00"/>
    <x v="62"/>
    <x v="0"/>
    <s v="Follow-up"/>
    <s v="Urgent"/>
    <x v="0"/>
    <s v="Dermatology A"/>
    <s v="Royal South Hospital"/>
    <n v="15"/>
    <n v="36"/>
    <x v="1"/>
  </r>
  <r>
    <s v="APT00875"/>
    <d v="2025-12-10T00:00:00"/>
    <x v="341"/>
    <x v="4"/>
    <s v="New"/>
    <s v="Urgent"/>
    <x v="2"/>
    <s v="Orthopaedics A"/>
    <s v="Central Outpatients"/>
    <n v="30"/>
    <n v="30"/>
    <x v="1"/>
  </r>
  <r>
    <s v="APT00876"/>
    <d v="2025-10-01T00:00:00"/>
    <x v="316"/>
    <x v="4"/>
    <s v="Follow-up"/>
    <s v="Routine"/>
    <x v="0"/>
    <s v="Orthopaedics A"/>
    <s v="Central Outpatients"/>
    <n v="15"/>
    <n v="17"/>
    <x v="0"/>
  </r>
  <r>
    <s v="APT00877"/>
    <d v="2025-10-14T00:00:00"/>
    <x v="283"/>
    <x v="1"/>
    <s v="Follow-up"/>
    <s v="Routine"/>
    <x v="0"/>
    <s v="Cardiology B"/>
    <s v="Riverside Clinic"/>
    <n v="15"/>
    <n v="17"/>
    <x v="0"/>
  </r>
  <r>
    <s v="APT00878"/>
    <d v="2025-12-28T00:00:00"/>
    <x v="51"/>
    <x v="3"/>
    <s v="New"/>
    <s v="Routine"/>
    <x v="0"/>
    <s v="Neurology A"/>
    <s v="Central Outpatients"/>
    <n v="30"/>
    <n v="39"/>
    <x v="1"/>
  </r>
  <r>
    <s v="APT00879"/>
    <d v="2025-10-17T00:00:00"/>
    <x v="78"/>
    <x v="1"/>
    <s v="Follow-up"/>
    <s v="Urgent"/>
    <x v="0"/>
    <s v="Cardiology A"/>
    <s v="Royal South Hospital"/>
    <n v="15"/>
    <n v="52"/>
    <x v="3"/>
  </r>
  <r>
    <s v="APT00880"/>
    <d v="2025-11-16T00:00:00"/>
    <x v="288"/>
    <x v="2"/>
    <s v="Follow-up"/>
    <s v="Routine"/>
    <x v="0"/>
    <s v="Gastro A"/>
    <s v="Riverside Clinic"/>
    <n v="30"/>
    <n v="32"/>
    <x v="1"/>
  </r>
  <r>
    <s v="APT00881"/>
    <d v="2025-05-02T00:00:00"/>
    <x v="72"/>
    <x v="0"/>
    <s v="New"/>
    <s v="Routine"/>
    <x v="0"/>
    <s v="Dermatology A"/>
    <s v="Royal South Hospital"/>
    <n v="30"/>
    <n v="36"/>
    <x v="1"/>
  </r>
  <r>
    <s v="APT00882"/>
    <d v="2026-02-04T00:00:00"/>
    <x v="243"/>
    <x v="1"/>
    <s v="Follow-up"/>
    <s v="Urgent"/>
    <x v="0"/>
    <s v="Cardiology A"/>
    <s v="Central Outpatients"/>
    <n v="30"/>
    <n v="45"/>
    <x v="3"/>
  </r>
  <r>
    <s v="APT00883"/>
    <d v="2025-09-11T00:00:00"/>
    <x v="342"/>
    <x v="1"/>
    <s v="New"/>
    <s v="Routine"/>
    <x v="1"/>
    <s v="Cardiology B"/>
    <s v="Royal South Hospital"/>
    <n v="30"/>
    <n v="17"/>
    <x v="0"/>
  </r>
  <r>
    <s v="APT00884"/>
    <d v="2025-05-27T00:00:00"/>
    <x v="110"/>
    <x v="4"/>
    <s v="New"/>
    <s v="Routine"/>
    <x v="0"/>
    <s v="Orthopaedics B"/>
    <s v="Royal South Hospital"/>
    <n v="45"/>
    <n v="48"/>
    <x v="3"/>
  </r>
  <r>
    <s v="APT00885"/>
    <d v="2026-01-22T00:00:00"/>
    <x v="163"/>
    <x v="3"/>
    <s v="Follow-up"/>
    <s v="Routine"/>
    <x v="0"/>
    <s v="Neurology B"/>
    <s v="Royal South Hospital"/>
    <n v="15"/>
    <n v="49"/>
    <x v="3"/>
  </r>
  <r>
    <s v="APT00886"/>
    <d v="2025-12-24T00:00:00"/>
    <x v="162"/>
    <x v="4"/>
    <s v="Follow-up"/>
    <s v="Routine"/>
    <x v="2"/>
    <s v="Orthopaedics B"/>
    <s v="Riverside Clinic"/>
    <n v="15"/>
    <n v="81"/>
    <x v="4"/>
  </r>
  <r>
    <s v="APT00887"/>
    <d v="2025-04-20T00:00:00"/>
    <x v="305"/>
    <x v="2"/>
    <s v="New"/>
    <s v="Routine"/>
    <x v="0"/>
    <s v="Gastro B"/>
    <s v="Riverside Clinic"/>
    <n v="30"/>
    <n v="28"/>
    <x v="0"/>
  </r>
  <r>
    <s v="APT00888"/>
    <d v="2025-06-10T00:00:00"/>
    <x v="314"/>
    <x v="2"/>
    <s v="New"/>
    <s v="Routine"/>
    <x v="2"/>
    <s v="Gastro A"/>
    <s v="Riverside Clinic"/>
    <n v="45"/>
    <n v="26"/>
    <x v="0"/>
  </r>
  <r>
    <s v="APT00889"/>
    <d v="2025-04-06T00:00:00"/>
    <x v="42"/>
    <x v="0"/>
    <s v="Follow-up"/>
    <s v="Routine"/>
    <x v="1"/>
    <s v="Dermatology A"/>
    <s v="Royal South Hospital"/>
    <n v="15"/>
    <n v="48"/>
    <x v="3"/>
  </r>
  <r>
    <s v="APT00890"/>
    <d v="2025-07-08T00:00:00"/>
    <x v="255"/>
    <x v="3"/>
    <s v="New"/>
    <s v="Urgent"/>
    <x v="0"/>
    <s v="Neurology B"/>
    <s v="Royal South Hospital"/>
    <n v="30"/>
    <n v="49"/>
    <x v="3"/>
  </r>
  <r>
    <s v="APT00891"/>
    <d v="2025-05-07T00:00:00"/>
    <x v="343"/>
    <x v="0"/>
    <s v="Follow-up"/>
    <s v="Routine"/>
    <x v="0"/>
    <s v="Dermatology A"/>
    <s v="Riverside Clinic"/>
    <n v="15"/>
    <n v="25"/>
    <x v="0"/>
  </r>
  <r>
    <s v="APT00892"/>
    <d v="2025-12-15T00:00:00"/>
    <x v="50"/>
    <x v="3"/>
    <s v="Follow-up"/>
    <s v="Routine"/>
    <x v="0"/>
    <s v="Neurology A"/>
    <s v="Royal South Hospital"/>
    <n v="15"/>
    <n v="27"/>
    <x v="0"/>
  </r>
  <r>
    <s v="APT00893"/>
    <d v="2025-10-08T00:00:00"/>
    <x v="265"/>
    <x v="4"/>
    <s v="Follow-up"/>
    <s v="Routine"/>
    <x v="1"/>
    <s v="Orthopaedics B"/>
    <s v="Riverside Clinic"/>
    <n v="15"/>
    <n v="44"/>
    <x v="3"/>
  </r>
  <r>
    <s v="APT00894"/>
    <d v="2026-03-23T00:00:00"/>
    <x v="192"/>
    <x v="4"/>
    <s v="New"/>
    <s v="Urgent"/>
    <x v="0"/>
    <s v="Orthopaedics B"/>
    <s v="Central Outpatients"/>
    <n v="30"/>
    <n v="20"/>
    <x v="0"/>
  </r>
  <r>
    <s v="APT00895"/>
    <d v="2025-12-29T00:00:00"/>
    <x v="344"/>
    <x v="0"/>
    <s v="Follow-up"/>
    <s v="Routine"/>
    <x v="2"/>
    <s v="Dermatology B"/>
    <s v="Riverside Clinic"/>
    <n v="15"/>
    <n v="27"/>
    <x v="0"/>
  </r>
  <r>
    <s v="APT00896"/>
    <d v="2025-11-09T00:00:00"/>
    <x v="2"/>
    <x v="2"/>
    <s v="New"/>
    <s v="Routine"/>
    <x v="0"/>
    <s v="Gastro B"/>
    <s v="Royal South Hospital"/>
    <n v="30"/>
    <n v="36"/>
    <x v="1"/>
  </r>
  <r>
    <s v="APT00897"/>
    <d v="2025-10-03T00:00:00"/>
    <x v="71"/>
    <x v="0"/>
    <s v="New"/>
    <s v="Urgent"/>
    <x v="0"/>
    <s v="Dermatology B"/>
    <s v="Riverside Clinic"/>
    <n v="30"/>
    <n v="52"/>
    <x v="3"/>
  </r>
  <r>
    <s v="APT00898"/>
    <d v="2025-04-20T00:00:00"/>
    <x v="126"/>
    <x v="1"/>
    <s v="New"/>
    <s v="Routine"/>
    <x v="0"/>
    <s v="Cardiology A"/>
    <s v="Central Outpatients"/>
    <n v="30"/>
    <n v="24"/>
    <x v="0"/>
  </r>
  <r>
    <s v="APT00899"/>
    <d v="2025-04-26T00:00:00"/>
    <x v="345"/>
    <x v="3"/>
    <s v="New"/>
    <s v="Routine"/>
    <x v="2"/>
    <s v="Neurology A"/>
    <s v="Riverside Clinic"/>
    <n v="45"/>
    <n v="2"/>
    <x v="2"/>
  </r>
  <r>
    <s v="APT00900"/>
    <d v="2025-11-11T00:00:00"/>
    <x v="10"/>
    <x v="2"/>
    <s v="Follow-up"/>
    <s v="Urgent"/>
    <x v="0"/>
    <s v="Gastro A"/>
    <s v="Central Outpatients"/>
    <n v="30"/>
    <n v="2"/>
    <x v="2"/>
  </r>
  <r>
    <s v="APT00901"/>
    <d v="2025-04-02T00:00:00"/>
    <x v="234"/>
    <x v="3"/>
    <s v="Follow-up"/>
    <s v="Routine"/>
    <x v="0"/>
    <s v="Neurology B"/>
    <s v="Royal South Hospital"/>
    <n v="30"/>
    <n v="12"/>
    <x v="2"/>
  </r>
  <r>
    <s v="APT00902"/>
    <d v="2025-04-16T00:00:00"/>
    <x v="346"/>
    <x v="1"/>
    <s v="Follow-up"/>
    <s v="Routine"/>
    <x v="1"/>
    <s v="Cardiology B"/>
    <s v="Riverside Clinic"/>
    <n v="30"/>
    <n v="11"/>
    <x v="2"/>
  </r>
  <r>
    <s v="APT00903"/>
    <d v="2025-06-19T00:00:00"/>
    <x v="280"/>
    <x v="4"/>
    <s v="Follow-up"/>
    <s v="Routine"/>
    <x v="0"/>
    <s v="Orthopaedics A"/>
    <s v="Royal South Hospital"/>
    <n v="30"/>
    <n v="32"/>
    <x v="1"/>
  </r>
  <r>
    <s v="APT00904"/>
    <d v="2026-02-16T00:00:00"/>
    <x v="97"/>
    <x v="4"/>
    <s v="Follow-up"/>
    <s v="Routine"/>
    <x v="0"/>
    <s v="Orthopaedics B"/>
    <s v="Riverside Clinic"/>
    <n v="15"/>
    <n v="13"/>
    <x v="2"/>
  </r>
  <r>
    <s v="APT00905"/>
    <d v="2025-09-15T00:00:00"/>
    <x v="144"/>
    <x v="2"/>
    <s v="Follow-up"/>
    <s v="Urgent"/>
    <x v="2"/>
    <s v="Gastro A"/>
    <s v="Central Outpatients"/>
    <n v="15"/>
    <n v="22"/>
    <x v="0"/>
  </r>
  <r>
    <s v="APT00906"/>
    <d v="2025-12-15T00:00:00"/>
    <x v="79"/>
    <x v="4"/>
    <s v="Follow-up"/>
    <s v="Routine"/>
    <x v="1"/>
    <s v="Orthopaedics B"/>
    <s v="Central Outpatients"/>
    <n v="15"/>
    <n v="21"/>
    <x v="0"/>
  </r>
  <r>
    <s v="APT00907"/>
    <d v="2025-08-28T00:00:00"/>
    <x v="156"/>
    <x v="0"/>
    <s v="Follow-up"/>
    <s v="Routine"/>
    <x v="0"/>
    <s v="Dermatology A"/>
    <s v="Royal South Hospital"/>
    <n v="15"/>
    <n v="27"/>
    <x v="0"/>
  </r>
  <r>
    <s v="APT00908"/>
    <d v="2025-06-03T00:00:00"/>
    <x v="8"/>
    <x v="3"/>
    <s v="Follow-up"/>
    <s v="Routine"/>
    <x v="0"/>
    <s v="Neurology A"/>
    <s v="Central Outpatients"/>
    <n v="30"/>
    <n v="58"/>
    <x v="4"/>
  </r>
  <r>
    <s v="APT00909"/>
    <d v="2025-08-14T00:00:00"/>
    <x v="54"/>
    <x v="4"/>
    <s v="New"/>
    <s v="Routine"/>
    <x v="0"/>
    <s v="Orthopaedics A"/>
    <s v="Royal South Hospital"/>
    <n v="30"/>
    <n v="46"/>
    <x v="3"/>
  </r>
  <r>
    <s v="APT00910"/>
    <d v="2025-05-04T00:00:00"/>
    <x v="58"/>
    <x v="4"/>
    <s v="Follow-up"/>
    <s v="Routine"/>
    <x v="0"/>
    <s v="Orthopaedics A"/>
    <s v="Royal South Hospital"/>
    <n v="15"/>
    <n v="35"/>
    <x v="1"/>
  </r>
  <r>
    <s v="APT00911"/>
    <d v="2026-01-06T00:00:00"/>
    <x v="53"/>
    <x v="4"/>
    <s v="New"/>
    <s v="Routine"/>
    <x v="0"/>
    <s v="Orthopaedics A"/>
    <s v="Riverside Clinic"/>
    <n v="30"/>
    <n v="26"/>
    <x v="0"/>
  </r>
  <r>
    <s v="APT00912"/>
    <d v="2025-06-06T00:00:00"/>
    <x v="190"/>
    <x v="2"/>
    <s v="New"/>
    <s v="Routine"/>
    <x v="0"/>
    <s v="Gastro A"/>
    <s v="Royal South Hospital"/>
    <n v="45"/>
    <n v="27"/>
    <x v="0"/>
  </r>
  <r>
    <s v="APT00913"/>
    <d v="2025-08-16T00:00:00"/>
    <x v="297"/>
    <x v="4"/>
    <s v="Follow-up"/>
    <s v="Routine"/>
    <x v="0"/>
    <s v="Orthopaedics B"/>
    <s v="Royal South Hospital"/>
    <n v="15"/>
    <n v="40"/>
    <x v="1"/>
  </r>
  <r>
    <s v="APT00914"/>
    <d v="2026-03-23T00:00:00"/>
    <x v="204"/>
    <x v="3"/>
    <s v="New"/>
    <s v="Routine"/>
    <x v="0"/>
    <s v="Neurology B"/>
    <s v="Riverside Clinic"/>
    <n v="30"/>
    <n v="45"/>
    <x v="3"/>
  </r>
  <r>
    <s v="APT00915"/>
    <d v="2025-11-02T00:00:00"/>
    <x v="347"/>
    <x v="1"/>
    <s v="New"/>
    <s v="Routine"/>
    <x v="1"/>
    <s v="Cardiology B"/>
    <s v="Riverside Clinic"/>
    <n v="45"/>
    <n v="18"/>
    <x v="0"/>
  </r>
  <r>
    <s v="APT00916"/>
    <d v="2025-09-14T00:00:00"/>
    <x v="159"/>
    <x v="1"/>
    <s v="New"/>
    <s v="Routine"/>
    <x v="0"/>
    <s v="Cardiology A"/>
    <s v="Riverside Clinic"/>
    <n v="30"/>
    <n v="35"/>
    <x v="1"/>
  </r>
  <r>
    <s v="APT00917"/>
    <d v="2025-10-15T00:00:00"/>
    <x v="285"/>
    <x v="4"/>
    <s v="Follow-up"/>
    <s v="Routine"/>
    <x v="0"/>
    <s v="Orthopaedics A"/>
    <s v="Riverside Clinic"/>
    <n v="15"/>
    <n v="2"/>
    <x v="2"/>
  </r>
  <r>
    <s v="APT00918"/>
    <d v="2026-01-11T00:00:00"/>
    <x v="84"/>
    <x v="3"/>
    <s v="Follow-up"/>
    <s v="Routine"/>
    <x v="2"/>
    <s v="Neurology A"/>
    <s v="Riverside Clinic"/>
    <n v="15"/>
    <n v="38"/>
    <x v="1"/>
  </r>
  <r>
    <s v="APT00919"/>
    <d v="2025-07-02T00:00:00"/>
    <x v="196"/>
    <x v="2"/>
    <s v="Follow-up"/>
    <s v="Routine"/>
    <x v="1"/>
    <s v="Gastro A"/>
    <s v="Royal South Hospital"/>
    <n v="15"/>
    <n v="48"/>
    <x v="3"/>
  </r>
  <r>
    <s v="APT00920"/>
    <d v="2025-11-18T00:00:00"/>
    <x v="324"/>
    <x v="4"/>
    <s v="Follow-up"/>
    <s v="Routine"/>
    <x v="0"/>
    <s v="Orthopaedics B"/>
    <s v="Royal South Hospital"/>
    <n v="15"/>
    <n v="29"/>
    <x v="1"/>
  </r>
  <r>
    <s v="APT00921"/>
    <d v="2026-02-12T00:00:00"/>
    <x v="348"/>
    <x v="3"/>
    <s v="Follow-up"/>
    <s v="Routine"/>
    <x v="2"/>
    <s v="Neurology B"/>
    <s v="Riverside Clinic"/>
    <n v="30"/>
    <n v="67"/>
    <x v="4"/>
  </r>
  <r>
    <s v="APT00922"/>
    <d v="2025-10-26T00:00:00"/>
    <x v="64"/>
    <x v="0"/>
    <s v="Follow-up"/>
    <s v="Routine"/>
    <x v="0"/>
    <s v="Dermatology A"/>
    <s v="Riverside Clinic"/>
    <n v="30"/>
    <n v="19"/>
    <x v="0"/>
  </r>
  <r>
    <s v="APT00923"/>
    <d v="2025-09-10T00:00:00"/>
    <x v="316"/>
    <x v="2"/>
    <s v="Follow-up"/>
    <s v="Urgent"/>
    <x v="0"/>
    <s v="Gastro A"/>
    <s v="Royal South Hospital"/>
    <n v="15"/>
    <n v="38"/>
    <x v="1"/>
  </r>
  <r>
    <s v="APT00924"/>
    <d v="2025-05-23T00:00:00"/>
    <x v="349"/>
    <x v="3"/>
    <s v="New"/>
    <s v="Routine"/>
    <x v="0"/>
    <s v="Neurology A"/>
    <s v="Royal South Hospital"/>
    <n v="45"/>
    <n v="34"/>
    <x v="1"/>
  </r>
  <r>
    <s v="APT00925"/>
    <d v="2025-06-30T00:00:00"/>
    <x v="65"/>
    <x v="4"/>
    <s v="Follow-up"/>
    <s v="Routine"/>
    <x v="0"/>
    <s v="Orthopaedics A"/>
    <s v="Central Outpatients"/>
    <n v="30"/>
    <n v="33"/>
    <x v="1"/>
  </r>
  <r>
    <s v="APT00926"/>
    <d v="2026-03-11T00:00:00"/>
    <x v="192"/>
    <x v="2"/>
    <s v="New"/>
    <s v="Urgent"/>
    <x v="0"/>
    <s v="Gastro B"/>
    <s v="Unknown"/>
    <n v="45"/>
    <n v="32"/>
    <x v="1"/>
  </r>
  <r>
    <s v="APT00927"/>
    <d v="2025-10-15T00:00:00"/>
    <x v="347"/>
    <x v="2"/>
    <s v="New"/>
    <s v="Routine"/>
    <x v="0"/>
    <s v="Gastro B"/>
    <s v="Riverside Clinic"/>
    <n v="30"/>
    <n v="36"/>
    <x v="1"/>
  </r>
  <r>
    <s v="APT00928"/>
    <d v="2025-07-19T00:00:00"/>
    <x v="218"/>
    <x v="3"/>
    <s v="Follow-up"/>
    <s v="Routine"/>
    <x v="2"/>
    <s v="Neurology A"/>
    <s v="Central Outpatients"/>
    <n v="30"/>
    <n v="50"/>
    <x v="3"/>
  </r>
  <r>
    <s v="APT00929"/>
    <d v="2025-08-31T00:00:00"/>
    <x v="85"/>
    <x v="3"/>
    <s v="New"/>
    <s v="Routine"/>
    <x v="0"/>
    <s v="Neurology A"/>
    <s v="Central Outpatients"/>
    <n v="30"/>
    <n v="59"/>
    <x v="4"/>
  </r>
  <r>
    <s v="APT00930"/>
    <d v="2025-10-28T00:00:00"/>
    <x v="38"/>
    <x v="4"/>
    <s v="Follow-up"/>
    <s v="Routine"/>
    <x v="0"/>
    <s v="Orthopaedics B"/>
    <s v="Riverside Clinic"/>
    <n v="15"/>
    <n v="34"/>
    <x v="1"/>
  </r>
  <r>
    <s v="APT00931"/>
    <d v="2025-10-13T00:00:00"/>
    <x v="38"/>
    <x v="1"/>
    <s v="Follow-up"/>
    <s v="Routine"/>
    <x v="0"/>
    <s v="Cardiology A"/>
    <s v="Royal South Hospital"/>
    <n v="15"/>
    <n v="49"/>
    <x v="3"/>
  </r>
  <r>
    <s v="APT00932"/>
    <d v="2025-12-11T00:00:00"/>
    <x v="246"/>
    <x v="4"/>
    <s v="New"/>
    <s v="Routine"/>
    <x v="0"/>
    <s v="Orthopaedics A"/>
    <s v="Riverside Clinic"/>
    <n v="45"/>
    <n v="22"/>
    <x v="0"/>
  </r>
  <r>
    <s v="APT00933"/>
    <d v="2025-07-03T00:00:00"/>
    <x v="271"/>
    <x v="2"/>
    <s v="Follow-up"/>
    <s v="Routine"/>
    <x v="2"/>
    <s v="Gastro B"/>
    <s v="Central Outpatients"/>
    <n v="15"/>
    <n v="48"/>
    <x v="3"/>
  </r>
  <r>
    <s v="APT00934"/>
    <d v="2025-11-23T00:00:00"/>
    <x v="350"/>
    <x v="1"/>
    <s v="Follow-up"/>
    <s v="Routine"/>
    <x v="0"/>
    <s v="Cardiology B"/>
    <s v="Riverside Clinic"/>
    <n v="30"/>
    <n v="21"/>
    <x v="0"/>
  </r>
  <r>
    <s v="APT00935"/>
    <d v="2025-09-09T00:00:00"/>
    <x v="28"/>
    <x v="3"/>
    <s v="Follow-up"/>
    <s v="Routine"/>
    <x v="1"/>
    <s v="Neurology A"/>
    <s v="Royal South Hospital"/>
    <n v="15"/>
    <n v="54"/>
    <x v="3"/>
  </r>
  <r>
    <s v="APT00936"/>
    <d v="2026-03-09T00:00:00"/>
    <x v="351"/>
    <x v="3"/>
    <s v="New"/>
    <s v="Urgent"/>
    <x v="0"/>
    <s v="Neurology A"/>
    <s v="Central Outpatients"/>
    <n v="30"/>
    <n v="74"/>
    <x v="4"/>
  </r>
  <r>
    <s v="APT00937"/>
    <d v="2025-05-28T00:00:00"/>
    <x v="130"/>
    <x v="2"/>
    <s v="Follow-up"/>
    <s v="Routine"/>
    <x v="0"/>
    <s v="Gastro A"/>
    <s v="Riverside Clinic"/>
    <n v="15"/>
    <n v="32"/>
    <x v="1"/>
  </r>
  <r>
    <s v="APT00938"/>
    <d v="2025-05-25T00:00:00"/>
    <x v="333"/>
    <x v="4"/>
    <s v="Follow-up"/>
    <s v="Routine"/>
    <x v="0"/>
    <s v="Orthopaedics B"/>
    <s v="Royal South Hospital"/>
    <n v="15"/>
    <n v="2"/>
    <x v="2"/>
  </r>
  <r>
    <s v="APT00939"/>
    <d v="2025-09-16T00:00:00"/>
    <x v="251"/>
    <x v="0"/>
    <s v="Follow-up"/>
    <s v="Routine"/>
    <x v="0"/>
    <s v="Dermatology B"/>
    <s v="Central Outpatients"/>
    <n v="15"/>
    <n v="25"/>
    <x v="0"/>
  </r>
  <r>
    <s v="APT00940"/>
    <d v="2025-10-03T00:00:00"/>
    <x v="202"/>
    <x v="1"/>
    <s v="New"/>
    <s v="Routine"/>
    <x v="1"/>
    <s v="Cardiology B"/>
    <s v="Riverside Clinic"/>
    <n v="30"/>
    <n v="57"/>
    <x v="4"/>
  </r>
  <r>
    <s v="APT00941"/>
    <d v="2025-12-08T00:00:00"/>
    <x v="118"/>
    <x v="0"/>
    <s v="Follow-up"/>
    <s v="Urgent"/>
    <x v="0"/>
    <s v="Dermatology A"/>
    <s v="Central Outpatients"/>
    <n v="30"/>
    <n v="44"/>
    <x v="3"/>
  </r>
  <r>
    <s v="APT00942"/>
    <d v="2025-08-26T00:00:00"/>
    <x v="188"/>
    <x v="2"/>
    <s v="Follow-up"/>
    <s v="Routine"/>
    <x v="0"/>
    <s v="Gastro B"/>
    <s v="Central Outpatients"/>
    <n v="15"/>
    <n v="39"/>
    <x v="1"/>
  </r>
  <r>
    <s v="APT00943"/>
    <d v="2026-02-27T00:00:00"/>
    <x v="272"/>
    <x v="3"/>
    <s v="New"/>
    <s v="Routine"/>
    <x v="0"/>
    <s v="Neurology A"/>
    <s v="Royal South Hospital"/>
    <n v="30"/>
    <n v="53"/>
    <x v="3"/>
  </r>
  <r>
    <s v="APT00944"/>
    <d v="2025-09-20T00:00:00"/>
    <x v="28"/>
    <x v="4"/>
    <s v="Follow-up"/>
    <s v="Routine"/>
    <x v="0"/>
    <s v="Orthopaedics B"/>
    <s v="Riverside Clinic"/>
    <n v="30"/>
    <n v="43"/>
    <x v="3"/>
  </r>
  <r>
    <s v="APT00945"/>
    <d v="2025-05-18T00:00:00"/>
    <x v="201"/>
    <x v="3"/>
    <s v="Follow-up"/>
    <s v="Routine"/>
    <x v="0"/>
    <s v="Neurology B"/>
    <s v="Royal South Hospital"/>
    <n v="30"/>
    <n v="56"/>
    <x v="3"/>
  </r>
  <r>
    <s v="APT00946"/>
    <d v="2025-05-14T00:00:00"/>
    <x v="39"/>
    <x v="1"/>
    <s v="Follow-up"/>
    <s v="Routine"/>
    <x v="0"/>
    <s v="Cardiology B"/>
    <s v="Central Outpatients"/>
    <n v="30"/>
    <n v="51"/>
    <x v="3"/>
  </r>
  <r>
    <s v="APT00947"/>
    <d v="2026-03-21T00:00:00"/>
    <x v="351"/>
    <x v="0"/>
    <s v="Follow-up"/>
    <s v="Routine"/>
    <x v="0"/>
    <s v="Dermatology B"/>
    <s v="Central Outpatients"/>
    <n v="15"/>
    <n v="62"/>
    <x v="4"/>
  </r>
  <r>
    <s v="APT00948"/>
    <d v="2025-05-19T00:00:00"/>
    <x v="130"/>
    <x v="1"/>
    <s v="Follow-up"/>
    <s v="Routine"/>
    <x v="0"/>
    <s v="Cardiology A"/>
    <s v="Central Outpatients"/>
    <n v="15"/>
    <n v="41"/>
    <x v="1"/>
  </r>
  <r>
    <s v="APT00949"/>
    <d v="2026-03-12T00:00:00"/>
    <x v="332"/>
    <x v="3"/>
    <s v="Follow-up"/>
    <s v="Routine"/>
    <x v="2"/>
    <s v="Neurology B"/>
    <s v="Riverside Clinic"/>
    <n v="15"/>
    <n v="51"/>
    <x v="3"/>
  </r>
  <r>
    <s v="APT00950"/>
    <d v="2025-07-11T00:00:00"/>
    <x v="228"/>
    <x v="0"/>
    <s v="Follow-up"/>
    <s v="Routine"/>
    <x v="0"/>
    <s v="Dermatology A"/>
    <s v="Central Outpatients"/>
    <n v="15"/>
    <n v="29"/>
    <x v="1"/>
  </r>
  <r>
    <s v="APT00951"/>
    <d v="2025-05-05T00:00:00"/>
    <x v="229"/>
    <x v="2"/>
    <s v="New"/>
    <s v="Urgent"/>
    <x v="0"/>
    <s v="Gastro B"/>
    <s v="Royal South Hospital"/>
    <n v="30"/>
    <n v="24"/>
    <x v="0"/>
  </r>
  <r>
    <s v="APT00952"/>
    <d v="2025-07-20T00:00:00"/>
    <x v="4"/>
    <x v="4"/>
    <s v="New"/>
    <s v="Routine"/>
    <x v="0"/>
    <s v="Orthopaedics A"/>
    <s v="Royal South Hospital"/>
    <n v="30"/>
    <n v="65"/>
    <x v="4"/>
  </r>
  <r>
    <s v="APT00953"/>
    <d v="2025-11-10T00:00:00"/>
    <x v="288"/>
    <x v="3"/>
    <s v="New"/>
    <s v="Routine"/>
    <x v="1"/>
    <s v="Neurology B"/>
    <s v="Royal South Hospital"/>
    <n v="45"/>
    <n v="38"/>
    <x v="1"/>
  </r>
  <r>
    <s v="APT00954"/>
    <d v="2025-09-03T00:00:00"/>
    <x v="19"/>
    <x v="0"/>
    <s v="Follow-up"/>
    <s v="Urgent"/>
    <x v="0"/>
    <s v="Dermatology A"/>
    <s v="Central Outpatients"/>
    <n v="15"/>
    <n v="49"/>
    <x v="3"/>
  </r>
  <r>
    <s v="APT00955"/>
    <d v="2026-01-11T00:00:00"/>
    <x v="224"/>
    <x v="0"/>
    <s v="New"/>
    <s v="Routine"/>
    <x v="2"/>
    <s v="Dermatology B"/>
    <s v="Riverside Clinic"/>
    <n v="45"/>
    <n v="37"/>
    <x v="1"/>
  </r>
  <r>
    <s v="APT00956"/>
    <d v="2025-11-09T00:00:00"/>
    <x v="252"/>
    <x v="3"/>
    <s v="Follow-up"/>
    <s v="Routine"/>
    <x v="1"/>
    <s v="Neurology A"/>
    <s v="Riverside Clinic"/>
    <n v="30"/>
    <n v="24"/>
    <x v="0"/>
  </r>
  <r>
    <s v="APT00957"/>
    <d v="2025-08-24T00:00:00"/>
    <x v="342"/>
    <x v="2"/>
    <s v="Follow-up"/>
    <s v="Urgent"/>
    <x v="0"/>
    <s v="Gastro A"/>
    <s v="Royal South Hospital"/>
    <n v="15"/>
    <n v="35"/>
    <x v="1"/>
  </r>
  <r>
    <s v="APT00958"/>
    <d v="2025-11-18T00:00:00"/>
    <x v="150"/>
    <x v="1"/>
    <s v="New"/>
    <s v="Urgent"/>
    <x v="0"/>
    <s v="Cardiology B"/>
    <s v="Riverside Clinic"/>
    <n v="30"/>
    <n v="60"/>
    <x v="4"/>
  </r>
  <r>
    <s v="APT00959"/>
    <d v="2026-03-20T00:00:00"/>
    <x v="352"/>
    <x v="4"/>
    <s v="Follow-up"/>
    <s v="Routine"/>
    <x v="0"/>
    <s v="Orthopaedics A"/>
    <s v="Royal South Hospital"/>
    <n v="30"/>
    <n v="44"/>
    <x v="3"/>
  </r>
  <r>
    <s v="APT00960"/>
    <d v="2025-08-28T00:00:00"/>
    <x v="282"/>
    <x v="2"/>
    <s v="Follow-up"/>
    <s v="Routine"/>
    <x v="0"/>
    <s v="Gastro B"/>
    <s v="Central Outpatients"/>
    <n v="30"/>
    <n v="4"/>
    <x v="2"/>
  </r>
  <r>
    <s v="APT00961"/>
    <d v="2025-05-26T00:00:00"/>
    <x v="349"/>
    <x v="2"/>
    <s v="New"/>
    <s v="Urgent"/>
    <x v="2"/>
    <s v="Gastro A"/>
    <s v="Central Outpatients"/>
    <n v="30"/>
    <n v="31"/>
    <x v="1"/>
  </r>
  <r>
    <s v="APT00962"/>
    <d v="2025-08-27T00:00:00"/>
    <x v="28"/>
    <x v="1"/>
    <s v="New"/>
    <s v="Routine"/>
    <x v="0"/>
    <s v="Cardiology B"/>
    <s v="Riverside Clinic"/>
    <n v="30"/>
    <n v="67"/>
    <x v="4"/>
  </r>
  <r>
    <s v="APT00963"/>
    <d v="2026-01-31T00:00:00"/>
    <x v="293"/>
    <x v="0"/>
    <s v="New"/>
    <s v="Routine"/>
    <x v="0"/>
    <s v="Dermatology A"/>
    <s v="Central Outpatients"/>
    <n v="30"/>
    <n v="31"/>
    <x v="1"/>
  </r>
  <r>
    <s v="APT00964"/>
    <d v="2025-06-19T00:00:00"/>
    <x v="62"/>
    <x v="0"/>
    <s v="New"/>
    <s v="Routine"/>
    <x v="2"/>
    <s v="Dermatology A"/>
    <s v="Royal South Hospital"/>
    <n v="30"/>
    <n v="2"/>
    <x v="2"/>
  </r>
  <r>
    <s v="APT00965"/>
    <d v="2026-03-12T00:00:00"/>
    <x v="353"/>
    <x v="0"/>
    <s v="New"/>
    <s v="Routine"/>
    <x v="0"/>
    <s v="Dermatology B"/>
    <s v="Royal South Hospital"/>
    <n v="45"/>
    <n v="69"/>
    <x v="4"/>
  </r>
  <r>
    <s v="APT00966"/>
    <d v="2025-11-01T00:00:00"/>
    <x v="288"/>
    <x v="2"/>
    <s v="Follow-up"/>
    <s v="Urgent"/>
    <x v="0"/>
    <s v="Gastro B"/>
    <s v="Riverside Clinic"/>
    <n v="15"/>
    <n v="47"/>
    <x v="3"/>
  </r>
  <r>
    <s v="APT00967"/>
    <d v="2025-11-05T00:00:00"/>
    <x v="78"/>
    <x v="2"/>
    <s v="New"/>
    <s v="Urgent"/>
    <x v="2"/>
    <s v="Gastro A"/>
    <s v="Riverside Clinic"/>
    <n v="30"/>
    <n v="33"/>
    <x v="1"/>
  </r>
  <r>
    <s v="APT00968"/>
    <d v="2025-07-25T00:00:00"/>
    <x v="298"/>
    <x v="4"/>
    <s v="New"/>
    <s v="Routine"/>
    <x v="0"/>
    <s v="Orthopaedics B"/>
    <s v="Royal South Hospital"/>
    <n v="30"/>
    <n v="28"/>
    <x v="0"/>
  </r>
  <r>
    <s v="APT00969"/>
    <d v="2026-03-02T00:00:00"/>
    <x v="157"/>
    <x v="4"/>
    <s v="New"/>
    <s v="Routine"/>
    <x v="0"/>
    <s v="Orthopaedics A"/>
    <s v="Royal South Hospital"/>
    <n v="30"/>
    <n v="54"/>
    <x v="3"/>
  </r>
  <r>
    <s v="APT00970"/>
    <d v="2025-04-14T00:00:00"/>
    <x v="115"/>
    <x v="1"/>
    <s v="New"/>
    <s v="Routine"/>
    <x v="0"/>
    <s v="Cardiology B"/>
    <s v="Riverside Clinic"/>
    <n v="30"/>
    <n v="25"/>
    <x v="0"/>
  </r>
  <r>
    <s v="APT00971"/>
    <d v="2025-07-18T00:00:00"/>
    <x v="37"/>
    <x v="1"/>
    <s v="Follow-up"/>
    <s v="Routine"/>
    <x v="2"/>
    <s v="Cardiology B"/>
    <s v="Royal South Hospital"/>
    <n v="15"/>
    <n v="55"/>
    <x v="3"/>
  </r>
  <r>
    <s v="APT00972"/>
    <d v="2025-08-31T00:00:00"/>
    <x v="108"/>
    <x v="4"/>
    <s v="New"/>
    <s v="Routine"/>
    <x v="0"/>
    <s v="Orthopaedics B"/>
    <s v="Royal South Hospital"/>
    <n v="30"/>
    <n v="44"/>
    <x v="3"/>
  </r>
  <r>
    <s v="APT00973"/>
    <d v="2025-09-21T00:00:00"/>
    <x v="90"/>
    <x v="4"/>
    <s v="New"/>
    <s v="Routine"/>
    <x v="0"/>
    <s v="Orthopaedics A"/>
    <s v="Royal South Hospital"/>
    <n v="30"/>
    <n v="39"/>
    <x v="1"/>
  </r>
  <r>
    <s v="APT00974"/>
    <d v="2025-09-20T00:00:00"/>
    <x v="354"/>
    <x v="4"/>
    <s v="Follow-up"/>
    <s v="Routine"/>
    <x v="0"/>
    <s v="Orthopaedics A"/>
    <s v="Central Outpatients"/>
    <n v="15"/>
    <n v="37"/>
    <x v="1"/>
  </r>
  <r>
    <s v="APT00975"/>
    <d v="2025-05-24T00:00:00"/>
    <x v="136"/>
    <x v="1"/>
    <s v="Follow-up"/>
    <s v="Routine"/>
    <x v="2"/>
    <s v="Cardiology B"/>
    <s v="Royal South Hospital"/>
    <n v="30"/>
    <n v="31"/>
    <x v="1"/>
  </r>
  <r>
    <s v="APT00976"/>
    <d v="2025-06-22T00:00:00"/>
    <x v="355"/>
    <x v="0"/>
    <s v="Follow-up"/>
    <s v="Routine"/>
    <x v="0"/>
    <s v="Dermatology A"/>
    <s v="Royal South Hospital"/>
    <n v="15"/>
    <n v="53"/>
    <x v="3"/>
  </r>
  <r>
    <s v="APT00977"/>
    <d v="2025-05-05T00:00:00"/>
    <x v="42"/>
    <x v="1"/>
    <s v="Follow-up"/>
    <s v="Routine"/>
    <x v="0"/>
    <s v="Cardiology B"/>
    <s v="Royal South Hospital"/>
    <n v="30"/>
    <n v="19"/>
    <x v="0"/>
  </r>
  <r>
    <s v="APT00978"/>
    <d v="2025-10-26T00:00:00"/>
    <x v="283"/>
    <x v="4"/>
    <s v="Follow-up"/>
    <s v="Urgent"/>
    <x v="2"/>
    <s v="Orthopaedics B"/>
    <s v="Royal South Hospital"/>
    <n v="15"/>
    <n v="5"/>
    <x v="2"/>
  </r>
  <r>
    <s v="APT00979"/>
    <d v="2025-08-06T00:00:00"/>
    <x v="3"/>
    <x v="2"/>
    <s v="Follow-up"/>
    <s v="Routine"/>
    <x v="0"/>
    <s v="Gastro B"/>
    <s v="Riverside Clinic"/>
    <n v="30"/>
    <n v="46"/>
    <x v="3"/>
  </r>
  <r>
    <s v="APT00980"/>
    <d v="2025-10-23T00:00:00"/>
    <x v="78"/>
    <x v="2"/>
    <s v="Follow-up"/>
    <s v="Routine"/>
    <x v="0"/>
    <s v="Gastro B"/>
    <s v="Royal South Hospital"/>
    <n v="30"/>
    <n v="46"/>
    <x v="3"/>
  </r>
  <r>
    <s v="APT00981"/>
    <d v="2025-11-01T00:00:00"/>
    <x v="350"/>
    <x v="2"/>
    <s v="New"/>
    <s v="Routine"/>
    <x v="0"/>
    <s v="Gastro A"/>
    <s v="Royal South Hospital"/>
    <n v="30"/>
    <n v="43"/>
    <x v="3"/>
  </r>
  <r>
    <s v="APT00982"/>
    <d v="2025-12-12T00:00:00"/>
    <x v="277"/>
    <x v="0"/>
    <s v="Follow-up"/>
    <s v="Routine"/>
    <x v="0"/>
    <s v="Dermatology B"/>
    <s v="Central Outpatients"/>
    <n v="30"/>
    <n v="42"/>
    <x v="1"/>
  </r>
  <r>
    <s v="APT00983"/>
    <d v="2025-10-17T00:00:00"/>
    <x v="96"/>
    <x v="3"/>
    <s v="Follow-up"/>
    <s v="Routine"/>
    <x v="0"/>
    <s v="Neurology A"/>
    <s v="Central Outpatients"/>
    <n v="15"/>
    <n v="29"/>
    <x v="1"/>
  </r>
  <r>
    <s v="APT00984"/>
    <d v="2025-11-22T00:00:00"/>
    <x v="205"/>
    <x v="1"/>
    <s v="Follow-up"/>
    <s v="Routine"/>
    <x v="0"/>
    <s v="Cardiology B"/>
    <s v="Royal South Hospital"/>
    <n v="15"/>
    <n v="49"/>
    <x v="3"/>
  </r>
  <r>
    <s v="APT00985"/>
    <d v="2025-10-31T00:00:00"/>
    <x v="306"/>
    <x v="3"/>
    <s v="Follow-up"/>
    <s v="Routine"/>
    <x v="0"/>
    <s v="Neurology A"/>
    <s v="Royal South Hospital"/>
    <n v="15"/>
    <n v="34"/>
    <x v="1"/>
  </r>
  <r>
    <s v="APT00986"/>
    <d v="2025-11-24T00:00:00"/>
    <x v="95"/>
    <x v="3"/>
    <s v="Follow-up"/>
    <s v="Routine"/>
    <x v="0"/>
    <s v="Neurology B"/>
    <s v="Central Outpatients"/>
    <n v="15"/>
    <n v="26"/>
    <x v="0"/>
  </r>
  <r>
    <s v="APT00987"/>
    <d v="2025-11-11T00:00:00"/>
    <x v="257"/>
    <x v="3"/>
    <s v="New"/>
    <s v="Routine"/>
    <x v="1"/>
    <s v="Neurology A"/>
    <s v="Riverside Clinic"/>
    <n v="30"/>
    <n v="29"/>
    <x v="1"/>
  </r>
  <r>
    <s v="APT00988"/>
    <d v="2025-07-25T00:00:00"/>
    <x v="188"/>
    <x v="0"/>
    <s v="Follow-up"/>
    <s v="Routine"/>
    <x v="0"/>
    <s v="Dermatology B"/>
    <s v="Central Outpatients"/>
    <n v="15"/>
    <n v="71"/>
    <x v="4"/>
  </r>
  <r>
    <s v="APT00989"/>
    <d v="2025-06-29T00:00:00"/>
    <x v="279"/>
    <x v="4"/>
    <s v="New"/>
    <s v="Routine"/>
    <x v="2"/>
    <s v="Orthopaedics B"/>
    <s v="Royal South Hospital"/>
    <n v="30"/>
    <n v="3"/>
    <x v="2"/>
  </r>
  <r>
    <s v="APT00990"/>
    <d v="2026-01-12T00:00:00"/>
    <x v="230"/>
    <x v="3"/>
    <s v="Follow-up"/>
    <s v="Routine"/>
    <x v="0"/>
    <s v="Neurology B"/>
    <s v="Riverside Clinic"/>
    <n v="30"/>
    <n v="43"/>
    <x v="3"/>
  </r>
  <r>
    <s v="APT00991"/>
    <d v="2025-08-03T00:00:00"/>
    <x v="77"/>
    <x v="1"/>
    <s v="Follow-up"/>
    <s v="Routine"/>
    <x v="0"/>
    <s v="Cardiology B"/>
    <s v="Royal South Hospital"/>
    <n v="15"/>
    <n v="4"/>
    <x v="2"/>
  </r>
  <r>
    <s v="APT00992"/>
    <d v="2025-10-17T00:00:00"/>
    <x v="303"/>
    <x v="1"/>
    <s v="New"/>
    <s v="Routine"/>
    <x v="0"/>
    <s v="Cardiology B"/>
    <s v="Royal South Hospital"/>
    <n v="30"/>
    <n v="33"/>
    <x v="1"/>
  </r>
  <r>
    <s v="APT00993"/>
    <d v="2025-06-11T00:00:00"/>
    <x v="304"/>
    <x v="3"/>
    <s v="New"/>
    <s v="Urgent"/>
    <x v="0"/>
    <s v="Neurology A"/>
    <s v="Riverside Clinic"/>
    <n v="30"/>
    <n v="27"/>
    <x v="0"/>
  </r>
  <r>
    <s v="APT00994"/>
    <d v="2025-09-05T00:00:00"/>
    <x v="218"/>
    <x v="0"/>
    <s v="New"/>
    <s v="Routine"/>
    <x v="0"/>
    <s v="Dermatology A"/>
    <s v="Riverside Clinic"/>
    <n v="30"/>
    <n v="2"/>
    <x v="2"/>
  </r>
  <r>
    <s v="APT00995"/>
    <d v="2025-10-10T00:00:00"/>
    <x v="265"/>
    <x v="1"/>
    <s v="Follow-up"/>
    <s v="Routine"/>
    <x v="0"/>
    <s v="Cardiology A"/>
    <s v="Royal South Hospital"/>
    <n v="30"/>
    <n v="42"/>
    <x v="1"/>
  </r>
  <r>
    <s v="APT00996"/>
    <d v="2025-11-14T00:00:00"/>
    <x v="168"/>
    <x v="1"/>
    <s v="Follow-up"/>
    <s v="Routine"/>
    <x v="2"/>
    <s v="Cardiology A"/>
    <s v="Royal South Hospital"/>
    <n v="15"/>
    <n v="28"/>
    <x v="0"/>
  </r>
  <r>
    <s v="APT00997"/>
    <d v="2025-10-09T00:00:00"/>
    <x v="251"/>
    <x v="1"/>
    <s v="Follow-up"/>
    <s v="Routine"/>
    <x v="0"/>
    <s v="Cardiology A"/>
    <s v="Riverside Clinic"/>
    <n v="30"/>
    <n v="2"/>
    <x v="2"/>
  </r>
  <r>
    <s v="APT00998"/>
    <d v="2025-08-10T00:00:00"/>
    <x v="54"/>
    <x v="2"/>
    <s v="New"/>
    <s v="Routine"/>
    <x v="0"/>
    <s v="Gastro A"/>
    <s v="Royal South Hospital"/>
    <n v="30"/>
    <n v="50"/>
    <x v="3"/>
  </r>
  <r>
    <s v="APT00999"/>
    <d v="2026-03-17T00:00:00"/>
    <x v="356"/>
    <x v="3"/>
    <s v="Follow-up"/>
    <s v="Urgent"/>
    <x v="0"/>
    <s v="Neurology B"/>
    <s v="Royal South Hospital"/>
    <n v="15"/>
    <n v="60"/>
    <x v="4"/>
  </r>
  <r>
    <s v="APT01000"/>
    <d v="2025-10-04T00:00:00"/>
    <x v="306"/>
    <x v="1"/>
    <s v="Follow-up"/>
    <s v="Routine"/>
    <x v="1"/>
    <s v="Cardiology A"/>
    <s v="Royal South Hospital"/>
    <n v="30"/>
    <n v="61"/>
    <x v="4"/>
  </r>
  <r>
    <s v="APT01001"/>
    <d v="2026-01-20T00:00:00"/>
    <x v="5"/>
    <x v="3"/>
    <s v="New"/>
    <s v="Routine"/>
    <x v="0"/>
    <s v="Neurology B"/>
    <s v="Royal South Hospital"/>
    <n v="30"/>
    <n v="41"/>
    <x v="1"/>
  </r>
  <r>
    <s v="APT01002"/>
    <d v="2025-12-25T00:00:00"/>
    <x v="270"/>
    <x v="0"/>
    <s v="New"/>
    <s v="Routine"/>
    <x v="0"/>
    <s v="Dermatology B"/>
    <s v="Central Outpatients"/>
    <n v="45"/>
    <n v="35"/>
    <x v="1"/>
  </r>
  <r>
    <s v="APT01003"/>
    <d v="2025-10-21T00:00:00"/>
    <x v="288"/>
    <x v="0"/>
    <s v="Follow-up"/>
    <s v="Routine"/>
    <x v="0"/>
    <s v="Dermatology A"/>
    <s v="Royal South Hospital"/>
    <n v="30"/>
    <n v="58"/>
    <x v="4"/>
  </r>
  <r>
    <s v="APT01004"/>
    <d v="2026-02-17T00:00:00"/>
    <x v="266"/>
    <x v="0"/>
    <s v="New"/>
    <s v="Urgent"/>
    <x v="0"/>
    <s v="Dermatology B"/>
    <s v="Riverside Clinic"/>
    <n v="45"/>
    <n v="65"/>
    <x v="4"/>
  </r>
  <r>
    <s v="APT01005"/>
    <d v="2025-05-17T00:00:00"/>
    <x v="209"/>
    <x v="4"/>
    <s v="New"/>
    <s v="Urgent"/>
    <x v="0"/>
    <s v="Orthopaedics A"/>
    <s v="Riverside Clinic"/>
    <n v="45"/>
    <n v="55"/>
    <x v="3"/>
  </r>
  <r>
    <s v="APT01006"/>
    <d v="2026-03-02T00:00:00"/>
    <x v="357"/>
    <x v="4"/>
    <s v="New"/>
    <s v="Routine"/>
    <x v="0"/>
    <s v="Orthopaedics A"/>
    <s v="Royal South Hospital"/>
    <n v="30"/>
    <n v="18"/>
    <x v="0"/>
  </r>
  <r>
    <s v="APT01007"/>
    <d v="2026-02-04T00:00:00"/>
    <x v="131"/>
    <x v="2"/>
    <s v="New"/>
    <s v="Routine"/>
    <x v="0"/>
    <s v="Gastro B"/>
    <s v="Riverside Clinic"/>
    <n v="30"/>
    <n v="38"/>
    <x v="1"/>
  </r>
  <r>
    <s v="APT01008"/>
    <d v="2025-10-01T00:00:00"/>
    <x v="134"/>
    <x v="1"/>
    <s v="New"/>
    <s v="Routine"/>
    <x v="1"/>
    <s v="Cardiology A"/>
    <s v="Royal South Hospital"/>
    <n v="30"/>
    <n v="42"/>
    <x v="1"/>
  </r>
  <r>
    <s v="APT01009"/>
    <d v="2025-12-23T00:00:00"/>
    <x v="199"/>
    <x v="0"/>
    <s v="New"/>
    <s v="Routine"/>
    <x v="0"/>
    <s v="Dermatology B"/>
    <s v="Central Outpatients"/>
    <n v="30"/>
    <n v="2"/>
    <x v="2"/>
  </r>
  <r>
    <s v="APT01010"/>
    <d v="2025-10-07T00:00:00"/>
    <x v="303"/>
    <x v="1"/>
    <s v="Follow-up"/>
    <s v="Routine"/>
    <x v="0"/>
    <s v="Cardiology B"/>
    <s v="Central Outpatients"/>
    <n v="30"/>
    <n v="43"/>
    <x v="3"/>
  </r>
  <r>
    <s v="APT01011"/>
    <d v="2025-07-07T00:00:00"/>
    <x v="273"/>
    <x v="4"/>
    <s v="Follow-up"/>
    <s v="Urgent"/>
    <x v="0"/>
    <s v="Orthopaedics A"/>
    <s v="Central Outpatients"/>
    <n v="15"/>
    <n v="75"/>
    <x v="4"/>
  </r>
  <r>
    <s v="APT01012"/>
    <d v="2026-01-17T00:00:00"/>
    <x v="274"/>
    <x v="1"/>
    <s v="Follow-up"/>
    <s v="Routine"/>
    <x v="2"/>
    <s v="Cardiology B"/>
    <s v="Royal South Hospital"/>
    <n v="30"/>
    <n v="46"/>
    <x v="3"/>
  </r>
  <r>
    <s v="APT01013"/>
    <d v="2025-06-29T00:00:00"/>
    <x v="112"/>
    <x v="4"/>
    <s v="Follow-up"/>
    <s v="Routine"/>
    <x v="0"/>
    <s v="Orthopaedics A"/>
    <s v="Central Outpatients"/>
    <n v="15"/>
    <n v="61"/>
    <x v="4"/>
  </r>
  <r>
    <s v="APT01014"/>
    <d v="2025-07-24T00:00:00"/>
    <x v="105"/>
    <x v="2"/>
    <s v="Follow-up"/>
    <s v="Routine"/>
    <x v="0"/>
    <s v="Gastro B"/>
    <s v="Riverside Clinic"/>
    <n v="15"/>
    <n v="38"/>
    <x v="1"/>
  </r>
  <r>
    <s v="APT01015"/>
    <d v="2025-10-07T00:00:00"/>
    <x v="32"/>
    <x v="2"/>
    <s v="New"/>
    <s v="Routine"/>
    <x v="2"/>
    <s v="Gastro A"/>
    <s v="Royal South Hospital"/>
    <n v="30"/>
    <n v="33"/>
    <x v="1"/>
  </r>
  <r>
    <s v="APT01016"/>
    <d v="2026-01-30T00:00:00"/>
    <x v="163"/>
    <x v="4"/>
    <s v="New"/>
    <s v="Routine"/>
    <x v="0"/>
    <s v="Orthopaedics A"/>
    <s v="Royal South Hospital"/>
    <n v="45"/>
    <n v="41"/>
    <x v="1"/>
  </r>
  <r>
    <s v="APT01017"/>
    <d v="2025-08-18T00:00:00"/>
    <x v="218"/>
    <x v="1"/>
    <s v="New"/>
    <s v="Routine"/>
    <x v="0"/>
    <s v="Cardiology B"/>
    <s v="Royal South Hospital"/>
    <n v="30"/>
    <n v="20"/>
    <x v="0"/>
  </r>
  <r>
    <s v="APT01018"/>
    <d v="2025-09-27T00:00:00"/>
    <x v="108"/>
    <x v="4"/>
    <s v="Follow-up"/>
    <s v="Routine"/>
    <x v="0"/>
    <s v="Orthopaedics A"/>
    <s v="Royal South Hospital"/>
    <n v="30"/>
    <n v="17"/>
    <x v="0"/>
  </r>
  <r>
    <s v="APT01019"/>
    <d v="2025-04-16T00:00:00"/>
    <x v="248"/>
    <x v="1"/>
    <s v="Follow-up"/>
    <s v="Urgent"/>
    <x v="0"/>
    <s v="Cardiology A"/>
    <s v="Royal South Hospital"/>
    <n v="15"/>
    <n v="57"/>
    <x v="4"/>
  </r>
  <r>
    <s v="APT01020"/>
    <d v="2025-05-13T00:00:00"/>
    <x v="209"/>
    <x v="4"/>
    <s v="New"/>
    <s v="Routine"/>
    <x v="0"/>
    <s v="Orthopaedics B"/>
    <s v="Central Outpatients"/>
    <n v="30"/>
    <n v="59"/>
    <x v="4"/>
  </r>
  <r>
    <s v="APT01021"/>
    <d v="2025-04-21T00:00:00"/>
    <x v="358"/>
    <x v="2"/>
    <s v="Follow-up"/>
    <s v="Routine"/>
    <x v="0"/>
    <s v="Gastro A"/>
    <s v="Central Outpatients"/>
    <n v="15"/>
    <n v="17"/>
    <x v="0"/>
  </r>
  <r>
    <s v="APT01022"/>
    <d v="2025-04-27T00:00:00"/>
    <x v="176"/>
    <x v="1"/>
    <s v="Follow-up"/>
    <s v="Routine"/>
    <x v="0"/>
    <s v="Cardiology B"/>
    <s v="Royal South Hospital"/>
    <n v="30"/>
    <n v="52"/>
    <x v="3"/>
  </r>
  <r>
    <s v="APT01023"/>
    <d v="2026-02-11T00:00:00"/>
    <x v="70"/>
    <x v="4"/>
    <s v="New"/>
    <s v="Routine"/>
    <x v="0"/>
    <s v="Orthopaedics A"/>
    <s v="Central Outpatients"/>
    <n v="30"/>
    <n v="33"/>
    <x v="1"/>
  </r>
  <r>
    <s v="APT01024"/>
    <d v="2026-02-01T00:00:00"/>
    <x v="131"/>
    <x v="1"/>
    <s v="Follow-up"/>
    <s v="Routine"/>
    <x v="2"/>
    <s v="Cardiology B"/>
    <s v="Riverside Clinic"/>
    <n v="15"/>
    <n v="41"/>
    <x v="1"/>
  </r>
  <r>
    <s v="APT01025"/>
    <d v="2026-01-25T00:00:00"/>
    <x v="359"/>
    <x v="1"/>
    <s v="Follow-up"/>
    <s v="Urgent"/>
    <x v="0"/>
    <s v="Cardiology B"/>
    <s v="Royal South Hospital"/>
    <n v="30"/>
    <n v="43"/>
    <x v="3"/>
  </r>
  <r>
    <s v="APT01026"/>
    <d v="2025-04-21T00:00:00"/>
    <x v="248"/>
    <x v="4"/>
    <s v="Follow-up"/>
    <s v="Routine"/>
    <x v="2"/>
    <s v="Orthopaedics B"/>
    <s v="Central Outpatients"/>
    <n v="15"/>
    <n v="52"/>
    <x v="3"/>
  </r>
  <r>
    <s v="APT01027"/>
    <d v="2025-04-29T00:00:00"/>
    <x v="31"/>
    <x v="2"/>
    <s v="Follow-up"/>
    <s v="Routine"/>
    <x v="0"/>
    <s v="Gastro B"/>
    <s v="Riverside Clinic"/>
    <n v="15"/>
    <n v="36"/>
    <x v="1"/>
  </r>
  <r>
    <s v="APT01028"/>
    <d v="2025-07-12T00:00:00"/>
    <x v="360"/>
    <x v="4"/>
    <s v="Follow-up"/>
    <s v="Routine"/>
    <x v="1"/>
    <s v="Orthopaedics A"/>
    <s v="Riverside Clinic"/>
    <n v="30"/>
    <n v="60"/>
    <x v="4"/>
  </r>
  <r>
    <s v="APT01029"/>
    <d v="2025-10-23T00:00:00"/>
    <x v="106"/>
    <x v="3"/>
    <s v="New"/>
    <s v="Routine"/>
    <x v="2"/>
    <s v="Neurology B"/>
    <s v="Royal South Hospital"/>
    <n v="30"/>
    <n v="40"/>
    <x v="1"/>
  </r>
  <r>
    <s v="APT01030"/>
    <d v="2025-07-31T00:00:00"/>
    <x v="93"/>
    <x v="3"/>
    <s v="Follow-up"/>
    <s v="Urgent"/>
    <x v="0"/>
    <s v="Neurology A"/>
    <s v="Royal South Hospital"/>
    <n v="15"/>
    <n v="46"/>
    <x v="3"/>
  </r>
  <r>
    <s v="APT01031"/>
    <d v="2025-09-25T00:00:00"/>
    <x v="57"/>
    <x v="0"/>
    <s v="Follow-up"/>
    <s v="Routine"/>
    <x v="0"/>
    <s v="Dermatology A"/>
    <s v="Central Outpatients"/>
    <n v="30"/>
    <n v="20"/>
    <x v="0"/>
  </r>
  <r>
    <s v="APT01032"/>
    <d v="2025-06-02T00:00:00"/>
    <x v="355"/>
    <x v="1"/>
    <s v="New"/>
    <s v="Routine"/>
    <x v="0"/>
    <s v="Cardiology A"/>
    <s v="Royal South Hospital"/>
    <n v="45"/>
    <n v="73"/>
    <x v="4"/>
  </r>
  <r>
    <s v="APT01033"/>
    <d v="2025-12-23T00:00:00"/>
    <x v="161"/>
    <x v="4"/>
    <s v="Follow-up"/>
    <s v="Urgent"/>
    <x v="0"/>
    <s v="Orthopaedics A"/>
    <s v="Royal South Hospital"/>
    <n v="15"/>
    <n v="43"/>
    <x v="3"/>
  </r>
  <r>
    <s v="APT01034"/>
    <d v="2025-07-24T00:00:00"/>
    <x v="329"/>
    <x v="1"/>
    <s v="New"/>
    <s v="Routine"/>
    <x v="0"/>
    <s v="Cardiology A"/>
    <s v="Royal South Hospital"/>
    <n v="30"/>
    <n v="47"/>
    <x v="3"/>
  </r>
  <r>
    <s v="APT01035"/>
    <d v="2025-04-25T00:00:00"/>
    <x v="361"/>
    <x v="2"/>
    <s v="Follow-up"/>
    <s v="Routine"/>
    <x v="2"/>
    <s v="Gastro A"/>
    <s v="Royal South Hospital"/>
    <n v="15"/>
    <n v="6"/>
    <x v="2"/>
  </r>
  <r>
    <s v="APT01036"/>
    <d v="2025-12-27T00:00:00"/>
    <x v="7"/>
    <x v="0"/>
    <s v="Follow-up"/>
    <s v="Routine"/>
    <x v="0"/>
    <s v="Dermatology A"/>
    <s v="Royal South Hospital"/>
    <n v="30"/>
    <n v="20"/>
    <x v="0"/>
  </r>
  <r>
    <s v="APT01037"/>
    <d v="2026-02-23T00:00:00"/>
    <x v="272"/>
    <x v="0"/>
    <s v="Follow-up"/>
    <s v="Routine"/>
    <x v="0"/>
    <s v="Dermatology A"/>
    <s v="Central Outpatients"/>
    <n v="15"/>
    <n v="57"/>
    <x v="4"/>
  </r>
  <r>
    <s v="APT01038"/>
    <d v="2025-04-06T00:00:00"/>
    <x v="6"/>
    <x v="2"/>
    <s v="Follow-up"/>
    <s v="Routine"/>
    <x v="0"/>
    <s v="Gastro A"/>
    <s v="Royal South Hospital"/>
    <n v="15"/>
    <n v="40"/>
    <x v="1"/>
  </r>
  <r>
    <s v="APT01039"/>
    <d v="2025-09-06T00:00:00"/>
    <x v="139"/>
    <x v="4"/>
    <s v="New"/>
    <s v="Urgent"/>
    <x v="0"/>
    <s v="Orthopaedics A"/>
    <s v="Central Outpatients"/>
    <n v="30"/>
    <n v="2"/>
    <x v="2"/>
  </r>
  <r>
    <s v="APT01040"/>
    <d v="2026-01-27T00:00:00"/>
    <x v="243"/>
    <x v="4"/>
    <s v="Follow-up"/>
    <s v="Routine"/>
    <x v="0"/>
    <s v="Orthopaedics A"/>
    <s v="Riverside Clinic"/>
    <n v="15"/>
    <n v="53"/>
    <x v="3"/>
  </r>
  <r>
    <s v="APT01041"/>
    <d v="2025-12-14T00:00:00"/>
    <x v="362"/>
    <x v="4"/>
    <s v="Follow-up"/>
    <s v="Routine"/>
    <x v="0"/>
    <s v="Orthopaedics B"/>
    <s v="Riverside Clinic"/>
    <n v="30"/>
    <n v="25"/>
    <x v="0"/>
  </r>
  <r>
    <s v="APT01042"/>
    <d v="2026-02-06T00:00:00"/>
    <x v="109"/>
    <x v="0"/>
    <s v="Follow-up"/>
    <s v="Urgent"/>
    <x v="0"/>
    <s v="Dermatology B"/>
    <s v="Royal South Hospital"/>
    <n v="30"/>
    <n v="60"/>
    <x v="4"/>
  </r>
  <r>
    <s v="APT01043"/>
    <d v="2025-08-30T00:00:00"/>
    <x v="363"/>
    <x v="2"/>
    <s v="Follow-up"/>
    <s v="Routine"/>
    <x v="0"/>
    <s v="Gastro B"/>
    <s v="Royal South Hospital"/>
    <n v="30"/>
    <n v="33"/>
    <x v="1"/>
  </r>
  <r>
    <s v="APT01044"/>
    <d v="2025-08-14T00:00:00"/>
    <x v="3"/>
    <x v="1"/>
    <s v="Follow-up"/>
    <s v="Routine"/>
    <x v="0"/>
    <s v="Cardiology A"/>
    <s v="Central Outpatients"/>
    <n v="15"/>
    <n v="38"/>
    <x v="1"/>
  </r>
  <r>
    <s v="APT01045"/>
    <d v="2025-12-15T00:00:00"/>
    <x v="185"/>
    <x v="3"/>
    <s v="Follow-up"/>
    <s v="Routine"/>
    <x v="0"/>
    <s v="Neurology A"/>
    <s v="Riverside Clinic"/>
    <n v="15"/>
    <n v="56"/>
    <x v="3"/>
  </r>
  <r>
    <s v="APT01046"/>
    <d v="2025-05-26T00:00:00"/>
    <x v="155"/>
    <x v="0"/>
    <s v="New"/>
    <s v="Routine"/>
    <x v="0"/>
    <s v="Dermatology B"/>
    <s v="Royal South Hospital"/>
    <n v="30"/>
    <n v="18"/>
    <x v="0"/>
  </r>
  <r>
    <s v="APT01047"/>
    <d v="2025-06-27T00:00:00"/>
    <x v="110"/>
    <x v="2"/>
    <s v="Follow-up"/>
    <s v="Routine"/>
    <x v="0"/>
    <s v="Gastro B"/>
    <s v="Central Outpatients"/>
    <n v="15"/>
    <n v="17"/>
    <x v="0"/>
  </r>
  <r>
    <s v="APT01048"/>
    <d v="2025-11-05T00:00:00"/>
    <x v="207"/>
    <x v="1"/>
    <s v="Follow-up"/>
    <s v="Routine"/>
    <x v="0"/>
    <s v="Cardiology A"/>
    <s v="Central Outpatients"/>
    <n v="15"/>
    <n v="31"/>
    <x v="1"/>
  </r>
  <r>
    <s v="APT01049"/>
    <d v="2025-11-30T00:00:00"/>
    <x v="177"/>
    <x v="4"/>
    <s v="New"/>
    <s v="Routine"/>
    <x v="0"/>
    <s v="Orthopaedics B"/>
    <s v="Royal South Hospital"/>
    <n v="45"/>
    <n v="49"/>
    <x v="3"/>
  </r>
  <r>
    <s v="APT01050"/>
    <d v="2025-05-14T00:00:00"/>
    <x v="242"/>
    <x v="4"/>
    <s v="Follow-up"/>
    <s v="Routine"/>
    <x v="1"/>
    <s v="Orthopaedics A"/>
    <s v="Riverside Clinic"/>
    <n v="15"/>
    <n v="11"/>
    <x v="2"/>
  </r>
  <r>
    <s v="APT01051"/>
    <d v="2025-10-03T00:00:00"/>
    <x v="144"/>
    <x v="4"/>
    <s v="New"/>
    <s v="Routine"/>
    <x v="0"/>
    <s v="Orthopaedics B"/>
    <s v="Central Outpatients"/>
    <n v="30"/>
    <n v="4"/>
    <x v="2"/>
  </r>
  <r>
    <s v="APT01052"/>
    <d v="2025-08-11T00:00:00"/>
    <x v="54"/>
    <x v="1"/>
    <s v="Follow-up"/>
    <s v="Routine"/>
    <x v="0"/>
    <s v="Cardiology A"/>
    <s v="Central Outpatients"/>
    <n v="15"/>
    <n v="49"/>
    <x v="3"/>
  </r>
  <r>
    <s v="APT01053"/>
    <d v="2025-09-30T00:00:00"/>
    <x v="44"/>
    <x v="4"/>
    <s v="New"/>
    <s v="Routine"/>
    <x v="2"/>
    <s v="Orthopaedics B"/>
    <s v="Royal South Hospital"/>
    <n v="30"/>
    <n v="24"/>
    <x v="0"/>
  </r>
  <r>
    <s v="APT01054"/>
    <d v="2026-03-15T00:00:00"/>
    <x v="219"/>
    <x v="0"/>
    <s v="Follow-up"/>
    <s v="Routine"/>
    <x v="2"/>
    <s v="Dermatology A"/>
    <s v="Royal South Hospital"/>
    <n v="30"/>
    <n v="27"/>
    <x v="0"/>
  </r>
  <r>
    <s v="APT01055"/>
    <d v="2025-04-28T00:00:00"/>
    <x v="247"/>
    <x v="0"/>
    <s v="New"/>
    <s v="Routine"/>
    <x v="0"/>
    <s v="Dermatology B"/>
    <s v="Royal South Hospital"/>
    <n v="30"/>
    <n v="2"/>
    <x v="2"/>
  </r>
  <r>
    <s v="APT01056"/>
    <d v="2026-03-29T00:00:00"/>
    <x v="348"/>
    <x v="0"/>
    <s v="Follow-up"/>
    <s v="Routine"/>
    <x v="2"/>
    <s v="Dermatology A"/>
    <s v="Royal South Hospital"/>
    <n v="30"/>
    <n v="22"/>
    <x v="0"/>
  </r>
  <r>
    <s v="APT01057"/>
    <d v="2025-09-11T00:00:00"/>
    <x v="57"/>
    <x v="0"/>
    <s v="New"/>
    <s v="Routine"/>
    <x v="0"/>
    <s v="Dermatology A"/>
    <s v="Royal South Hospital"/>
    <n v="45"/>
    <n v="34"/>
    <x v="1"/>
  </r>
  <r>
    <s v="APT01058"/>
    <d v="2026-01-07T00:00:00"/>
    <x v="123"/>
    <x v="2"/>
    <s v="Follow-up"/>
    <s v="Routine"/>
    <x v="0"/>
    <s v="Gastro B"/>
    <s v="Riverside Clinic"/>
    <n v="30"/>
    <n v="51"/>
    <x v="3"/>
  </r>
  <r>
    <s v="APT01059"/>
    <d v="2025-09-02T00:00:00"/>
    <x v="4"/>
    <x v="0"/>
    <s v="Follow-up"/>
    <s v="Routine"/>
    <x v="0"/>
    <s v="Dermatology B"/>
    <s v="Riverside Clinic"/>
    <n v="15"/>
    <n v="21"/>
    <x v="0"/>
  </r>
  <r>
    <s v="APT01060"/>
    <d v="2025-07-23T00:00:00"/>
    <x v="297"/>
    <x v="0"/>
    <s v="Follow-up"/>
    <s v="Routine"/>
    <x v="0"/>
    <s v="Dermatology B"/>
    <s v="Royal South Hospital"/>
    <n v="30"/>
    <n v="64"/>
    <x v="4"/>
  </r>
  <r>
    <s v="APT01061"/>
    <d v="2026-01-06T00:00:00"/>
    <x v="60"/>
    <x v="3"/>
    <s v="New"/>
    <s v="Routine"/>
    <x v="0"/>
    <s v="Neurology A"/>
    <s v="Riverside Clinic"/>
    <n v="45"/>
    <n v="22"/>
    <x v="0"/>
  </r>
  <r>
    <s v="APT01062"/>
    <d v="2025-12-07T00:00:00"/>
    <x v="364"/>
    <x v="4"/>
    <s v="New"/>
    <s v="Routine"/>
    <x v="2"/>
    <s v="Orthopaedics A"/>
    <s v="Royal South Hospital"/>
    <n v="30"/>
    <n v="22"/>
    <x v="0"/>
  </r>
  <r>
    <s v="APT01063"/>
    <d v="2025-05-23T00:00:00"/>
    <x v="365"/>
    <x v="3"/>
    <s v="Follow-up"/>
    <s v="Routine"/>
    <x v="0"/>
    <s v="Neurology A"/>
    <s v="Royal South Hospital"/>
    <n v="15"/>
    <n v="62"/>
    <x v="4"/>
  </r>
  <r>
    <s v="APT01064"/>
    <d v="2025-12-13T00:00:00"/>
    <x v="187"/>
    <x v="2"/>
    <s v="Follow-up"/>
    <s v="Urgent"/>
    <x v="0"/>
    <s v="Gastro A"/>
    <s v="Central Outpatients"/>
    <n v="30"/>
    <n v="38"/>
    <x v="1"/>
  </r>
  <r>
    <s v="APT01065"/>
    <d v="2025-12-31T00:00:00"/>
    <x v="344"/>
    <x v="1"/>
    <s v="New"/>
    <s v="Routine"/>
    <x v="0"/>
    <s v="Cardiology A"/>
    <s v="Central Outpatients"/>
    <n v="45"/>
    <n v="25"/>
    <x v="0"/>
  </r>
  <r>
    <s v="APT01066"/>
    <d v="2025-08-20T00:00:00"/>
    <x v="3"/>
    <x v="4"/>
    <s v="Follow-up"/>
    <s v="Urgent"/>
    <x v="0"/>
    <s v="Orthopaedics A"/>
    <s v="Royal South Hospital"/>
    <n v="15"/>
    <n v="32"/>
    <x v="1"/>
  </r>
  <r>
    <s v="APT01067"/>
    <d v="2026-03-03T00:00:00"/>
    <x v="220"/>
    <x v="1"/>
    <s v="New"/>
    <s v="Routine"/>
    <x v="1"/>
    <s v="Cardiology B"/>
    <s v="Central Outpatients"/>
    <n v="45"/>
    <n v="59"/>
    <x v="4"/>
  </r>
  <r>
    <s v="APT01068"/>
    <d v="2025-11-20T00:00:00"/>
    <x v="187"/>
    <x v="0"/>
    <s v="Follow-up"/>
    <s v="Routine"/>
    <x v="0"/>
    <s v="Dermatology B"/>
    <s v="Central Outpatients"/>
    <n v="15"/>
    <n v="61"/>
    <x v="4"/>
  </r>
  <r>
    <s v="APT01069"/>
    <d v="2025-07-31T00:00:00"/>
    <x v="271"/>
    <x v="1"/>
    <s v="New"/>
    <s v="Routine"/>
    <x v="0"/>
    <s v="Cardiology B"/>
    <s v="Riverside Clinic"/>
    <n v="30"/>
    <n v="20"/>
    <x v="0"/>
  </r>
  <r>
    <s v="APT01070"/>
    <d v="2025-04-04T00:00:00"/>
    <x v="358"/>
    <x v="3"/>
    <s v="Follow-up"/>
    <s v="Routine"/>
    <x v="0"/>
    <s v="Neurology A"/>
    <s v="Central Outpatients"/>
    <n v="30"/>
    <n v="34"/>
    <x v="1"/>
  </r>
  <r>
    <s v="APT01071"/>
    <d v="2025-12-02T00:00:00"/>
    <x v="100"/>
    <x v="0"/>
    <s v="New"/>
    <s v="Urgent"/>
    <x v="0"/>
    <s v="Dermatology B"/>
    <s v="Royal South Hospital"/>
    <n v="30"/>
    <n v="36"/>
    <x v="1"/>
  </r>
  <r>
    <s v="APT01072"/>
    <d v="2025-06-16T00:00:00"/>
    <x v="190"/>
    <x v="3"/>
    <s v="New"/>
    <s v="Routine"/>
    <x v="0"/>
    <s v="Neurology A"/>
    <s v="Royal South Hospital"/>
    <n v="30"/>
    <n v="17"/>
    <x v="0"/>
  </r>
  <r>
    <s v="APT01073"/>
    <d v="2026-01-01T00:00:00"/>
    <x v="12"/>
    <x v="0"/>
    <s v="New"/>
    <s v="Urgent"/>
    <x v="0"/>
    <s v="Dermatology A"/>
    <s v="Central Outpatients"/>
    <n v="30"/>
    <n v="33"/>
    <x v="1"/>
  </r>
  <r>
    <s v="APT01074"/>
    <d v="2025-10-09T00:00:00"/>
    <x v="10"/>
    <x v="2"/>
    <s v="New"/>
    <s v="Routine"/>
    <x v="0"/>
    <s v="Gastro B"/>
    <s v="Royal South Hospital"/>
    <n v="45"/>
    <n v="35"/>
    <x v="1"/>
  </r>
  <r>
    <s v="APT01075"/>
    <d v="2025-09-17T00:00:00"/>
    <x v="59"/>
    <x v="2"/>
    <s v="Follow-up"/>
    <s v="Routine"/>
    <x v="0"/>
    <s v="Gastro A"/>
    <s v="Royal South Hospital"/>
    <n v="15"/>
    <n v="55"/>
    <x v="3"/>
  </r>
  <r>
    <s v="APT01076"/>
    <d v="2025-05-30T00:00:00"/>
    <x v="200"/>
    <x v="1"/>
    <s v="Follow-up"/>
    <s v="Routine"/>
    <x v="0"/>
    <s v="Cardiology B"/>
    <s v="Royal South Hospital"/>
    <n v="15"/>
    <n v="56"/>
    <x v="3"/>
  </r>
  <r>
    <s v="APT01077"/>
    <d v="2025-12-15T00:00:00"/>
    <x v="366"/>
    <x v="2"/>
    <s v="Follow-up"/>
    <s v="Routine"/>
    <x v="0"/>
    <s v="Gastro A"/>
    <s v="Royal South Hospital"/>
    <n v="15"/>
    <n v="29"/>
    <x v="1"/>
  </r>
  <r>
    <s v="APT01078"/>
    <d v="2025-05-31T00:00:00"/>
    <x v="30"/>
    <x v="3"/>
    <s v="Follow-up"/>
    <s v="Routine"/>
    <x v="0"/>
    <s v="Neurology B"/>
    <s v="Royal South Hospital"/>
    <n v="30"/>
    <n v="31"/>
    <x v="1"/>
  </r>
  <r>
    <s v="APT01079"/>
    <d v="2025-08-31T00:00:00"/>
    <x v="276"/>
    <x v="2"/>
    <s v="Follow-up"/>
    <s v="Urgent"/>
    <x v="1"/>
    <s v="Gastro A"/>
    <s v="Royal South Hospital"/>
    <n v="15"/>
    <n v="46"/>
    <x v="3"/>
  </r>
  <r>
    <s v="APT01080"/>
    <d v="2026-01-30T00:00:00"/>
    <x v="317"/>
    <x v="1"/>
    <s v="New"/>
    <s v="Routine"/>
    <x v="0"/>
    <s v="Cardiology A"/>
    <s v="Central Outpatients"/>
    <n v="30"/>
    <n v="24"/>
    <x v="0"/>
  </r>
  <r>
    <s v="APT01081"/>
    <d v="2026-03-02T00:00:00"/>
    <x v="52"/>
    <x v="3"/>
    <s v="New"/>
    <s v="Urgent"/>
    <x v="0"/>
    <s v="Neurology A"/>
    <s v="Royal South Hospital"/>
    <n v="30"/>
    <n v="45"/>
    <x v="3"/>
  </r>
  <r>
    <s v="APT01082"/>
    <d v="2026-03-27T00:00:00"/>
    <x v="367"/>
    <x v="0"/>
    <s v="New"/>
    <s v="Urgent"/>
    <x v="2"/>
    <s v="Dermatology A"/>
    <s v="Central Outpatients"/>
    <n v="30"/>
    <n v="33"/>
    <x v="1"/>
  </r>
  <r>
    <s v="APT01083"/>
    <d v="2026-03-15T00:00:00"/>
    <x v="260"/>
    <x v="1"/>
    <s v="New"/>
    <s v="Routine"/>
    <x v="0"/>
    <s v="Cardiology B"/>
    <s v="Royal South Hospital"/>
    <n v="30"/>
    <n v="17"/>
    <x v="0"/>
  </r>
  <r>
    <s v="APT01084"/>
    <d v="2025-10-20T00:00:00"/>
    <x v="129"/>
    <x v="1"/>
    <s v="Follow-up"/>
    <s v="Routine"/>
    <x v="2"/>
    <s v="Cardiology A"/>
    <s v="Royal South Hospital"/>
    <n v="30"/>
    <n v="17"/>
    <x v="0"/>
  </r>
  <r>
    <s v="APT01085"/>
    <d v="2025-06-12T00:00:00"/>
    <x v="87"/>
    <x v="2"/>
    <s v="Follow-up"/>
    <s v="Routine"/>
    <x v="0"/>
    <s v="Gastro B"/>
    <s v="Central Outpatients"/>
    <n v="30"/>
    <n v="61"/>
    <x v="4"/>
  </r>
  <r>
    <s v="APT01086"/>
    <d v="2026-01-31T00:00:00"/>
    <x v="274"/>
    <x v="0"/>
    <s v="Follow-up"/>
    <s v="Routine"/>
    <x v="2"/>
    <s v="Dermatology B"/>
    <s v="Royal South Hospital"/>
    <n v="15"/>
    <n v="32"/>
    <x v="1"/>
  </r>
  <r>
    <s v="APT01087"/>
    <d v="2026-01-17T00:00:00"/>
    <x v="368"/>
    <x v="3"/>
    <s v="Follow-up"/>
    <s v="Urgent"/>
    <x v="0"/>
    <s v="Neurology B"/>
    <s v="Royal South Hospital"/>
    <n v="15"/>
    <n v="64"/>
    <x v="4"/>
  </r>
  <r>
    <s v="APT01088"/>
    <d v="2026-03-27T00:00:00"/>
    <x v="272"/>
    <x v="0"/>
    <s v="New"/>
    <s v="Urgent"/>
    <x v="1"/>
    <s v="Dermatology B"/>
    <s v="Central Outpatients"/>
    <n v="30"/>
    <n v="25"/>
    <x v="0"/>
  </r>
  <r>
    <s v="APT01089"/>
    <d v="2025-11-23T00:00:00"/>
    <x v="246"/>
    <x v="4"/>
    <s v="Follow-up"/>
    <s v="Urgent"/>
    <x v="0"/>
    <s v="Orthopaedics B"/>
    <s v="Royal South Hospital"/>
    <n v="15"/>
    <n v="40"/>
    <x v="1"/>
  </r>
  <r>
    <s v="APT01090"/>
    <d v="2025-05-22T00:00:00"/>
    <x v="107"/>
    <x v="0"/>
    <s v="New"/>
    <s v="Routine"/>
    <x v="0"/>
    <s v="Dermatology A"/>
    <s v="Royal South Hospital"/>
    <n v="30"/>
    <n v="78"/>
    <x v="4"/>
  </r>
  <r>
    <s v="APT01091"/>
    <d v="2025-10-01T00:00:00"/>
    <x v="276"/>
    <x v="3"/>
    <s v="New"/>
    <s v="Routine"/>
    <x v="0"/>
    <s v="Neurology B"/>
    <s v="Central Outpatients"/>
    <n v="30"/>
    <n v="15"/>
    <x v="0"/>
  </r>
  <r>
    <s v="APT01092"/>
    <d v="2025-09-11T00:00:00"/>
    <x v="180"/>
    <x v="4"/>
    <s v="New"/>
    <s v="Routine"/>
    <x v="0"/>
    <s v="Orthopaedics B"/>
    <s v="Royal South Hospital"/>
    <n v="30"/>
    <n v="2"/>
    <x v="2"/>
  </r>
  <r>
    <s v="APT01093"/>
    <d v="2026-02-01T00:00:00"/>
    <x v="33"/>
    <x v="0"/>
    <s v="New"/>
    <s v="Urgent"/>
    <x v="0"/>
    <s v="Dermatology A"/>
    <s v="Riverside Clinic"/>
    <n v="45"/>
    <n v="58"/>
    <x v="4"/>
  </r>
  <r>
    <s v="APT01094"/>
    <d v="2025-08-21T00:00:00"/>
    <x v="360"/>
    <x v="1"/>
    <s v="Follow-up"/>
    <s v="Routine"/>
    <x v="2"/>
    <s v="Cardiology A"/>
    <s v="Royal South Hospital"/>
    <n v="15"/>
    <n v="20"/>
    <x v="0"/>
  </r>
  <r>
    <s v="APT01095"/>
    <d v="2025-07-29T00:00:00"/>
    <x v="282"/>
    <x v="2"/>
    <s v="New"/>
    <s v="Routine"/>
    <x v="0"/>
    <s v="Gastro A"/>
    <s v="Royal South Hospital"/>
    <n v="45"/>
    <n v="34"/>
    <x v="1"/>
  </r>
  <r>
    <s v="APT01096"/>
    <d v="2025-04-30T00:00:00"/>
    <x v="42"/>
    <x v="4"/>
    <s v="New"/>
    <s v="Routine"/>
    <x v="0"/>
    <s v="Orthopaedics B"/>
    <s v="Royal South Hospital"/>
    <n v="30"/>
    <n v="24"/>
    <x v="0"/>
  </r>
  <r>
    <s v="APT01097"/>
    <d v="2026-01-30T00:00:00"/>
    <x v="189"/>
    <x v="4"/>
    <s v="Follow-up"/>
    <s v="Routine"/>
    <x v="0"/>
    <s v="Orthopaedics B"/>
    <s v="Riverside Clinic"/>
    <n v="15"/>
    <n v="39"/>
    <x v="1"/>
  </r>
  <r>
    <s v="APT01098"/>
    <d v="2025-12-31T00:00:00"/>
    <x v="150"/>
    <x v="0"/>
    <s v="Follow-up"/>
    <s v="Routine"/>
    <x v="0"/>
    <s v="Dermatology A"/>
    <s v="Royal South Hospital"/>
    <n v="15"/>
    <n v="17"/>
    <x v="0"/>
  </r>
  <r>
    <s v="APT01099"/>
    <d v="2025-04-16T00:00:00"/>
    <x v="164"/>
    <x v="4"/>
    <s v="Follow-up"/>
    <s v="Routine"/>
    <x v="2"/>
    <s v="Orthopaedics B"/>
    <s v="Central Outpatients"/>
    <n v="15"/>
    <n v="31"/>
    <x v="1"/>
  </r>
  <r>
    <s v="APT01100"/>
    <d v="2025-09-05T00:00:00"/>
    <x v="316"/>
    <x v="0"/>
    <s v="Follow-up"/>
    <s v="Urgent"/>
    <x v="0"/>
    <s v="Dermatology A"/>
    <s v="Central Outpatients"/>
    <n v="15"/>
    <n v="43"/>
    <x v="3"/>
  </r>
  <r>
    <s v="APT01101"/>
    <d v="2025-09-22T00:00:00"/>
    <x v="369"/>
    <x v="1"/>
    <s v="Follow-up"/>
    <s v="Routine"/>
    <x v="0"/>
    <s v="Cardiology B"/>
    <s v="Riverside Clinic"/>
    <n v="15"/>
    <n v="16"/>
    <x v="0"/>
  </r>
  <r>
    <s v="APT01102"/>
    <d v="2025-09-18T00:00:00"/>
    <x v="370"/>
    <x v="3"/>
    <s v="New"/>
    <s v="Routine"/>
    <x v="0"/>
    <s v="Neurology A"/>
    <s v="Royal South Hospital"/>
    <n v="30"/>
    <n v="22"/>
    <x v="0"/>
  </r>
  <r>
    <s v="APT01103"/>
    <d v="2026-03-01T00:00:00"/>
    <x v="256"/>
    <x v="2"/>
    <s v="Follow-up"/>
    <s v="Routine"/>
    <x v="0"/>
    <s v="Gastro A"/>
    <s v="Riverside Clinic"/>
    <n v="15"/>
    <n v="28"/>
    <x v="0"/>
  </r>
  <r>
    <s v="APT01104"/>
    <d v="2025-05-25T00:00:00"/>
    <x v="170"/>
    <x v="2"/>
    <s v="New"/>
    <s v="Routine"/>
    <x v="0"/>
    <s v="Gastro B"/>
    <s v="Riverside Clinic"/>
    <n v="30"/>
    <n v="9"/>
    <x v="2"/>
  </r>
  <r>
    <s v="APT01105"/>
    <d v="2025-07-21T00:00:00"/>
    <x v="41"/>
    <x v="4"/>
    <s v="New"/>
    <s v="Routine"/>
    <x v="0"/>
    <s v="Orthopaedics B"/>
    <s v="Royal South Hospital"/>
    <n v="30"/>
    <n v="27"/>
    <x v="0"/>
  </r>
  <r>
    <s v="APT01106"/>
    <d v="2025-06-05T00:00:00"/>
    <x v="286"/>
    <x v="0"/>
    <s v="Follow-up"/>
    <s v="Routine"/>
    <x v="0"/>
    <s v="Dermatology A"/>
    <s v="Central Outpatients"/>
    <n v="30"/>
    <n v="37"/>
    <x v="1"/>
  </r>
  <r>
    <s v="APT01107"/>
    <d v="2025-06-28T00:00:00"/>
    <x v="200"/>
    <x v="3"/>
    <s v="Follow-up"/>
    <s v="Routine"/>
    <x v="1"/>
    <s v="Neurology A"/>
    <s v="Royal South Hospital"/>
    <n v="15"/>
    <n v="27"/>
    <x v="0"/>
  </r>
  <r>
    <s v="APT01108"/>
    <d v="2026-02-25T00:00:00"/>
    <x v="371"/>
    <x v="0"/>
    <s v="Follow-up"/>
    <s v="Routine"/>
    <x v="0"/>
    <s v="Dermatology A"/>
    <s v="Central Outpatients"/>
    <n v="15"/>
    <n v="30"/>
    <x v="1"/>
  </r>
  <r>
    <s v="APT01109"/>
    <d v="2026-03-09T00:00:00"/>
    <x v="192"/>
    <x v="1"/>
    <s v="Follow-up"/>
    <s v="Routine"/>
    <x v="0"/>
    <s v="Cardiology A"/>
    <s v="Central Outpatients"/>
    <n v="15"/>
    <n v="34"/>
    <x v="1"/>
  </r>
  <r>
    <s v="APT01110"/>
    <d v="2025-04-17T00:00:00"/>
    <x v="235"/>
    <x v="0"/>
    <s v="Follow-up"/>
    <s v="Routine"/>
    <x v="0"/>
    <s v="Dermatology B"/>
    <s v="Royal South Hospital"/>
    <n v="15"/>
    <n v="23"/>
    <x v="0"/>
  </r>
  <r>
    <s v="APT01111"/>
    <d v="2025-11-17T00:00:00"/>
    <x v="46"/>
    <x v="4"/>
    <s v="Follow-up"/>
    <s v="Routine"/>
    <x v="0"/>
    <s v="Orthopaedics B"/>
    <s v="Royal South Hospital"/>
    <n v="15"/>
    <n v="47"/>
    <x v="3"/>
  </r>
  <r>
    <s v="APT01112"/>
    <d v="2025-06-24T00:00:00"/>
    <x v="372"/>
    <x v="2"/>
    <s v="Follow-up"/>
    <s v="Routine"/>
    <x v="1"/>
    <s v="Gastro B"/>
    <s v="Riverside Clinic"/>
    <n v="15"/>
    <n v="60"/>
    <x v="4"/>
  </r>
  <r>
    <s v="APT01113"/>
    <d v="2025-06-10T00:00:00"/>
    <x v="314"/>
    <x v="1"/>
    <s v="Follow-up"/>
    <s v="Routine"/>
    <x v="0"/>
    <s v="Cardiology A"/>
    <s v="Riverside Clinic"/>
    <n v="15"/>
    <n v="26"/>
    <x v="0"/>
  </r>
  <r>
    <s v="APT01114"/>
    <d v="2025-07-16T00:00:00"/>
    <x v="313"/>
    <x v="3"/>
    <s v="New"/>
    <s v="Routine"/>
    <x v="0"/>
    <s v="Neurology B"/>
    <s v="Central Outpatients"/>
    <n v="30"/>
    <n v="43"/>
    <x v="3"/>
  </r>
  <r>
    <s v="APT01115"/>
    <d v="2025-06-10T00:00:00"/>
    <x v="47"/>
    <x v="4"/>
    <s v="Follow-up"/>
    <s v="Routine"/>
    <x v="0"/>
    <s v="Orthopaedics B"/>
    <s v="Royal South Hospital"/>
    <n v="15"/>
    <n v="30"/>
    <x v="1"/>
  </r>
  <r>
    <s v="APT01116"/>
    <d v="2025-09-26T00:00:00"/>
    <x v="129"/>
    <x v="4"/>
    <s v="New"/>
    <s v="Routine"/>
    <x v="0"/>
    <s v="Orthopaedics B"/>
    <s v="Riverside Clinic"/>
    <n v="30"/>
    <n v="41"/>
    <x v="1"/>
  </r>
  <r>
    <s v="APT01117"/>
    <d v="2026-03-29T00:00:00"/>
    <x v="373"/>
    <x v="2"/>
    <s v="Follow-up"/>
    <s v="Routine"/>
    <x v="0"/>
    <s v="Gastro A"/>
    <s v="Central Outpatients"/>
    <n v="15"/>
    <n v="63"/>
    <x v="4"/>
  </r>
  <r>
    <s v="APT01118"/>
    <d v="2025-10-31T00:00:00"/>
    <x v="350"/>
    <x v="0"/>
    <s v="New"/>
    <s v="Routine"/>
    <x v="0"/>
    <s v="Dermatology B"/>
    <s v="Central Outpatients"/>
    <n v="30"/>
    <n v="44"/>
    <x v="3"/>
  </r>
  <r>
    <s v="APT01119"/>
    <d v="2025-12-20T00:00:00"/>
    <x v="374"/>
    <x v="2"/>
    <s v="Follow-up"/>
    <s v="Routine"/>
    <x v="0"/>
    <s v="Gastro B"/>
    <s v="Royal South Hospital"/>
    <n v="15"/>
    <n v="3"/>
    <x v="2"/>
  </r>
  <r>
    <s v="APT01120"/>
    <d v="2025-09-27T00:00:00"/>
    <x v="32"/>
    <x v="4"/>
    <s v="New"/>
    <s v="Routine"/>
    <x v="0"/>
    <s v="Orthopaedics B"/>
    <s v="Central Outpatients"/>
    <n v="30"/>
    <n v="43"/>
    <x v="3"/>
  </r>
  <r>
    <s v="APT01121"/>
    <d v="2025-04-06T00:00:00"/>
    <x v="222"/>
    <x v="4"/>
    <s v="New"/>
    <s v="Routine"/>
    <x v="0"/>
    <s v="Orthopaedics B"/>
    <s v="Royal South Hospital"/>
    <n v="45"/>
    <n v="57"/>
    <x v="4"/>
  </r>
  <r>
    <s v="APT01122"/>
    <d v="2025-05-01T00:00:00"/>
    <x v="343"/>
    <x v="4"/>
    <s v="Follow-up"/>
    <s v="Routine"/>
    <x v="0"/>
    <s v="Orthopaedics A"/>
    <s v="Riverside Clinic"/>
    <n v="30"/>
    <n v="31"/>
    <x v="1"/>
  </r>
  <r>
    <s v="APT01123"/>
    <d v="2025-07-07T00:00:00"/>
    <x v="313"/>
    <x v="2"/>
    <s v="New"/>
    <s v="Routine"/>
    <x v="0"/>
    <s v="Gastro B"/>
    <s v="Royal South Hospital"/>
    <n v="45"/>
    <n v="52"/>
    <x v="3"/>
  </r>
  <r>
    <s v="APT01124"/>
    <d v="2025-06-28T00:00:00"/>
    <x v="22"/>
    <x v="1"/>
    <s v="Follow-up"/>
    <s v="Routine"/>
    <x v="0"/>
    <s v="Cardiology A"/>
    <s v="Riverside Clinic"/>
    <n v="15"/>
    <n v="22"/>
    <x v="0"/>
  </r>
  <r>
    <s v="APT01125"/>
    <d v="2026-01-31T00:00:00"/>
    <x v="203"/>
    <x v="2"/>
    <s v="Follow-up"/>
    <s v="Routine"/>
    <x v="0"/>
    <s v="Gastro A"/>
    <s v="Royal South Hospital"/>
    <n v="15"/>
    <n v="8"/>
    <x v="2"/>
  </r>
  <r>
    <s v="APT01126"/>
    <d v="2026-02-02T00:00:00"/>
    <x v="292"/>
    <x v="1"/>
    <s v="New"/>
    <s v="Routine"/>
    <x v="0"/>
    <s v="Cardiology A"/>
    <s v="Royal South Hospital"/>
    <n v="30"/>
    <n v="37"/>
    <x v="1"/>
  </r>
  <r>
    <s v="APT01127"/>
    <d v="2026-02-05T00:00:00"/>
    <x v="203"/>
    <x v="1"/>
    <s v="New"/>
    <s v="Urgent"/>
    <x v="0"/>
    <s v="Cardiology B"/>
    <s v="Royal South Hospital"/>
    <n v="30"/>
    <n v="3"/>
    <x v="2"/>
  </r>
  <r>
    <s v="APT01128"/>
    <d v="2025-11-19T00:00:00"/>
    <x v="312"/>
    <x v="2"/>
    <s v="Follow-up"/>
    <s v="Routine"/>
    <x v="0"/>
    <s v="Gastro A"/>
    <s v="Central Outpatients"/>
    <n v="15"/>
    <n v="30"/>
    <x v="1"/>
  </r>
  <r>
    <s v="APT01129"/>
    <d v="2025-10-20T00:00:00"/>
    <x v="324"/>
    <x v="3"/>
    <s v="Follow-up"/>
    <s v="Routine"/>
    <x v="0"/>
    <s v="Neurology A"/>
    <s v="Riverside Clinic"/>
    <n v="15"/>
    <n v="58"/>
    <x v="4"/>
  </r>
  <r>
    <s v="APT01130"/>
    <d v="2025-11-23T00:00:00"/>
    <x v="20"/>
    <x v="4"/>
    <s v="New"/>
    <s v="Routine"/>
    <x v="0"/>
    <s v="Orthopaedics A"/>
    <s v="Riverside Clinic"/>
    <n v="30"/>
    <n v="2"/>
    <x v="2"/>
  </r>
  <r>
    <s v="APT01131"/>
    <d v="2025-08-27T00:00:00"/>
    <x v="218"/>
    <x v="4"/>
    <s v="New"/>
    <s v="Routine"/>
    <x v="0"/>
    <s v="Orthopaedics B"/>
    <s v="Riverside Clinic"/>
    <n v="30"/>
    <n v="11"/>
    <x v="2"/>
  </r>
  <r>
    <s v="APT01132"/>
    <d v="2025-11-30T00:00:00"/>
    <x v="94"/>
    <x v="4"/>
    <s v="Follow-up"/>
    <s v="Routine"/>
    <x v="0"/>
    <s v="Orthopaedics A"/>
    <s v="Royal South Hospital"/>
    <n v="15"/>
    <n v="16"/>
    <x v="0"/>
  </r>
  <r>
    <s v="APT01133"/>
    <d v="2026-01-15T00:00:00"/>
    <x v="224"/>
    <x v="4"/>
    <s v="Follow-up"/>
    <s v="Routine"/>
    <x v="0"/>
    <s v="Orthopaedics B"/>
    <s v="Royal South Hospital"/>
    <n v="30"/>
    <n v="33"/>
    <x v="1"/>
  </r>
  <r>
    <s v="APT01134"/>
    <d v="2026-01-03T00:00:00"/>
    <x v="165"/>
    <x v="3"/>
    <s v="New"/>
    <s v="Routine"/>
    <x v="0"/>
    <s v="Neurology A"/>
    <s v="Royal South Hospital"/>
    <n v="30"/>
    <n v="28"/>
    <x v="0"/>
  </r>
  <r>
    <s v="APT01135"/>
    <d v="2025-11-10T00:00:00"/>
    <x v="341"/>
    <x v="1"/>
    <s v="New"/>
    <s v="Urgent"/>
    <x v="0"/>
    <s v="Cardiology B"/>
    <s v="Royal South Hospital"/>
    <n v="45"/>
    <n v="60"/>
    <x v="4"/>
  </r>
  <r>
    <s v="APT01136"/>
    <d v="2025-04-22T00:00:00"/>
    <x v="155"/>
    <x v="3"/>
    <s v="New"/>
    <s v="Urgent"/>
    <x v="0"/>
    <s v="Neurology B"/>
    <s v="Central Outpatients"/>
    <n v="45"/>
    <n v="52"/>
    <x v="3"/>
  </r>
  <r>
    <s v="APT01137"/>
    <d v="2025-12-20T00:00:00"/>
    <x v="53"/>
    <x v="1"/>
    <s v="New"/>
    <s v="Routine"/>
    <x v="0"/>
    <s v="Cardiology A"/>
    <s v="Royal South Hospital"/>
    <n v="45"/>
    <n v="43"/>
    <x v="3"/>
  </r>
  <r>
    <s v="APT01138"/>
    <d v="2025-08-12T00:00:00"/>
    <x v="245"/>
    <x v="1"/>
    <s v="Follow-up"/>
    <s v="Urgent"/>
    <x v="0"/>
    <s v="Cardiology B"/>
    <s v="Riverside Clinic"/>
    <n v="15"/>
    <n v="37"/>
    <x v="1"/>
  </r>
  <r>
    <s v="APT01139"/>
    <d v="2025-12-27T00:00:00"/>
    <x v="249"/>
    <x v="1"/>
    <s v="Follow-up"/>
    <s v="Urgent"/>
    <x v="2"/>
    <s v="Cardiology A"/>
    <s v="Central Outpatients"/>
    <n v="15"/>
    <n v="42"/>
    <x v="1"/>
  </r>
  <r>
    <s v="APT01140"/>
    <d v="2025-10-14T00:00:00"/>
    <x v="28"/>
    <x v="4"/>
    <s v="Follow-up"/>
    <s v="Routine"/>
    <x v="0"/>
    <s v="Orthopaedics B"/>
    <s v="Central Outpatients"/>
    <n v="15"/>
    <n v="19"/>
    <x v="0"/>
  </r>
  <r>
    <s v="APT01141"/>
    <d v="2026-02-15T00:00:00"/>
    <x v="253"/>
    <x v="3"/>
    <s v="Follow-up"/>
    <s v="Routine"/>
    <x v="0"/>
    <s v="Neurology B"/>
    <s v="Royal South Hospital"/>
    <n v="15"/>
    <n v="50"/>
    <x v="3"/>
  </r>
  <r>
    <s v="APT01142"/>
    <d v="2025-08-02T00:00:00"/>
    <x v="111"/>
    <x v="4"/>
    <s v="New"/>
    <s v="Routine"/>
    <x v="0"/>
    <s v="Orthopaedics B"/>
    <s v="Central Outpatients"/>
    <n v="30"/>
    <n v="14"/>
    <x v="2"/>
  </r>
  <r>
    <s v="APT01143"/>
    <d v="2026-03-06T00:00:00"/>
    <x v="157"/>
    <x v="4"/>
    <s v="Follow-up"/>
    <s v="Routine"/>
    <x v="2"/>
    <s v="Orthopaedics A"/>
    <s v="Riverside Clinic"/>
    <n v="15"/>
    <n v="50"/>
    <x v="3"/>
  </r>
  <r>
    <s v="APT01144"/>
    <d v="2026-02-02T00:00:00"/>
    <x v="45"/>
    <x v="4"/>
    <s v="New"/>
    <s v="Routine"/>
    <x v="0"/>
    <s v="Orthopaedics A"/>
    <s v="Riverside Clinic"/>
    <n v="30"/>
    <n v="56"/>
    <x v="3"/>
  </r>
  <r>
    <s v="APT01145"/>
    <d v="2025-07-30T00:00:00"/>
    <x v="215"/>
    <x v="1"/>
    <s v="New"/>
    <s v="Routine"/>
    <x v="0"/>
    <s v="Cardiology B"/>
    <s v="Riverside Clinic"/>
    <n v="30"/>
    <n v="38"/>
    <x v="1"/>
  </r>
  <r>
    <s v="APT01146"/>
    <d v="2025-09-23T00:00:00"/>
    <x v="44"/>
    <x v="4"/>
    <s v="Follow-up"/>
    <s v="Routine"/>
    <x v="0"/>
    <s v="Orthopaedics A"/>
    <s v="Royal South Hospital"/>
    <n v="30"/>
    <n v="31"/>
    <x v="1"/>
  </r>
  <r>
    <s v="APT01147"/>
    <d v="2025-10-11T00:00:00"/>
    <x v="318"/>
    <x v="4"/>
    <s v="New"/>
    <s v="Routine"/>
    <x v="0"/>
    <s v="Orthopaedics B"/>
    <s v="Central Outpatients"/>
    <n v="30"/>
    <n v="42"/>
    <x v="1"/>
  </r>
  <r>
    <s v="APT01148"/>
    <d v="2026-01-05T00:00:00"/>
    <x v="100"/>
    <x v="4"/>
    <s v="Follow-up"/>
    <s v="Routine"/>
    <x v="0"/>
    <s v="Orthopaedics A"/>
    <s v="Riverside Clinic"/>
    <n v="15"/>
    <n v="2"/>
    <x v="2"/>
  </r>
  <r>
    <s v="APT01149"/>
    <d v="2025-12-07T00:00:00"/>
    <x v="7"/>
    <x v="1"/>
    <s v="Follow-up"/>
    <s v="Routine"/>
    <x v="0"/>
    <s v="Cardiology A"/>
    <s v="Central Outpatients"/>
    <n v="30"/>
    <n v="40"/>
    <x v="1"/>
  </r>
  <r>
    <s v="APT01150"/>
    <d v="2026-02-05T00:00:00"/>
    <x v="359"/>
    <x v="1"/>
    <s v="Follow-up"/>
    <s v="Urgent"/>
    <x v="0"/>
    <s v="Cardiology B"/>
    <s v="Central Outpatients"/>
    <n v="30"/>
    <n v="32"/>
    <x v="1"/>
  </r>
  <r>
    <s v="APT01151"/>
    <d v="2025-08-13T00:00:00"/>
    <x v="232"/>
    <x v="4"/>
    <s v="Follow-up"/>
    <s v="Urgent"/>
    <x v="0"/>
    <s v="Orthopaedics B"/>
    <s v="Riverside Clinic"/>
    <n v="15"/>
    <n v="34"/>
    <x v="1"/>
  </r>
  <r>
    <s v="APT01152"/>
    <d v="2025-10-01T00:00:00"/>
    <x v="101"/>
    <x v="1"/>
    <s v="New"/>
    <s v="Routine"/>
    <x v="0"/>
    <s v="Cardiology A"/>
    <s v="Royal South Hospital"/>
    <n v="30"/>
    <n v="47"/>
    <x v="3"/>
  </r>
  <r>
    <s v="APT01153"/>
    <d v="2025-09-04T00:00:00"/>
    <x v="144"/>
    <x v="0"/>
    <s v="New"/>
    <s v="Routine"/>
    <x v="0"/>
    <s v="Dermatology B"/>
    <s v="Royal South Hospital"/>
    <n v="30"/>
    <n v="33"/>
    <x v="1"/>
  </r>
  <r>
    <s v="APT01154"/>
    <d v="2026-02-26T00:00:00"/>
    <x v="163"/>
    <x v="2"/>
    <s v="Follow-up"/>
    <s v="Urgent"/>
    <x v="0"/>
    <s v="Gastro B"/>
    <s v="Central Outpatients"/>
    <n v="15"/>
    <n v="14"/>
    <x v="2"/>
  </r>
  <r>
    <s v="APT01155"/>
    <d v="2025-07-21T00:00:00"/>
    <x v="298"/>
    <x v="1"/>
    <s v="Follow-up"/>
    <s v="Routine"/>
    <x v="0"/>
    <s v="Cardiology A"/>
    <s v="Riverside Clinic"/>
    <n v="15"/>
    <n v="32"/>
    <x v="1"/>
  </r>
  <r>
    <s v="APT01156"/>
    <d v="2025-10-31T00:00:00"/>
    <x v="207"/>
    <x v="1"/>
    <s v="Follow-up"/>
    <s v="Urgent"/>
    <x v="2"/>
    <s v="Cardiology A"/>
    <s v="Central Outpatients"/>
    <n v="15"/>
    <n v="36"/>
    <x v="1"/>
  </r>
  <r>
    <s v="APT01157"/>
    <d v="2025-05-14T00:00:00"/>
    <x v="326"/>
    <x v="4"/>
    <s v="New"/>
    <s v="Routine"/>
    <x v="0"/>
    <s v="Orthopaedics B"/>
    <s v="Royal South Hospital"/>
    <n v="30"/>
    <n v="37"/>
    <x v="1"/>
  </r>
  <r>
    <s v="APT01158"/>
    <d v="2026-02-04T00:00:00"/>
    <x v="83"/>
    <x v="4"/>
    <s v="New"/>
    <s v="Routine"/>
    <x v="2"/>
    <s v="Orthopaedics A"/>
    <s v="Riverside Clinic"/>
    <n v="45"/>
    <n v="37"/>
    <x v="1"/>
  </r>
  <r>
    <s v="APT01159"/>
    <d v="2025-08-18T00:00:00"/>
    <x v="370"/>
    <x v="4"/>
    <s v="New"/>
    <s v="Routine"/>
    <x v="0"/>
    <s v="Orthopaedics A"/>
    <s v="Central Outpatients"/>
    <n v="30"/>
    <n v="53"/>
    <x v="3"/>
  </r>
  <r>
    <s v="APT01160"/>
    <d v="2025-08-02T00:00:00"/>
    <x v="41"/>
    <x v="0"/>
    <s v="Follow-up"/>
    <s v="Routine"/>
    <x v="0"/>
    <s v="Dermatology B"/>
    <s v="Riverside Clinic"/>
    <n v="30"/>
    <n v="15"/>
    <x v="0"/>
  </r>
  <r>
    <s v="APT01161"/>
    <d v="2025-10-30T00:00:00"/>
    <x v="120"/>
    <x v="0"/>
    <s v="Follow-up"/>
    <s v="Routine"/>
    <x v="0"/>
    <s v="Dermatology B"/>
    <s v="Royal South Hospital"/>
    <n v="15"/>
    <n v="38"/>
    <x v="1"/>
  </r>
  <r>
    <s v="APT01162"/>
    <d v="2025-09-29T00:00:00"/>
    <x v="25"/>
    <x v="2"/>
    <s v="Follow-up"/>
    <s v="Routine"/>
    <x v="0"/>
    <s v="Gastro A"/>
    <s v="Royal South Hospital"/>
    <n v="15"/>
    <n v="58"/>
    <x v="4"/>
  </r>
  <r>
    <s v="APT01163"/>
    <d v="2026-02-03T00:00:00"/>
    <x v="13"/>
    <x v="2"/>
    <s v="New"/>
    <s v="Urgent"/>
    <x v="0"/>
    <s v="Gastro A"/>
    <s v="Central Outpatients"/>
    <n v="30"/>
    <n v="3"/>
    <x v="2"/>
  </r>
  <r>
    <s v="APT01164"/>
    <d v="2025-10-11T00:00:00"/>
    <x v="281"/>
    <x v="1"/>
    <s v="Follow-up"/>
    <s v="Routine"/>
    <x v="0"/>
    <s v="Cardiology B"/>
    <s v="Central Outpatients"/>
    <n v="15"/>
    <n v="38"/>
    <x v="1"/>
  </r>
  <r>
    <s v="APT01165"/>
    <d v="2025-10-06T00:00:00"/>
    <x v="90"/>
    <x v="4"/>
    <s v="New"/>
    <s v="Routine"/>
    <x v="0"/>
    <s v="Orthopaedics B"/>
    <s v="Royal South Hospital"/>
    <n v="45"/>
    <n v="24"/>
    <x v="0"/>
  </r>
  <r>
    <s v="APT01166"/>
    <d v="2025-05-09T00:00:00"/>
    <x v="34"/>
    <x v="4"/>
    <s v="New"/>
    <s v="Routine"/>
    <x v="0"/>
    <s v="Orthopaedics B"/>
    <s v="Riverside Clinic"/>
    <n v="30"/>
    <n v="28"/>
    <x v="0"/>
  </r>
  <r>
    <s v="APT01167"/>
    <d v="2025-04-08T00:00:00"/>
    <x v="375"/>
    <x v="2"/>
    <s v="New"/>
    <s v="Routine"/>
    <x v="1"/>
    <s v="Gastro B"/>
    <s v="Royal South Hospital"/>
    <n v="30"/>
    <n v="18"/>
    <x v="0"/>
  </r>
  <r>
    <s v="APT01168"/>
    <d v="2025-08-24T00:00:00"/>
    <x v="156"/>
    <x v="0"/>
    <s v="Follow-up"/>
    <s v="Routine"/>
    <x v="0"/>
    <s v="Dermatology B"/>
    <s v="Royal South Hospital"/>
    <n v="15"/>
    <n v="31"/>
    <x v="1"/>
  </r>
  <r>
    <s v="APT01169"/>
    <d v="2026-03-30T00:00:00"/>
    <x v="376"/>
    <x v="0"/>
    <s v="Follow-up"/>
    <s v="Routine"/>
    <x v="0"/>
    <s v="Dermatology B"/>
    <s v="Royal South Hospital"/>
    <n v="15"/>
    <n v="68"/>
    <x v="4"/>
  </r>
  <r>
    <s v="APT01170"/>
    <d v="2026-02-28T00:00:00"/>
    <x v="163"/>
    <x v="1"/>
    <s v="New"/>
    <s v="Routine"/>
    <x v="0"/>
    <s v="Cardiology B"/>
    <s v="Royal South Hospital"/>
    <n v="45"/>
    <n v="12"/>
    <x v="2"/>
  </r>
  <r>
    <s v="APT01171"/>
    <d v="2025-11-15T00:00:00"/>
    <x v="99"/>
    <x v="0"/>
    <s v="Follow-up"/>
    <s v="Routine"/>
    <x v="0"/>
    <s v="Dermatology A"/>
    <s v="Central Outpatients"/>
    <n v="15"/>
    <n v="13"/>
    <x v="2"/>
  </r>
  <r>
    <s v="APT01172"/>
    <d v="2025-11-16T00:00:00"/>
    <x v="67"/>
    <x v="2"/>
    <s v="Follow-up"/>
    <s v="Routine"/>
    <x v="0"/>
    <s v="Gastro A"/>
    <s v="Royal South Hospital"/>
    <n v="15"/>
    <n v="11"/>
    <x v="2"/>
  </r>
  <r>
    <s v="APT01173"/>
    <d v="2025-08-21T00:00:00"/>
    <x v="184"/>
    <x v="2"/>
    <s v="New"/>
    <s v="Routine"/>
    <x v="0"/>
    <s v="Gastro A"/>
    <s v="Central Outpatients"/>
    <n v="30"/>
    <n v="66"/>
    <x v="4"/>
  </r>
  <r>
    <s v="APT01174"/>
    <d v="2025-06-04T00:00:00"/>
    <x v="160"/>
    <x v="2"/>
    <s v="New"/>
    <s v="Urgent"/>
    <x v="0"/>
    <s v="Gastro A"/>
    <s v="Royal South Hospital"/>
    <n v="30"/>
    <n v="26"/>
    <x v="0"/>
  </r>
  <r>
    <s v="APT01175"/>
    <d v="2025-04-04T00:00:00"/>
    <x v="358"/>
    <x v="4"/>
    <s v="Follow-up"/>
    <s v="Routine"/>
    <x v="1"/>
    <s v="Orthopaedics B"/>
    <s v="Royal South Hospital"/>
    <n v="15"/>
    <n v="34"/>
    <x v="1"/>
  </r>
  <r>
    <s v="APT01176"/>
    <d v="2025-08-02T00:00:00"/>
    <x v="112"/>
    <x v="0"/>
    <s v="Follow-up"/>
    <s v="Routine"/>
    <x v="0"/>
    <s v="Dermatology B"/>
    <s v="Royal South Hospital"/>
    <n v="30"/>
    <n v="27"/>
    <x v="0"/>
  </r>
  <r>
    <s v="APT01177"/>
    <d v="2025-07-25T00:00:00"/>
    <x v="87"/>
    <x v="1"/>
    <s v="Follow-up"/>
    <s v="Routine"/>
    <x v="0"/>
    <s v="Cardiology B"/>
    <s v="Royal South Hospital"/>
    <n v="15"/>
    <n v="18"/>
    <x v="0"/>
  </r>
  <r>
    <s v="APT01178"/>
    <d v="2025-06-09T00:00:00"/>
    <x v="17"/>
    <x v="1"/>
    <s v="New"/>
    <s v="Urgent"/>
    <x v="0"/>
    <s v="Cardiology A"/>
    <s v="Riverside Clinic"/>
    <n v="30"/>
    <n v="30"/>
    <x v="1"/>
  </r>
  <r>
    <s v="APT01179"/>
    <d v="2025-07-04T00:00:00"/>
    <x v="3"/>
    <x v="1"/>
    <s v="Follow-up"/>
    <s v="Routine"/>
    <x v="0"/>
    <s v="Cardiology B"/>
    <s v="Central Outpatients"/>
    <n v="15"/>
    <n v="79"/>
    <x v="4"/>
  </r>
  <r>
    <s v="APT01180"/>
    <d v="2025-04-10T00:00:00"/>
    <x v="82"/>
    <x v="2"/>
    <s v="Follow-up"/>
    <s v="Routine"/>
    <x v="0"/>
    <s v="Gastro A"/>
    <s v="Riverside Clinic"/>
    <n v="15"/>
    <n v="60"/>
    <x v="4"/>
  </r>
  <r>
    <s v="APT01181"/>
    <d v="2025-11-08T00:00:00"/>
    <x v="67"/>
    <x v="4"/>
    <s v="New"/>
    <s v="Routine"/>
    <x v="0"/>
    <s v="Orthopaedics A"/>
    <s v="Riverside Clinic"/>
    <n v="30"/>
    <n v="19"/>
    <x v="0"/>
  </r>
  <r>
    <s v="APT01182"/>
    <d v="2026-03-04T00:00:00"/>
    <x v="239"/>
    <x v="4"/>
    <s v="Follow-up"/>
    <s v="Routine"/>
    <x v="0"/>
    <s v="Orthopaedics A"/>
    <s v="Central Outpatients"/>
    <n v="30"/>
    <n v="46"/>
    <x v="3"/>
  </r>
  <r>
    <s v="APT01183"/>
    <d v="2025-12-08T00:00:00"/>
    <x v="128"/>
    <x v="3"/>
    <s v="Follow-up"/>
    <s v="Routine"/>
    <x v="2"/>
    <s v="Neurology A"/>
    <s v="Riverside Clinic"/>
    <n v="30"/>
    <n v="20"/>
    <x v="0"/>
  </r>
  <r>
    <s v="APT01184"/>
    <d v="2025-09-11T00:00:00"/>
    <x v="21"/>
    <x v="2"/>
    <s v="New"/>
    <s v="Routine"/>
    <x v="0"/>
    <s v="Gastro B"/>
    <s v="Riverside Clinic"/>
    <n v="30"/>
    <n v="3"/>
    <x v="2"/>
  </r>
  <r>
    <s v="APT01185"/>
    <d v="2025-08-31T00:00:00"/>
    <x v="48"/>
    <x v="1"/>
    <s v="Follow-up"/>
    <s v="Routine"/>
    <x v="2"/>
    <s v="Cardiology A"/>
    <s v="Riverside Clinic"/>
    <n v="15"/>
    <n v="53"/>
    <x v="3"/>
  </r>
  <r>
    <s v="APT01186"/>
    <d v="2025-07-21T00:00:00"/>
    <x v="21"/>
    <x v="2"/>
    <s v="Follow-up"/>
    <s v="Routine"/>
    <x v="0"/>
    <s v="Gastro A"/>
    <s v="Royal South Hospital"/>
    <n v="15"/>
    <n v="55"/>
    <x v="3"/>
  </r>
  <r>
    <s v="APT01187"/>
    <d v="2025-05-22T00:00:00"/>
    <x v="110"/>
    <x v="0"/>
    <s v="New"/>
    <s v="Urgent"/>
    <x v="0"/>
    <s v="Dermatology A"/>
    <s v="Royal South Hospital"/>
    <n v="30"/>
    <n v="53"/>
    <x v="3"/>
  </r>
  <r>
    <s v="APT01188"/>
    <d v="2025-11-04T00:00:00"/>
    <x v="179"/>
    <x v="4"/>
    <s v="Follow-up"/>
    <s v="Routine"/>
    <x v="1"/>
    <s v="Orthopaedics B"/>
    <s v="Riverside Clinic"/>
    <n v="15"/>
    <n v="26"/>
    <x v="0"/>
  </r>
  <r>
    <s v="APT01189"/>
    <d v="2025-10-24T00:00:00"/>
    <x v="71"/>
    <x v="2"/>
    <s v="Follow-up"/>
    <s v="Routine"/>
    <x v="0"/>
    <s v="Gastro A"/>
    <s v="Riverside Clinic"/>
    <n v="30"/>
    <n v="31"/>
    <x v="1"/>
  </r>
  <r>
    <s v="APT01190"/>
    <d v="2025-04-03T00:00:00"/>
    <x v="284"/>
    <x v="0"/>
    <s v="Follow-up"/>
    <s v="Routine"/>
    <x v="2"/>
    <s v="Dermatology A"/>
    <s v="Royal South Hospital"/>
    <n v="15"/>
    <n v="48"/>
    <x v="3"/>
  </r>
  <r>
    <s v="APT01191"/>
    <d v="2025-08-30T00:00:00"/>
    <x v="251"/>
    <x v="0"/>
    <s v="Follow-up"/>
    <s v="Routine"/>
    <x v="0"/>
    <s v="Dermatology A"/>
    <s v="Central Outpatients"/>
    <n v="15"/>
    <n v="42"/>
    <x v="1"/>
  </r>
  <r>
    <s v="APT01192"/>
    <d v="2025-07-11T00:00:00"/>
    <x v="77"/>
    <x v="1"/>
    <s v="Follow-up"/>
    <s v="Routine"/>
    <x v="0"/>
    <s v="Cardiology A"/>
    <s v="Royal South Hospital"/>
    <n v="15"/>
    <n v="27"/>
    <x v="0"/>
  </r>
  <r>
    <s v="APT01193"/>
    <d v="2025-06-01T00:00:00"/>
    <x v="34"/>
    <x v="4"/>
    <s v="New"/>
    <s v="Routine"/>
    <x v="1"/>
    <s v="Orthopaedics B"/>
    <s v="Riverside Clinic"/>
    <n v="30"/>
    <n v="5"/>
    <x v="2"/>
  </r>
  <r>
    <s v="APT01194"/>
    <d v="2025-12-12T00:00:00"/>
    <x v="177"/>
    <x v="1"/>
    <s v="Follow-up"/>
    <s v="Routine"/>
    <x v="0"/>
    <s v="Cardiology A"/>
    <s v="Central Outpatients"/>
    <n v="15"/>
    <n v="37"/>
    <x v="1"/>
  </r>
  <r>
    <s v="APT01195"/>
    <d v="2025-10-09T00:00:00"/>
    <x v="106"/>
    <x v="1"/>
    <s v="Follow-up"/>
    <s v="Routine"/>
    <x v="0"/>
    <s v="Cardiology A"/>
    <s v="Royal South Hospital"/>
    <n v="15"/>
    <n v="54"/>
    <x v="3"/>
  </r>
  <r>
    <s v="APT01196"/>
    <d v="2025-11-17T00:00:00"/>
    <x v="179"/>
    <x v="1"/>
    <s v="Follow-up"/>
    <s v="Routine"/>
    <x v="0"/>
    <s v="Cardiology A"/>
    <s v="Central Outpatients"/>
    <n v="15"/>
    <n v="13"/>
    <x v="2"/>
  </r>
  <r>
    <s v="APT01197"/>
    <d v="2025-12-16T00:00:00"/>
    <x v="165"/>
    <x v="4"/>
    <s v="Follow-up"/>
    <s v="Routine"/>
    <x v="0"/>
    <s v="Orthopaedics A"/>
    <s v="Central Outpatients"/>
    <n v="15"/>
    <n v="46"/>
    <x v="3"/>
  </r>
  <r>
    <s v="APT01198"/>
    <d v="2026-03-24T00:00:00"/>
    <x v="352"/>
    <x v="2"/>
    <s v="New"/>
    <s v="Routine"/>
    <x v="0"/>
    <s v="Gastro A"/>
    <s v="Riverside Clinic"/>
    <n v="30"/>
    <n v="40"/>
    <x v="1"/>
  </r>
  <r>
    <s v="APT01199"/>
    <d v="2026-01-18T00:00:00"/>
    <x v="36"/>
    <x v="3"/>
    <s v="Follow-up"/>
    <s v="Routine"/>
    <x v="1"/>
    <s v="Neurology A"/>
    <s v="Central Outpatients"/>
    <n v="30"/>
    <n v="48"/>
    <x v="3"/>
  </r>
  <r>
    <s v="APT01200"/>
    <d v="2025-11-12T00:00:00"/>
    <x v="287"/>
    <x v="0"/>
    <s v="New"/>
    <s v="Routine"/>
    <x v="0"/>
    <s v="Dermatology B"/>
    <s v="Riverside Clinic"/>
    <n v="30"/>
    <n v="50"/>
    <x v="3"/>
  </r>
  <r>
    <s v="APT01201"/>
    <d v="2026-02-14T00:00:00"/>
    <x v="377"/>
    <x v="1"/>
    <s v="New"/>
    <s v="Urgent"/>
    <x v="0"/>
    <s v="Cardiology B"/>
    <s v="Royal South Hospital"/>
    <n v="30"/>
    <n v="22"/>
    <x v="0"/>
  </r>
  <r>
    <s v="APT01202"/>
    <d v="2025-09-21T00:00:00"/>
    <x v="137"/>
    <x v="4"/>
    <s v="Follow-up"/>
    <s v="Routine"/>
    <x v="0"/>
    <s v="Orthopaedics A"/>
    <s v="Riverside Clinic"/>
    <n v="15"/>
    <n v="5"/>
    <x v="2"/>
  </r>
  <r>
    <s v="APT01203"/>
    <d v="2026-03-25T00:00:00"/>
    <x v="239"/>
    <x v="1"/>
    <s v="Follow-up"/>
    <s v="Urgent"/>
    <x v="0"/>
    <s v="Cardiology A"/>
    <s v="Royal South Hospital"/>
    <n v="15"/>
    <n v="25"/>
    <x v="0"/>
  </r>
  <r>
    <s v="APT01204"/>
    <d v="2026-01-03T00:00:00"/>
    <x v="317"/>
    <x v="1"/>
    <s v="Follow-up"/>
    <s v="Routine"/>
    <x v="0"/>
    <s v="Cardiology A"/>
    <s v="Royal South Hospital"/>
    <n v="15"/>
    <n v="51"/>
    <x v="3"/>
  </r>
  <r>
    <s v="APT01205"/>
    <d v="2025-11-23T00:00:00"/>
    <x v="288"/>
    <x v="2"/>
    <s v="Follow-up"/>
    <s v="Routine"/>
    <x v="0"/>
    <s v="Gastro B"/>
    <s v="Royal South Hospital"/>
    <n v="30"/>
    <n v="25"/>
    <x v="0"/>
  </r>
  <r>
    <s v="APT01206"/>
    <d v="2026-02-23T00:00:00"/>
    <x v="27"/>
    <x v="1"/>
    <s v="New"/>
    <s v="Routine"/>
    <x v="1"/>
    <s v="Cardiology A"/>
    <s v="Royal South Hospital"/>
    <n v="30"/>
    <n v="22"/>
    <x v="0"/>
  </r>
  <r>
    <s v="APT01207"/>
    <d v="2025-10-05T00:00:00"/>
    <x v="144"/>
    <x v="1"/>
    <s v="Follow-up"/>
    <s v="Routine"/>
    <x v="0"/>
    <s v="Cardiology A"/>
    <s v="Central Outpatients"/>
    <n v="15"/>
    <n v="2"/>
    <x v="2"/>
  </r>
  <r>
    <s v="APT01208"/>
    <d v="2025-12-19T00:00:00"/>
    <x v="317"/>
    <x v="4"/>
    <s v="New"/>
    <s v="Routine"/>
    <x v="0"/>
    <s v="Orthopaedics A"/>
    <s v="Central Outpatients"/>
    <n v="30"/>
    <n v="66"/>
    <x v="4"/>
  </r>
  <r>
    <s v="APT01209"/>
    <d v="2025-07-13T00:00:00"/>
    <x v="105"/>
    <x v="2"/>
    <s v="Follow-up"/>
    <s v="Routine"/>
    <x v="2"/>
    <s v="Gastro A"/>
    <s v="Central Outpatients"/>
    <n v="15"/>
    <n v="49"/>
    <x v="3"/>
  </r>
  <r>
    <s v="APT01210"/>
    <d v="2026-03-17T00:00:00"/>
    <x v="315"/>
    <x v="0"/>
    <s v="Follow-up"/>
    <s v="Routine"/>
    <x v="0"/>
    <s v="Dermatology B"/>
    <s v="Royal South Hospital"/>
    <n v="30"/>
    <n v="48"/>
    <x v="3"/>
  </r>
  <r>
    <s v="APT01211"/>
    <d v="2025-11-13T00:00:00"/>
    <x v="86"/>
    <x v="0"/>
    <s v="New"/>
    <s v="Urgent"/>
    <x v="0"/>
    <s v="Dermatology B"/>
    <s v="Riverside Clinic"/>
    <n v="45"/>
    <n v="52"/>
    <x v="3"/>
  </r>
  <r>
    <s v="APT01212"/>
    <d v="2026-01-10T00:00:00"/>
    <x v="230"/>
    <x v="3"/>
    <s v="New"/>
    <s v="Routine"/>
    <x v="2"/>
    <s v="Neurology A"/>
    <s v="Riverside Clinic"/>
    <n v="30"/>
    <n v="45"/>
    <x v="3"/>
  </r>
  <r>
    <s v="APT01213"/>
    <d v="2025-09-15T00:00:00"/>
    <x v="57"/>
    <x v="1"/>
    <s v="New"/>
    <s v="Routine"/>
    <x v="0"/>
    <s v="Cardiology B"/>
    <s v="Royal South Hospital"/>
    <n v="30"/>
    <n v="30"/>
    <x v="1"/>
  </r>
  <r>
    <s v="APT01214"/>
    <d v="2026-02-10T00:00:00"/>
    <x v="131"/>
    <x v="1"/>
    <s v="Follow-up"/>
    <s v="Routine"/>
    <x v="0"/>
    <s v="Cardiology B"/>
    <s v="Riverside Clinic"/>
    <n v="15"/>
    <n v="32"/>
    <x v="1"/>
  </r>
  <r>
    <s v="APT01215"/>
    <d v="2025-04-28T00:00:00"/>
    <x v="242"/>
    <x v="3"/>
    <s v="Follow-up"/>
    <s v="Routine"/>
    <x v="0"/>
    <s v="Neurology A"/>
    <s v="Royal South Hospital"/>
    <n v="15"/>
    <n v="27"/>
    <x v="0"/>
  </r>
  <r>
    <s v="APT01216"/>
    <d v="2025-05-12T00:00:00"/>
    <x v="65"/>
    <x v="3"/>
    <s v="New"/>
    <s v="Urgent"/>
    <x v="0"/>
    <s v="Neurology A"/>
    <s v="Central Outpatients"/>
    <n v="30"/>
    <n v="82"/>
    <x v="4"/>
  </r>
  <r>
    <s v="APT01217"/>
    <d v="2025-10-02T00:00:00"/>
    <x v="308"/>
    <x v="4"/>
    <s v="New"/>
    <s v="Routine"/>
    <x v="2"/>
    <s v="Orthopaedics A"/>
    <s v="Royal South Hospital"/>
    <n v="30"/>
    <n v="45"/>
    <x v="3"/>
  </r>
  <r>
    <s v="APT01218"/>
    <d v="2025-12-23T00:00:00"/>
    <x v="177"/>
    <x v="0"/>
    <s v="New"/>
    <s v="Urgent"/>
    <x v="0"/>
    <s v="Dermatology A"/>
    <s v="Central Outpatients"/>
    <n v="30"/>
    <n v="26"/>
    <x v="0"/>
  </r>
  <r>
    <s v="APT01219"/>
    <d v="2026-01-20T00:00:00"/>
    <x v="274"/>
    <x v="1"/>
    <s v="New"/>
    <s v="Routine"/>
    <x v="2"/>
    <s v="Cardiology A"/>
    <s v="Central Outpatients"/>
    <n v="30"/>
    <n v="43"/>
    <x v="3"/>
  </r>
  <r>
    <s v="APT01220"/>
    <d v="2025-09-08T00:00:00"/>
    <x v="156"/>
    <x v="2"/>
    <s v="Follow-up"/>
    <s v="Routine"/>
    <x v="0"/>
    <s v="Gastro B"/>
    <s v="Riverside Clinic"/>
    <n v="15"/>
    <n v="16"/>
    <x v="0"/>
  </r>
  <r>
    <s v="APT01221"/>
    <d v="2025-11-23T00:00:00"/>
    <x v="15"/>
    <x v="3"/>
    <s v="Follow-up"/>
    <s v="Routine"/>
    <x v="0"/>
    <s v="Neurology B"/>
    <s v="Royal South Hospital"/>
    <n v="30"/>
    <n v="62"/>
    <x v="4"/>
  </r>
  <r>
    <s v="APT01222"/>
    <d v="2025-10-19T00:00:00"/>
    <x v="59"/>
    <x v="1"/>
    <s v="New"/>
    <s v="Routine"/>
    <x v="0"/>
    <s v="Cardiology A"/>
    <s v="Royal South Hospital"/>
    <n v="30"/>
    <n v="23"/>
    <x v="0"/>
  </r>
  <r>
    <s v="APT01223"/>
    <d v="2026-03-16T00:00:00"/>
    <x v="367"/>
    <x v="2"/>
    <s v="Follow-up"/>
    <s v="Routine"/>
    <x v="2"/>
    <s v="Gastro B"/>
    <s v="Central Outpatients"/>
    <n v="15"/>
    <n v="44"/>
    <x v="3"/>
  </r>
  <r>
    <s v="APT01224"/>
    <d v="2025-11-25T00:00:00"/>
    <x v="177"/>
    <x v="1"/>
    <s v="New"/>
    <s v="Routine"/>
    <x v="2"/>
    <s v="Cardiology B"/>
    <s v="Royal South Hospital"/>
    <n v="30"/>
    <n v="54"/>
    <x v="3"/>
  </r>
  <r>
    <s v="APT01225"/>
    <d v="2025-08-30T00:00:00"/>
    <x v="370"/>
    <x v="4"/>
    <s v="New"/>
    <s v="Routine"/>
    <x v="0"/>
    <s v="Orthopaedics A"/>
    <s v="Royal South Hospital"/>
    <n v="30"/>
    <n v="41"/>
    <x v="1"/>
  </r>
  <r>
    <s v="APT01226"/>
    <d v="2026-03-20T00:00:00"/>
    <x v="157"/>
    <x v="4"/>
    <s v="Follow-up"/>
    <s v="Urgent"/>
    <x v="1"/>
    <s v="Orthopaedics A"/>
    <s v="Central Outpatients"/>
    <n v="15"/>
    <n v="36"/>
    <x v="1"/>
  </r>
  <r>
    <s v="APT01227"/>
    <d v="2025-05-10T00:00:00"/>
    <x v="378"/>
    <x v="2"/>
    <s v="New"/>
    <s v="Routine"/>
    <x v="0"/>
    <s v="Gastro A"/>
    <s v="Riverside Clinic"/>
    <n v="30"/>
    <n v="35"/>
    <x v="1"/>
  </r>
  <r>
    <s v="APT01228"/>
    <d v="2026-03-25T00:00:00"/>
    <x v="309"/>
    <x v="4"/>
    <s v="Follow-up"/>
    <s v="Routine"/>
    <x v="0"/>
    <s v="Orthopaedics A"/>
    <s v="Riverside Clinic"/>
    <n v="30"/>
    <n v="33"/>
    <x v="1"/>
  </r>
  <r>
    <s v="APT01229"/>
    <d v="2025-05-27T00:00:00"/>
    <x v="326"/>
    <x v="4"/>
    <s v="Follow-up"/>
    <s v="Routine"/>
    <x v="0"/>
    <s v="Orthopaedics A"/>
    <s v="Royal South Hospital"/>
    <n v="30"/>
    <n v="24"/>
    <x v="0"/>
  </r>
  <r>
    <s v="APT01230"/>
    <d v="2025-07-14T00:00:00"/>
    <x v="228"/>
    <x v="1"/>
    <s v="Follow-up"/>
    <s v="Routine"/>
    <x v="2"/>
    <s v="Cardiology B"/>
    <s v="Royal South Hospital"/>
    <n v="15"/>
    <n v="26"/>
    <x v="0"/>
  </r>
  <r>
    <s v="APT01231"/>
    <d v="2026-01-25T00:00:00"/>
    <x v="371"/>
    <x v="0"/>
    <s v="New"/>
    <s v="Urgent"/>
    <x v="0"/>
    <s v="Dermatology A"/>
    <s v="Central Outpatients"/>
    <n v="45"/>
    <n v="61"/>
    <x v="4"/>
  </r>
  <r>
    <s v="APT01232"/>
    <d v="2025-12-24T00:00:00"/>
    <x v="237"/>
    <x v="3"/>
    <s v="Follow-up"/>
    <s v="Routine"/>
    <x v="0"/>
    <s v="Neurology A"/>
    <s v="Royal South Hospital"/>
    <n v="30"/>
    <n v="33"/>
    <x v="1"/>
  </r>
  <r>
    <s v="APT01233"/>
    <d v="2026-03-20T00:00:00"/>
    <x v="307"/>
    <x v="1"/>
    <s v="New"/>
    <s v="Routine"/>
    <x v="2"/>
    <s v="Cardiology A"/>
    <s v="Royal South Hospital"/>
    <n v="45"/>
    <n v="20"/>
    <x v="0"/>
  </r>
  <r>
    <s v="APT01234"/>
    <d v="2025-12-29T00:00:00"/>
    <x v="277"/>
    <x v="0"/>
    <s v="Follow-up"/>
    <s v="Routine"/>
    <x v="0"/>
    <s v="Dermatology B"/>
    <s v="Royal South Hospital"/>
    <n v="30"/>
    <n v="25"/>
    <x v="0"/>
  </r>
  <r>
    <s v="APT01235"/>
    <d v="2025-11-18T00:00:00"/>
    <x v="50"/>
    <x v="0"/>
    <s v="New"/>
    <s v="Routine"/>
    <x v="0"/>
    <s v="Dermatology B"/>
    <s v="Riverside Clinic"/>
    <n v="30"/>
    <n v="54"/>
    <x v="3"/>
  </r>
  <r>
    <s v="APT01236"/>
    <d v="2025-08-05T00:00:00"/>
    <x v="3"/>
    <x v="4"/>
    <s v="Follow-up"/>
    <s v="Routine"/>
    <x v="0"/>
    <s v="Orthopaedics B"/>
    <s v="Royal South Hospital"/>
    <n v="15"/>
    <n v="47"/>
    <x v="3"/>
  </r>
  <r>
    <s v="APT01237"/>
    <d v="2025-04-02T00:00:00"/>
    <x v="164"/>
    <x v="2"/>
    <s v="New"/>
    <s v="Routine"/>
    <x v="0"/>
    <s v="Gastro A"/>
    <s v="Central Outpatients"/>
    <n v="30"/>
    <n v="45"/>
    <x v="3"/>
  </r>
  <r>
    <s v="APT01238"/>
    <d v="2025-05-16T00:00:00"/>
    <x v="322"/>
    <x v="4"/>
    <s v="Follow-up"/>
    <s v="Routine"/>
    <x v="0"/>
    <s v="Orthopaedics A"/>
    <s v="Royal South Hospital"/>
    <n v="15"/>
    <n v="30"/>
    <x v="1"/>
  </r>
  <r>
    <s v="APT01239"/>
    <d v="2025-07-18T00:00:00"/>
    <x v="282"/>
    <x v="0"/>
    <s v="Follow-up"/>
    <s v="Routine"/>
    <x v="0"/>
    <s v="Dermatology B"/>
    <s v="Royal South Hospital"/>
    <n v="15"/>
    <n v="45"/>
    <x v="3"/>
  </r>
  <r>
    <s v="APT01240"/>
    <d v="2025-04-15T00:00:00"/>
    <x v="358"/>
    <x v="1"/>
    <s v="New"/>
    <s v="Routine"/>
    <x v="1"/>
    <s v="Cardiology A"/>
    <s v="Central Outpatients"/>
    <n v="45"/>
    <n v="23"/>
    <x v="0"/>
  </r>
  <r>
    <s v="APT01241"/>
    <d v="2025-10-02T00:00:00"/>
    <x v="89"/>
    <x v="4"/>
    <s v="Follow-up"/>
    <s v="Routine"/>
    <x v="0"/>
    <s v="Orthopaedics A"/>
    <s v="Central Outpatients"/>
    <n v="15"/>
    <n v="30"/>
    <x v="1"/>
  </r>
  <r>
    <s v="APT01242"/>
    <d v="2026-01-08T00:00:00"/>
    <x v="97"/>
    <x v="1"/>
    <s v="New"/>
    <s v="Routine"/>
    <x v="0"/>
    <s v="Cardiology B"/>
    <s v="Riverside Clinic"/>
    <n v="30"/>
    <n v="52"/>
    <x v="3"/>
  </r>
  <r>
    <s v="APT01243"/>
    <d v="2026-03-17T00:00:00"/>
    <x v="113"/>
    <x v="1"/>
    <s v="Follow-up"/>
    <s v="Routine"/>
    <x v="1"/>
    <s v="Cardiology A"/>
    <s v="Central Outpatients"/>
    <n v="15"/>
    <n v="50"/>
    <x v="3"/>
  </r>
  <r>
    <s v="APT01244"/>
    <d v="2025-09-26T00:00:00"/>
    <x v="268"/>
    <x v="0"/>
    <s v="New"/>
    <s v="Routine"/>
    <x v="0"/>
    <s v="Dermatology A"/>
    <s v="Royal South Hospital"/>
    <n v="45"/>
    <n v="17"/>
    <x v="0"/>
  </r>
  <r>
    <s v="APT01245"/>
    <d v="2026-02-13T00:00:00"/>
    <x v="274"/>
    <x v="3"/>
    <s v="New"/>
    <s v="Urgent"/>
    <x v="1"/>
    <s v="Neurology B"/>
    <s v="Royal South Hospital"/>
    <n v="30"/>
    <n v="19"/>
    <x v="0"/>
  </r>
  <r>
    <s v="APT01246"/>
    <d v="2026-03-25T00:00:00"/>
    <x v="301"/>
    <x v="0"/>
    <s v="Follow-up"/>
    <s v="Routine"/>
    <x v="0"/>
    <s v="Dermatology B"/>
    <s v="Royal South Hospital"/>
    <n v="30"/>
    <n v="36"/>
    <x v="1"/>
  </r>
  <r>
    <s v="APT01247"/>
    <d v="2026-02-07T00:00:00"/>
    <x v="275"/>
    <x v="1"/>
    <s v="Follow-up"/>
    <s v="Routine"/>
    <x v="2"/>
    <s v="Cardiology B"/>
    <s v="Royal South Hospital"/>
    <n v="15"/>
    <n v="66"/>
    <x v="4"/>
  </r>
  <r>
    <s v="APT01248"/>
    <d v="2025-09-17T00:00:00"/>
    <x v="121"/>
    <x v="0"/>
    <s v="Follow-up"/>
    <s v="Routine"/>
    <x v="0"/>
    <s v="Dermatology A"/>
    <s v="Central Outpatients"/>
    <n v="15"/>
    <n v="2"/>
    <x v="2"/>
  </r>
  <r>
    <s v="APT01249"/>
    <d v="2025-07-28T00:00:00"/>
    <x v="215"/>
    <x v="0"/>
    <s v="Follow-up"/>
    <s v="Routine"/>
    <x v="0"/>
    <s v="Dermatology A"/>
    <s v="Central Outpatients"/>
    <n v="15"/>
    <n v="40"/>
    <x v="1"/>
  </r>
  <r>
    <s v="APT01250"/>
    <d v="2026-03-22T00:00:00"/>
    <x v="260"/>
    <x v="1"/>
    <s v="New"/>
    <s v="Routine"/>
    <x v="0"/>
    <s v="Cardiology A"/>
    <s v="Royal South Hospital"/>
    <n v="30"/>
    <n v="10"/>
    <x v="2"/>
  </r>
  <r>
    <s v="APT01251"/>
    <d v="2025-06-28T00:00:00"/>
    <x v="280"/>
    <x v="2"/>
    <s v="New"/>
    <s v="Routine"/>
    <x v="2"/>
    <s v="Gastro B"/>
    <s v="Royal South Hospital"/>
    <n v="30"/>
    <n v="23"/>
    <x v="0"/>
  </r>
  <r>
    <s v="APT01252"/>
    <d v="2025-08-28T00:00:00"/>
    <x v="297"/>
    <x v="1"/>
    <s v="Follow-up"/>
    <s v="Routine"/>
    <x v="2"/>
    <s v="Cardiology B"/>
    <s v="Central Outpatients"/>
    <n v="30"/>
    <n v="28"/>
    <x v="0"/>
  </r>
  <r>
    <s v="APT01253"/>
    <d v="2025-04-27T00:00:00"/>
    <x v="42"/>
    <x v="0"/>
    <s v="Follow-up"/>
    <s v="Routine"/>
    <x v="0"/>
    <s v="Dermatology A"/>
    <s v="Riverside Clinic"/>
    <n v="15"/>
    <n v="27"/>
    <x v="0"/>
  </r>
  <r>
    <s v="APT01254"/>
    <d v="2026-01-14T00:00:00"/>
    <x v="203"/>
    <x v="3"/>
    <s v="New"/>
    <s v="Routine"/>
    <x v="0"/>
    <s v="Neurology B"/>
    <s v="Royal South Hospital"/>
    <n v="30"/>
    <n v="25"/>
    <x v="0"/>
  </r>
  <r>
    <s v="APT01255"/>
    <d v="2025-11-23T00:00:00"/>
    <x v="128"/>
    <x v="3"/>
    <s v="New"/>
    <s v="Routine"/>
    <x v="0"/>
    <s v="Neurology B"/>
    <s v="Royal South Hospital"/>
    <n v="45"/>
    <n v="35"/>
    <x v="1"/>
  </r>
  <r>
    <s v="APT01256"/>
    <d v="2025-05-01T00:00:00"/>
    <x v="335"/>
    <x v="0"/>
    <s v="Follow-up"/>
    <s v="Routine"/>
    <x v="0"/>
    <s v="Dermatology B"/>
    <s v="Royal South Hospital"/>
    <n v="15"/>
    <n v="25"/>
    <x v="0"/>
  </r>
  <r>
    <s v="APT01257"/>
    <d v="2025-06-20T00:00:00"/>
    <x v="61"/>
    <x v="0"/>
    <s v="Follow-up"/>
    <s v="Routine"/>
    <x v="1"/>
    <s v="Dermatology A"/>
    <s v="Royal South Hospital"/>
    <n v="15"/>
    <n v="8"/>
    <x v="2"/>
  </r>
  <r>
    <s v="APT01258"/>
    <d v="2025-10-20T00:00:00"/>
    <x v="78"/>
    <x v="0"/>
    <s v="Follow-up"/>
    <s v="Urgent"/>
    <x v="1"/>
    <s v="Dermatology B"/>
    <s v="Royal South Hospital"/>
    <n v="15"/>
    <n v="49"/>
    <x v="3"/>
  </r>
  <r>
    <s v="APT01259"/>
    <d v="2025-10-14T00:00:00"/>
    <x v="38"/>
    <x v="4"/>
    <s v="Follow-up"/>
    <s v="Routine"/>
    <x v="0"/>
    <s v="Orthopaedics A"/>
    <s v="Riverside Clinic"/>
    <n v="15"/>
    <n v="48"/>
    <x v="3"/>
  </r>
  <r>
    <s v="APT01260"/>
    <d v="2026-01-17T00:00:00"/>
    <x v="377"/>
    <x v="1"/>
    <s v="Follow-up"/>
    <s v="Routine"/>
    <x v="2"/>
    <s v="Cardiology A"/>
    <s v="Royal South Hospital"/>
    <n v="15"/>
    <n v="50"/>
    <x v="3"/>
  </r>
  <r>
    <s v="APT01261"/>
    <d v="2025-07-06T00:00:00"/>
    <x v="201"/>
    <x v="1"/>
    <s v="Follow-up"/>
    <s v="Urgent"/>
    <x v="0"/>
    <s v="Cardiology B"/>
    <s v="Riverside Clinic"/>
    <n v="15"/>
    <n v="7"/>
    <x v="2"/>
  </r>
  <r>
    <s v="APT01262"/>
    <d v="2026-03-03T00:00:00"/>
    <x v="192"/>
    <x v="2"/>
    <s v="New"/>
    <s v="Routine"/>
    <x v="0"/>
    <s v="Gastro A"/>
    <s v="Royal South Hospital"/>
    <n v="30"/>
    <n v="40"/>
    <x v="1"/>
  </r>
  <r>
    <s v="APT01263"/>
    <d v="2025-09-09T00:00:00"/>
    <x v="184"/>
    <x v="1"/>
    <s v="New"/>
    <s v="Routine"/>
    <x v="0"/>
    <s v="Cardiology B"/>
    <s v="Royal South Hospital"/>
    <n v="45"/>
    <n v="47"/>
    <x v="3"/>
  </r>
  <r>
    <s v="APT01264"/>
    <d v="2026-01-25T00:00:00"/>
    <x v="195"/>
    <x v="1"/>
    <s v="New"/>
    <s v="Routine"/>
    <x v="0"/>
    <s v="Cardiology A"/>
    <s v="Royal South Hospital"/>
    <n v="45"/>
    <n v="16"/>
    <x v="0"/>
  </r>
  <r>
    <s v="APT01265"/>
    <d v="2025-06-26T00:00:00"/>
    <x v="8"/>
    <x v="1"/>
    <s v="Follow-up"/>
    <s v="Routine"/>
    <x v="0"/>
    <s v="Cardiology B"/>
    <s v="Central Outpatients"/>
    <n v="15"/>
    <n v="35"/>
    <x v="1"/>
  </r>
  <r>
    <s v="APT01266"/>
    <d v="2025-04-14T00:00:00"/>
    <x v="6"/>
    <x v="3"/>
    <s v="New"/>
    <s v="Routine"/>
    <x v="0"/>
    <s v="Neurology A"/>
    <s v="Central Outpatients"/>
    <n v="30"/>
    <n v="32"/>
    <x v="1"/>
  </r>
  <r>
    <s v="APT01267"/>
    <d v="2025-04-21T00:00:00"/>
    <x v="61"/>
    <x v="3"/>
    <s v="Follow-up"/>
    <s v="Routine"/>
    <x v="0"/>
    <s v="Neurology A"/>
    <s v="Royal South Hospital"/>
    <n v="30"/>
    <n v="68"/>
    <x v="4"/>
  </r>
  <r>
    <s v="APT01268"/>
    <d v="2025-08-14T00:00:00"/>
    <x v="19"/>
    <x v="3"/>
    <s v="Follow-up"/>
    <s v="Routine"/>
    <x v="0"/>
    <s v="Neurology A"/>
    <s v="Royal South Hospital"/>
    <n v="30"/>
    <n v="69"/>
    <x v="4"/>
  </r>
  <r>
    <s v="APT01269"/>
    <d v="2026-03-13T00:00:00"/>
    <x v="148"/>
    <x v="4"/>
    <s v="New"/>
    <s v="Urgent"/>
    <x v="0"/>
    <s v="Orthopaedics A"/>
    <s v="Riverside Clinic"/>
    <n v="30"/>
    <n v="5"/>
    <x v="2"/>
  </r>
  <r>
    <s v="APT01270"/>
    <d v="2025-04-18T00:00:00"/>
    <x v="314"/>
    <x v="0"/>
    <s v="Follow-up"/>
    <s v="Routine"/>
    <x v="0"/>
    <s v="Dermatology B"/>
    <s v="Royal South Hospital"/>
    <n v="15"/>
    <n v="79"/>
    <x v="4"/>
  </r>
  <r>
    <s v="APT01271"/>
    <d v="2025-08-13T00:00:00"/>
    <x v="105"/>
    <x v="4"/>
    <s v="Follow-up"/>
    <s v="Routine"/>
    <x v="0"/>
    <s v="Orthopaedics A"/>
    <s v="Riverside Clinic"/>
    <n v="15"/>
    <n v="18"/>
    <x v="0"/>
  </r>
  <r>
    <s v="APT01272"/>
    <d v="2025-05-10T00:00:00"/>
    <x v="30"/>
    <x v="3"/>
    <s v="New"/>
    <s v="Routine"/>
    <x v="0"/>
    <s v="Neurology A"/>
    <s v="Central Outpatients"/>
    <n v="30"/>
    <n v="52"/>
    <x v="3"/>
  </r>
  <r>
    <s v="APT01273"/>
    <d v="2026-03-06T00:00:00"/>
    <x v="309"/>
    <x v="4"/>
    <s v="Follow-up"/>
    <s v="Routine"/>
    <x v="0"/>
    <s v="Orthopaedics B"/>
    <s v="Royal South Hospital"/>
    <n v="30"/>
    <n v="52"/>
    <x v="3"/>
  </r>
  <r>
    <s v="APT01274"/>
    <d v="2025-12-02T00:00:00"/>
    <x v="312"/>
    <x v="3"/>
    <s v="Follow-up"/>
    <s v="Routine"/>
    <x v="0"/>
    <s v="Neurology A"/>
    <s v="Riverside Clinic"/>
    <n v="15"/>
    <n v="17"/>
    <x v="0"/>
  </r>
  <r>
    <s v="APT01275"/>
    <d v="2026-01-03T00:00:00"/>
    <x v="236"/>
    <x v="0"/>
    <s v="New"/>
    <s v="Routine"/>
    <x v="0"/>
    <s v="Dermatology A"/>
    <s v="Riverside Clinic"/>
    <n v="45"/>
    <n v="43"/>
    <x v="3"/>
  </r>
  <r>
    <s v="APT01276"/>
    <d v="2025-12-16T00:00:00"/>
    <x v="177"/>
    <x v="0"/>
    <s v="Follow-up"/>
    <s v="Routine"/>
    <x v="0"/>
    <s v="Dermatology B"/>
    <s v="Riverside Clinic"/>
    <n v="15"/>
    <n v="33"/>
    <x v="1"/>
  </r>
  <r>
    <s v="APT01277"/>
    <d v="2025-11-26T00:00:00"/>
    <x v="341"/>
    <x v="2"/>
    <s v="Follow-up"/>
    <s v="Urgent"/>
    <x v="0"/>
    <s v="Gastro A"/>
    <s v="Royal South Hospital"/>
    <n v="15"/>
    <n v="44"/>
    <x v="3"/>
  </r>
  <r>
    <s v="APT01278"/>
    <d v="2026-01-07T00:00:00"/>
    <x v="236"/>
    <x v="1"/>
    <s v="New"/>
    <s v="Routine"/>
    <x v="0"/>
    <s v="Cardiology A"/>
    <s v="Riverside Clinic"/>
    <n v="45"/>
    <n v="39"/>
    <x v="1"/>
  </r>
  <r>
    <s v="APT01279"/>
    <d v="2025-04-03T00:00:00"/>
    <x v="229"/>
    <x v="2"/>
    <s v="Follow-up"/>
    <s v="Routine"/>
    <x v="0"/>
    <s v="Gastro A"/>
    <s v="Royal South Hospital"/>
    <n v="30"/>
    <n v="56"/>
    <x v="3"/>
  </r>
  <r>
    <s v="APT01280"/>
    <d v="2026-02-10T00:00:00"/>
    <x v="148"/>
    <x v="1"/>
    <s v="Follow-up"/>
    <s v="Routine"/>
    <x v="0"/>
    <s v="Cardiology B"/>
    <s v="Riverside Clinic"/>
    <n v="15"/>
    <n v="36"/>
    <x v="1"/>
  </r>
  <r>
    <s v="APT01281"/>
    <d v="2025-12-26T00:00:00"/>
    <x v="237"/>
    <x v="1"/>
    <s v="Follow-up"/>
    <s v="Routine"/>
    <x v="0"/>
    <s v="Cardiology B"/>
    <s v="Riverside Clinic"/>
    <n v="30"/>
    <n v="31"/>
    <x v="1"/>
  </r>
  <r>
    <s v="APT01282"/>
    <d v="2025-12-26T00:00:00"/>
    <x v="84"/>
    <x v="4"/>
    <s v="New"/>
    <s v="Routine"/>
    <x v="0"/>
    <s v="Orthopaedics A"/>
    <s v="Royal South Hospital"/>
    <n v="45"/>
    <n v="54"/>
    <x v="3"/>
  </r>
  <r>
    <s v="APT01283"/>
    <d v="2025-08-22T00:00:00"/>
    <x v="319"/>
    <x v="3"/>
    <s v="New"/>
    <s v="Routine"/>
    <x v="0"/>
    <s v="Neurology B"/>
    <s v="Central Outpatients"/>
    <n v="30"/>
    <n v="45"/>
    <x v="3"/>
  </r>
  <r>
    <s v="APT01284"/>
    <d v="2026-01-17T00:00:00"/>
    <x v="250"/>
    <x v="2"/>
    <s v="Follow-up"/>
    <s v="Routine"/>
    <x v="2"/>
    <s v="Gastro A"/>
    <s v="Central Outpatients"/>
    <n v="15"/>
    <n v="48"/>
    <x v="3"/>
  </r>
  <r>
    <s v="APT01285"/>
    <d v="2025-08-17T00:00:00"/>
    <x v="329"/>
    <x v="0"/>
    <s v="Follow-up"/>
    <s v="Routine"/>
    <x v="0"/>
    <s v="Dermatology A"/>
    <s v="Riverside Clinic"/>
    <n v="15"/>
    <n v="23"/>
    <x v="0"/>
  </r>
  <r>
    <s v="APT01286"/>
    <d v="2025-04-18T00:00:00"/>
    <x v="379"/>
    <x v="2"/>
    <s v="Follow-up"/>
    <s v="Urgent"/>
    <x v="0"/>
    <s v="Gastro B"/>
    <s v="Central Outpatients"/>
    <n v="15"/>
    <n v="16"/>
    <x v="0"/>
  </r>
  <r>
    <s v="APT01287"/>
    <d v="2026-02-25T00:00:00"/>
    <x v="243"/>
    <x v="4"/>
    <s v="Follow-up"/>
    <s v="Routine"/>
    <x v="0"/>
    <s v="Orthopaedics B"/>
    <s v="Central Outpatients"/>
    <n v="15"/>
    <n v="24"/>
    <x v="0"/>
  </r>
  <r>
    <s v="APT01288"/>
    <d v="2025-06-25T00:00:00"/>
    <x v="380"/>
    <x v="3"/>
    <s v="New"/>
    <s v="Routine"/>
    <x v="0"/>
    <s v="Neurology B"/>
    <s v="Royal South Hospital"/>
    <n v="45"/>
    <n v="23"/>
    <x v="0"/>
  </r>
  <r>
    <s v="APT01289"/>
    <d v="2025-05-08T00:00:00"/>
    <x v="349"/>
    <x v="3"/>
    <s v="Follow-up"/>
    <s v="Routine"/>
    <x v="0"/>
    <s v="Neurology A"/>
    <s v="Riverside Clinic"/>
    <n v="15"/>
    <n v="49"/>
    <x v="3"/>
  </r>
  <r>
    <s v="APT01290"/>
    <d v="2025-11-13T00:00:00"/>
    <x v="86"/>
    <x v="2"/>
    <s v="Follow-up"/>
    <s v="Routine"/>
    <x v="1"/>
    <s v="Gastro B"/>
    <s v="Riverside Clinic"/>
    <n v="15"/>
    <n v="52"/>
    <x v="3"/>
  </r>
  <r>
    <s v="APT01291"/>
    <d v="2025-06-25T00:00:00"/>
    <x v="145"/>
    <x v="0"/>
    <s v="Follow-up"/>
    <s v="Urgent"/>
    <x v="0"/>
    <s v="Dermatology B"/>
    <s v="Riverside Clinic"/>
    <n v="15"/>
    <n v="32"/>
    <x v="1"/>
  </r>
  <r>
    <s v="APT01292"/>
    <d v="2026-02-07T00:00:00"/>
    <x v="295"/>
    <x v="3"/>
    <s v="Follow-up"/>
    <s v="Routine"/>
    <x v="0"/>
    <s v="Neurology A"/>
    <s v="Central Outpatients"/>
    <n v="15"/>
    <n v="60"/>
    <x v="4"/>
  </r>
  <r>
    <s v="APT01293"/>
    <d v="2025-09-09T00:00:00"/>
    <x v="300"/>
    <x v="4"/>
    <s v="Follow-up"/>
    <s v="Routine"/>
    <x v="2"/>
    <s v="Orthopaedics A"/>
    <s v="Royal South Hospital"/>
    <n v="30"/>
    <n v="59"/>
    <x v="4"/>
  </r>
  <r>
    <s v="APT01294"/>
    <d v="2025-04-02T00:00:00"/>
    <x v="9"/>
    <x v="2"/>
    <s v="New"/>
    <s v="Urgent"/>
    <x v="0"/>
    <s v="Gastro A"/>
    <s v="Royal South Hospital"/>
    <n v="30"/>
    <n v="39"/>
    <x v="1"/>
  </r>
  <r>
    <s v="APT01295"/>
    <d v="2026-03-13T00:00:00"/>
    <x v="320"/>
    <x v="0"/>
    <s v="Follow-up"/>
    <s v="Routine"/>
    <x v="0"/>
    <s v="Dermatology B"/>
    <s v="Royal South Hospital"/>
    <n v="30"/>
    <n v="20"/>
    <x v="0"/>
  </r>
  <r>
    <s v="APT01296"/>
    <d v="2025-10-05T00:00:00"/>
    <x v="120"/>
    <x v="2"/>
    <s v="Follow-up"/>
    <s v="Routine"/>
    <x v="0"/>
    <s v="Gastro B"/>
    <s v="Central Outpatients"/>
    <n v="15"/>
    <n v="63"/>
    <x v="4"/>
  </r>
  <r>
    <s v="APT01297"/>
    <d v="2025-07-05T00:00:00"/>
    <x v="77"/>
    <x v="2"/>
    <s v="Follow-up"/>
    <s v="Routine"/>
    <x v="0"/>
    <s v="Gastro B"/>
    <s v="Royal South Hospital"/>
    <n v="15"/>
    <n v="33"/>
    <x v="1"/>
  </r>
  <r>
    <s v="APT01298"/>
    <d v="2025-12-03T00:00:00"/>
    <x v="341"/>
    <x v="4"/>
    <s v="New"/>
    <s v="Routine"/>
    <x v="1"/>
    <s v="Orthopaedics A"/>
    <s v="Royal South Hospital"/>
    <n v="30"/>
    <n v="37"/>
    <x v="1"/>
  </r>
  <r>
    <s v="APT01299"/>
    <d v="2025-10-11T00:00:00"/>
    <x v="16"/>
    <x v="3"/>
    <s v="Follow-up"/>
    <s v="Routine"/>
    <x v="0"/>
    <s v="Neurology A"/>
    <s v="Royal South Hospital"/>
    <n v="30"/>
    <n v="28"/>
    <x v="0"/>
  </r>
  <r>
    <s v="APT01300"/>
    <d v="2025-04-11T00:00:00"/>
    <x v="336"/>
    <x v="0"/>
    <s v="New"/>
    <s v="Urgent"/>
    <x v="2"/>
    <s v="Dermatology B"/>
    <s v="Riverside Clinic"/>
    <n v="30"/>
    <n v="18"/>
    <x v="0"/>
  </r>
  <r>
    <s v="APT01301"/>
    <d v="2026-01-02T00:00:00"/>
    <x v="205"/>
    <x v="0"/>
    <s v="New"/>
    <s v="Routine"/>
    <x v="0"/>
    <s v="Dermatology B"/>
    <s v="Royal South Hospital"/>
    <n v="30"/>
    <n v="8"/>
    <x v="2"/>
  </r>
  <r>
    <s v="APT01302"/>
    <d v="2025-08-25T00:00:00"/>
    <x v="370"/>
    <x v="2"/>
    <s v="New"/>
    <s v="Routine"/>
    <x v="0"/>
    <s v="Gastro A"/>
    <s v="Royal South Hospital"/>
    <n v="30"/>
    <n v="46"/>
    <x v="3"/>
  </r>
  <r>
    <s v="APT01303"/>
    <d v="2025-12-11T00:00:00"/>
    <x v="68"/>
    <x v="1"/>
    <s v="Follow-up"/>
    <s v="Routine"/>
    <x v="0"/>
    <s v="Cardiology A"/>
    <s v="Royal South Hospital"/>
    <n v="15"/>
    <n v="20"/>
    <x v="0"/>
  </r>
  <r>
    <s v="APT01304"/>
    <d v="2026-02-21T00:00:00"/>
    <x v="351"/>
    <x v="2"/>
    <s v="New"/>
    <s v="Routine"/>
    <x v="0"/>
    <s v="Gastro A"/>
    <s v="Royal South Hospital"/>
    <n v="30"/>
    <n v="90"/>
    <x v="4"/>
  </r>
  <r>
    <s v="APT01305"/>
    <d v="2025-11-09T00:00:00"/>
    <x v="71"/>
    <x v="4"/>
    <s v="Follow-up"/>
    <s v="Routine"/>
    <x v="0"/>
    <s v="Orthopaedics A"/>
    <s v="Royal South Hospital"/>
    <n v="15"/>
    <n v="15"/>
    <x v="0"/>
  </r>
  <r>
    <s v="APT01306"/>
    <d v="2025-12-01T00:00:00"/>
    <x v="217"/>
    <x v="3"/>
    <s v="Follow-up"/>
    <s v="Routine"/>
    <x v="0"/>
    <s v="Neurology A"/>
    <s v="Royal South Hospital"/>
    <n v="15"/>
    <n v="12"/>
    <x v="2"/>
  </r>
  <r>
    <s v="APT01307"/>
    <d v="2025-07-02T00:00:00"/>
    <x v="167"/>
    <x v="1"/>
    <s v="Follow-up"/>
    <s v="Routine"/>
    <x v="0"/>
    <s v="Cardiology B"/>
    <s v="Riverside Clinic"/>
    <n v="30"/>
    <n v="44"/>
    <x v="3"/>
  </r>
  <r>
    <s v="APT01308"/>
    <d v="2025-06-26T00:00:00"/>
    <x v="26"/>
    <x v="3"/>
    <s v="Follow-up"/>
    <s v="Routine"/>
    <x v="0"/>
    <s v="Neurology B"/>
    <s v="Royal South Hospital"/>
    <n v="15"/>
    <n v="62"/>
    <x v="4"/>
  </r>
  <r>
    <s v="APT01309"/>
    <d v="2025-08-30T00:00:00"/>
    <x v="29"/>
    <x v="3"/>
    <s v="Follow-up"/>
    <s v="Routine"/>
    <x v="2"/>
    <s v="Neurology A"/>
    <s v="Royal South Hospital"/>
    <n v="15"/>
    <n v="36"/>
    <x v="1"/>
  </r>
  <r>
    <s v="APT01310"/>
    <d v="2026-02-05T00:00:00"/>
    <x v="368"/>
    <x v="0"/>
    <s v="Follow-up"/>
    <s v="Routine"/>
    <x v="0"/>
    <s v="Dermatology A"/>
    <s v="Riverside Clinic"/>
    <n v="30"/>
    <n v="45"/>
    <x v="3"/>
  </r>
  <r>
    <s v="APT01311"/>
    <d v="2025-10-08T00:00:00"/>
    <x v="370"/>
    <x v="3"/>
    <s v="New"/>
    <s v="Routine"/>
    <x v="0"/>
    <s v="Neurology A"/>
    <s v="Royal South Hospital"/>
    <n v="30"/>
    <n v="2"/>
    <x v="2"/>
  </r>
  <r>
    <s v="APT01312"/>
    <d v="2025-08-05T00:00:00"/>
    <x v="26"/>
    <x v="3"/>
    <s v="New"/>
    <s v="Routine"/>
    <x v="0"/>
    <s v="Neurology B"/>
    <s v="Royal South Hospital"/>
    <n v="30"/>
    <n v="22"/>
    <x v="0"/>
  </r>
  <r>
    <s v="APT01313"/>
    <d v="2026-01-09T00:00:00"/>
    <x v="15"/>
    <x v="4"/>
    <s v="Follow-up"/>
    <s v="Routine"/>
    <x v="0"/>
    <s v="Orthopaedics A"/>
    <s v="Royal South Hospital"/>
    <n v="15"/>
    <n v="15"/>
    <x v="0"/>
  </r>
  <r>
    <s v="APT01314"/>
    <d v="2026-02-05T00:00:00"/>
    <x v="249"/>
    <x v="1"/>
    <s v="Follow-up"/>
    <s v="Urgent"/>
    <x v="2"/>
    <s v="Cardiology A"/>
    <s v="Royal South Hospital"/>
    <n v="15"/>
    <n v="2"/>
    <x v="2"/>
  </r>
  <r>
    <s v="APT01315"/>
    <d v="2026-02-23T00:00:00"/>
    <x v="260"/>
    <x v="1"/>
    <s v="Follow-up"/>
    <s v="Routine"/>
    <x v="2"/>
    <s v="Cardiology B"/>
    <s v="Riverside Clinic"/>
    <n v="15"/>
    <n v="37"/>
    <x v="1"/>
  </r>
  <r>
    <s v="APT01316"/>
    <d v="2025-07-18T00:00:00"/>
    <x v="22"/>
    <x v="2"/>
    <s v="New"/>
    <s v="Routine"/>
    <x v="0"/>
    <s v="Gastro A"/>
    <s v="Central Outpatients"/>
    <n v="30"/>
    <n v="2"/>
    <x v="2"/>
  </r>
  <r>
    <s v="APT01317"/>
    <d v="2025-12-15T00:00:00"/>
    <x v="14"/>
    <x v="1"/>
    <s v="Follow-up"/>
    <s v="Routine"/>
    <x v="0"/>
    <s v="Cardiology A"/>
    <s v="Royal South Hospital"/>
    <n v="15"/>
    <n v="11"/>
    <x v="2"/>
  </r>
  <r>
    <s v="APT01318"/>
    <d v="2025-11-01T00:00:00"/>
    <x v="25"/>
    <x v="2"/>
    <s v="Follow-up"/>
    <s v="Routine"/>
    <x v="0"/>
    <s v="Gastro A"/>
    <s v="Riverside Clinic"/>
    <n v="30"/>
    <n v="25"/>
    <x v="0"/>
  </r>
  <r>
    <s v="APT01319"/>
    <d v="2025-09-11T00:00:00"/>
    <x v="75"/>
    <x v="4"/>
    <s v="Follow-up"/>
    <s v="Urgent"/>
    <x v="0"/>
    <s v="Orthopaedics A"/>
    <s v="Central Outpatients"/>
    <n v="15"/>
    <n v="20"/>
    <x v="0"/>
  </r>
  <r>
    <s v="APT01320"/>
    <d v="2025-08-23T00:00:00"/>
    <x v="188"/>
    <x v="1"/>
    <s v="Follow-up"/>
    <s v="Routine"/>
    <x v="0"/>
    <s v="Cardiology B"/>
    <s v="Royal South Hospital"/>
    <n v="30"/>
    <n v="42"/>
    <x v="1"/>
  </r>
  <r>
    <s v="APT01321"/>
    <d v="2025-05-12T00:00:00"/>
    <x v="62"/>
    <x v="2"/>
    <s v="Follow-up"/>
    <s v="Routine"/>
    <x v="0"/>
    <s v="Gastro B"/>
    <s v="Central Outpatients"/>
    <n v="15"/>
    <n v="40"/>
    <x v="1"/>
  </r>
  <r>
    <s v="APT01322"/>
    <d v="2025-07-10T00:00:00"/>
    <x v="321"/>
    <x v="4"/>
    <s v="Follow-up"/>
    <s v="Routine"/>
    <x v="2"/>
    <s v="Orthopaedics B"/>
    <s v="Riverside Clinic"/>
    <n v="30"/>
    <n v="51"/>
    <x v="3"/>
  </r>
  <r>
    <s v="APT01323"/>
    <d v="2025-10-18T00:00:00"/>
    <x v="197"/>
    <x v="2"/>
    <s v="Follow-up"/>
    <s v="Routine"/>
    <x v="0"/>
    <s v="Gastro A"/>
    <s v="Riverside Clinic"/>
    <n v="15"/>
    <n v="48"/>
    <x v="3"/>
  </r>
  <r>
    <s v="APT01324"/>
    <d v="2026-02-17T00:00:00"/>
    <x v="221"/>
    <x v="2"/>
    <s v="Follow-up"/>
    <s v="Urgent"/>
    <x v="0"/>
    <s v="Gastro A"/>
    <s v="Central Outpatients"/>
    <n v="15"/>
    <n v="55"/>
    <x v="3"/>
  </r>
  <r>
    <s v="APT01325"/>
    <d v="2026-02-10T00:00:00"/>
    <x v="70"/>
    <x v="2"/>
    <s v="Follow-up"/>
    <s v="Urgent"/>
    <x v="0"/>
    <s v="Gastro A"/>
    <s v="Royal South Hospital"/>
    <n v="15"/>
    <n v="34"/>
    <x v="1"/>
  </r>
  <r>
    <s v="APT01326"/>
    <d v="2025-06-08T00:00:00"/>
    <x v="380"/>
    <x v="1"/>
    <s v="Follow-up"/>
    <s v="Routine"/>
    <x v="2"/>
    <s v="Cardiology A"/>
    <s v="Central Outpatients"/>
    <n v="15"/>
    <n v="40"/>
    <x v="1"/>
  </r>
  <r>
    <s v="APT01327"/>
    <d v="2025-12-04T00:00:00"/>
    <x v="150"/>
    <x v="1"/>
    <s v="Follow-up"/>
    <s v="Routine"/>
    <x v="0"/>
    <s v="Cardiology A"/>
    <s v="Royal South Hospital"/>
    <n v="15"/>
    <n v="44"/>
    <x v="3"/>
  </r>
  <r>
    <s v="APT01328"/>
    <d v="2025-05-01T00:00:00"/>
    <x v="72"/>
    <x v="3"/>
    <s v="Follow-up"/>
    <s v="Routine"/>
    <x v="1"/>
    <s v="Neurology B"/>
    <s v="Riverside Clinic"/>
    <n v="15"/>
    <n v="37"/>
    <x v="1"/>
  </r>
  <r>
    <s v="APT01329"/>
    <d v="2025-12-02T00:00:00"/>
    <x v="364"/>
    <x v="0"/>
    <s v="Follow-up"/>
    <s v="Routine"/>
    <x v="1"/>
    <s v="Dermatology B"/>
    <s v="Royal South Hospital"/>
    <n v="15"/>
    <n v="27"/>
    <x v="0"/>
  </r>
  <r>
    <s v="APT01330"/>
    <d v="2025-08-03T00:00:00"/>
    <x v="282"/>
    <x v="0"/>
    <s v="New"/>
    <s v="Urgent"/>
    <x v="0"/>
    <s v="Dermatology A"/>
    <s v="Royal South Hospital"/>
    <n v="30"/>
    <n v="29"/>
    <x v="1"/>
  </r>
  <r>
    <s v="APT01331"/>
    <d v="2025-09-11T00:00:00"/>
    <x v="75"/>
    <x v="1"/>
    <s v="Follow-up"/>
    <s v="Routine"/>
    <x v="0"/>
    <s v="Cardiology B"/>
    <s v="Royal South Hospital"/>
    <n v="15"/>
    <n v="20"/>
    <x v="0"/>
  </r>
  <r>
    <s v="APT01332"/>
    <d v="2025-12-18T00:00:00"/>
    <x v="270"/>
    <x v="4"/>
    <s v="Follow-up"/>
    <s v="Urgent"/>
    <x v="0"/>
    <s v="Orthopaedics B"/>
    <s v="Central Outpatients"/>
    <n v="30"/>
    <n v="42"/>
    <x v="1"/>
  </r>
  <r>
    <s v="APT01333"/>
    <d v="2025-09-02T00:00:00"/>
    <x v="29"/>
    <x v="1"/>
    <s v="New"/>
    <s v="Routine"/>
    <x v="0"/>
    <s v="Cardiology A"/>
    <s v="Riverside Clinic"/>
    <n v="30"/>
    <n v="33"/>
    <x v="1"/>
  </r>
  <r>
    <s v="APT01334"/>
    <d v="2026-01-19T00:00:00"/>
    <x v="24"/>
    <x v="3"/>
    <s v="New"/>
    <s v="Routine"/>
    <x v="0"/>
    <s v="Neurology B"/>
    <s v="Central Outpatients"/>
    <n v="45"/>
    <n v="23"/>
    <x v="0"/>
  </r>
  <r>
    <s v="APT01335"/>
    <d v="2025-10-12T00:00:00"/>
    <x v="381"/>
    <x v="0"/>
    <s v="New"/>
    <s v="Routine"/>
    <x v="0"/>
    <s v="Dermatology B"/>
    <s v="Royal South Hospital"/>
    <n v="30"/>
    <n v="23"/>
    <x v="0"/>
  </r>
  <r>
    <s v="APT01336"/>
    <d v="2026-03-30T00:00:00"/>
    <x v="192"/>
    <x v="2"/>
    <s v="Follow-up"/>
    <s v="Routine"/>
    <x v="2"/>
    <s v="Gastro A"/>
    <s v="Royal South Hospital"/>
    <n v="15"/>
    <n v="13"/>
    <x v="2"/>
  </r>
  <r>
    <s v="APT01337"/>
    <d v="2025-11-19T00:00:00"/>
    <x v="205"/>
    <x v="0"/>
    <s v="Follow-up"/>
    <s v="Routine"/>
    <x v="0"/>
    <s v="Dermatology B"/>
    <s v="Royal South Hospital"/>
    <n v="30"/>
    <n v="52"/>
    <x v="3"/>
  </r>
  <r>
    <s v="APT01338"/>
    <d v="2025-07-17T00:00:00"/>
    <x v="298"/>
    <x v="1"/>
    <s v="Follow-up"/>
    <s v="Routine"/>
    <x v="0"/>
    <s v="Cardiology B"/>
    <s v="Royal South Hospital"/>
    <n v="15"/>
    <n v="36"/>
    <x v="1"/>
  </r>
  <r>
    <s v="APT01339"/>
    <d v="2026-01-08T00:00:00"/>
    <x v="104"/>
    <x v="2"/>
    <s v="New"/>
    <s v="Routine"/>
    <x v="0"/>
    <s v="Gastro A"/>
    <s v="Royal South Hospital"/>
    <n v="30"/>
    <n v="19"/>
    <x v="0"/>
  </r>
  <r>
    <s v="APT01340"/>
    <d v="2025-08-27T00:00:00"/>
    <x v="57"/>
    <x v="3"/>
    <s v="Follow-up"/>
    <s v="Routine"/>
    <x v="0"/>
    <s v="Neurology B"/>
    <s v="Central Outpatients"/>
    <n v="30"/>
    <n v="49"/>
    <x v="3"/>
  </r>
  <r>
    <s v="APT01341"/>
    <d v="2025-10-12T00:00:00"/>
    <x v="191"/>
    <x v="1"/>
    <s v="Follow-up"/>
    <s v="Routine"/>
    <x v="0"/>
    <s v="Cardiology B"/>
    <s v="Central Outpatients"/>
    <n v="30"/>
    <n v="24"/>
    <x v="0"/>
  </r>
  <r>
    <s v="APT01342"/>
    <d v="2025-05-20T00:00:00"/>
    <x v="229"/>
    <x v="2"/>
    <s v="Follow-up"/>
    <s v="Urgent"/>
    <x v="0"/>
    <s v="Gastro A"/>
    <s v="Royal South Hospital"/>
    <n v="15"/>
    <n v="9"/>
    <x v="2"/>
  </r>
  <r>
    <s v="APT01343"/>
    <d v="2025-05-14T00:00:00"/>
    <x v="314"/>
    <x v="2"/>
    <s v="New"/>
    <s v="Routine"/>
    <x v="0"/>
    <s v="Gastro A"/>
    <s v="Royal South Hospital"/>
    <n v="30"/>
    <n v="53"/>
    <x v="3"/>
  </r>
  <r>
    <s v="APT01344"/>
    <d v="2025-10-27T00:00:00"/>
    <x v="265"/>
    <x v="1"/>
    <s v="New"/>
    <s v="Routine"/>
    <x v="0"/>
    <s v="Cardiology A"/>
    <s v="Riverside Clinic"/>
    <n v="30"/>
    <n v="25"/>
    <x v="0"/>
  </r>
  <r>
    <s v="APT01345"/>
    <d v="2025-06-07T00:00:00"/>
    <x v="39"/>
    <x v="2"/>
    <s v="Follow-up"/>
    <s v="Routine"/>
    <x v="0"/>
    <s v="Gastro A"/>
    <s v="Riverside Clinic"/>
    <n v="30"/>
    <n v="27"/>
    <x v="0"/>
  </r>
  <r>
    <s v="APT01346"/>
    <d v="2026-03-30T00:00:00"/>
    <x v="315"/>
    <x v="1"/>
    <s v="New"/>
    <s v="Routine"/>
    <x v="0"/>
    <s v="Cardiology A"/>
    <s v="Riverside Clinic"/>
    <n v="30"/>
    <n v="35"/>
    <x v="1"/>
  </r>
  <r>
    <s v="APT01347"/>
    <d v="2026-02-06T00:00:00"/>
    <x v="320"/>
    <x v="2"/>
    <s v="Follow-up"/>
    <s v="Urgent"/>
    <x v="0"/>
    <s v="Gastro A"/>
    <s v="Riverside Clinic"/>
    <n v="30"/>
    <n v="55"/>
    <x v="3"/>
  </r>
  <r>
    <s v="APT01348"/>
    <d v="2025-12-12T00:00:00"/>
    <x v="7"/>
    <x v="1"/>
    <s v="Follow-up"/>
    <s v="Routine"/>
    <x v="0"/>
    <s v="Cardiology B"/>
    <s v="Royal South Hospital"/>
    <n v="30"/>
    <n v="35"/>
    <x v="1"/>
  </r>
  <r>
    <s v="APT01349"/>
    <d v="2025-12-24T00:00:00"/>
    <x v="223"/>
    <x v="2"/>
    <s v="New"/>
    <s v="Routine"/>
    <x v="0"/>
    <s v="Gastro A"/>
    <s v="Royal South Hospital"/>
    <n v="30"/>
    <n v="13"/>
    <x v="2"/>
  </r>
  <r>
    <s v="APT01350"/>
    <d v="2025-11-03T00:00:00"/>
    <x v="324"/>
    <x v="0"/>
    <s v="Follow-up"/>
    <s v="Routine"/>
    <x v="1"/>
    <s v="Dermatology B"/>
    <s v="Central Outpatients"/>
    <n v="15"/>
    <n v="44"/>
    <x v="3"/>
  </r>
  <r>
    <s v="APT01351"/>
    <d v="2025-04-22T00:00:00"/>
    <x v="305"/>
    <x v="2"/>
    <s v="Follow-up"/>
    <s v="Routine"/>
    <x v="0"/>
    <s v="Gastro B"/>
    <s v="Riverside Clinic"/>
    <n v="15"/>
    <n v="26"/>
    <x v="0"/>
  </r>
  <r>
    <s v="APT01352"/>
    <d v="2025-08-21T00:00:00"/>
    <x v="88"/>
    <x v="2"/>
    <s v="Follow-up"/>
    <s v="Routine"/>
    <x v="0"/>
    <s v="Gastro A"/>
    <s v="Central Outpatients"/>
    <n v="15"/>
    <n v="68"/>
    <x v="4"/>
  </r>
  <r>
    <s v="APT01353"/>
    <d v="2025-09-28T00:00:00"/>
    <x v="89"/>
    <x v="4"/>
    <s v="Follow-up"/>
    <s v="Routine"/>
    <x v="1"/>
    <s v="Orthopaedics B"/>
    <s v="Royal South Hospital"/>
    <n v="30"/>
    <n v="34"/>
    <x v="1"/>
  </r>
  <r>
    <s v="APT01354"/>
    <d v="2026-02-28T00:00:00"/>
    <x v="5"/>
    <x v="2"/>
    <s v="New"/>
    <s v="Routine"/>
    <x v="0"/>
    <s v="Gastro A"/>
    <s v="Riverside Clinic"/>
    <n v="30"/>
    <n v="2"/>
    <x v="2"/>
  </r>
  <r>
    <s v="APT01355"/>
    <d v="2025-06-19T00:00:00"/>
    <x v="382"/>
    <x v="4"/>
    <s v="Follow-up"/>
    <s v="Urgent"/>
    <x v="2"/>
    <s v="Orthopaedics A"/>
    <s v="Royal South Hospital"/>
    <n v="15"/>
    <n v="41"/>
    <x v="1"/>
  </r>
  <r>
    <s v="APT01356"/>
    <d v="2025-09-28T00:00:00"/>
    <x v="120"/>
    <x v="0"/>
    <s v="Follow-up"/>
    <s v="Routine"/>
    <x v="0"/>
    <s v="Dermatology A"/>
    <s v="Central Outpatients"/>
    <n v="30"/>
    <n v="70"/>
    <x v="4"/>
  </r>
  <r>
    <s v="APT01357"/>
    <d v="2025-08-04T00:00:00"/>
    <x v="319"/>
    <x v="0"/>
    <s v="Follow-up"/>
    <s v="Routine"/>
    <x v="0"/>
    <s v="Dermatology A"/>
    <s v="Royal South Hospital"/>
    <n v="15"/>
    <n v="63"/>
    <x v="4"/>
  </r>
  <r>
    <s v="APT01358"/>
    <d v="2025-05-19T00:00:00"/>
    <x v="200"/>
    <x v="1"/>
    <s v="Follow-up"/>
    <s v="Routine"/>
    <x v="0"/>
    <s v="Cardiology A"/>
    <s v="Riverside Clinic"/>
    <n v="15"/>
    <n v="67"/>
    <x v="4"/>
  </r>
  <r>
    <s v="APT01359"/>
    <d v="2025-05-08T00:00:00"/>
    <x v="42"/>
    <x v="2"/>
    <s v="New"/>
    <s v="Routine"/>
    <x v="0"/>
    <s v="Gastro B"/>
    <s v="Royal South Hospital"/>
    <n v="30"/>
    <n v="16"/>
    <x v="0"/>
  </r>
  <r>
    <s v="APT01360"/>
    <d v="2025-08-11T00:00:00"/>
    <x v="75"/>
    <x v="3"/>
    <s v="Follow-up"/>
    <s v="Routine"/>
    <x v="1"/>
    <s v="Neurology A"/>
    <s v="Royal South Hospital"/>
    <n v="15"/>
    <n v="51"/>
    <x v="3"/>
  </r>
  <r>
    <s v="APT01361"/>
    <d v="2025-05-01T00:00:00"/>
    <x v="325"/>
    <x v="4"/>
    <s v="Follow-up"/>
    <s v="Routine"/>
    <x v="2"/>
    <s v="Orthopaedics B"/>
    <s v="Royal South Hospital"/>
    <n v="15"/>
    <n v="22"/>
    <x v="0"/>
  </r>
  <r>
    <s v="APT01362"/>
    <d v="2025-04-25T00:00:00"/>
    <x v="170"/>
    <x v="2"/>
    <s v="New"/>
    <s v="Routine"/>
    <x v="0"/>
    <s v="Gastro A"/>
    <s v="Riverside Clinic"/>
    <n v="30"/>
    <n v="39"/>
    <x v="1"/>
  </r>
  <r>
    <s v="APT01363"/>
    <d v="2025-08-06T00:00:00"/>
    <x v="146"/>
    <x v="3"/>
    <s v="Follow-up"/>
    <s v="Routine"/>
    <x v="0"/>
    <s v="Neurology A"/>
    <s v="Central Outpatients"/>
    <n v="30"/>
    <n v="12"/>
    <x v="2"/>
  </r>
  <r>
    <s v="APT01364"/>
    <d v="2025-06-13T00:00:00"/>
    <x v="314"/>
    <x v="1"/>
    <s v="Follow-up"/>
    <s v="Routine"/>
    <x v="0"/>
    <s v="Cardiology A"/>
    <s v="Central Outpatients"/>
    <n v="15"/>
    <n v="23"/>
    <x v="0"/>
  </r>
  <r>
    <s v="APT01365"/>
    <d v="2025-10-19T00:00:00"/>
    <x v="323"/>
    <x v="1"/>
    <s v="Follow-up"/>
    <s v="Routine"/>
    <x v="0"/>
    <s v="Cardiology A"/>
    <s v="Riverside Clinic"/>
    <n v="15"/>
    <n v="22"/>
    <x v="0"/>
  </r>
  <r>
    <s v="APT01366"/>
    <d v="2025-04-07T00:00:00"/>
    <x v="211"/>
    <x v="4"/>
    <s v="New"/>
    <s v="Routine"/>
    <x v="0"/>
    <s v="Orthopaedics B"/>
    <s v="Riverside Clinic"/>
    <n v="45"/>
    <n v="51"/>
    <x v="3"/>
  </r>
  <r>
    <s v="APT01367"/>
    <d v="2025-07-19T00:00:00"/>
    <x v="215"/>
    <x v="1"/>
    <s v="Follow-up"/>
    <s v="Routine"/>
    <x v="2"/>
    <s v="Cardiology A"/>
    <s v="Central Outpatients"/>
    <n v="15"/>
    <n v="49"/>
    <x v="3"/>
  </r>
  <r>
    <s v="APT01368"/>
    <d v="2025-09-12T00:00:00"/>
    <x v="49"/>
    <x v="1"/>
    <s v="New"/>
    <s v="Urgent"/>
    <x v="0"/>
    <s v="Cardiology B"/>
    <s v="Royal South Hospital"/>
    <n v="30"/>
    <n v="39"/>
    <x v="1"/>
  </r>
  <r>
    <s v="APT01369"/>
    <d v="2026-03-17T00:00:00"/>
    <x v="371"/>
    <x v="4"/>
    <s v="Follow-up"/>
    <s v="Routine"/>
    <x v="0"/>
    <s v="Orthopaedics B"/>
    <s v="Central Outpatients"/>
    <n v="15"/>
    <n v="10"/>
    <x v="2"/>
  </r>
  <r>
    <s v="APT01370"/>
    <d v="2025-11-17T00:00:00"/>
    <x v="94"/>
    <x v="4"/>
    <s v="Follow-up"/>
    <s v="Routine"/>
    <x v="0"/>
    <s v="Orthopaedics A"/>
    <s v="Riverside Clinic"/>
    <n v="30"/>
    <n v="29"/>
    <x v="1"/>
  </r>
  <r>
    <s v="APT01371"/>
    <d v="2026-02-15T00:00:00"/>
    <x v="377"/>
    <x v="3"/>
    <s v="New"/>
    <s v="Routine"/>
    <x v="2"/>
    <s v="Neurology A"/>
    <s v="Riverside Clinic"/>
    <n v="30"/>
    <n v="21"/>
    <x v="0"/>
  </r>
  <r>
    <s v="APT01372"/>
    <d v="2025-08-03T00:00:00"/>
    <x v="117"/>
    <x v="0"/>
    <s v="New"/>
    <s v="Routine"/>
    <x v="2"/>
    <s v="Dermatology B"/>
    <s v="Royal South Hospital"/>
    <n v="30"/>
    <n v="50"/>
    <x v="3"/>
  </r>
  <r>
    <s v="APT01373"/>
    <d v="2025-09-11T00:00:00"/>
    <x v="129"/>
    <x v="4"/>
    <s v="Follow-up"/>
    <s v="Routine"/>
    <x v="0"/>
    <s v="Orthopaedics B"/>
    <s v="Royal South Hospital"/>
    <n v="15"/>
    <n v="56"/>
    <x v="3"/>
  </r>
  <r>
    <s v="APT01374"/>
    <d v="2025-09-01T00:00:00"/>
    <x v="102"/>
    <x v="1"/>
    <s v="New"/>
    <s v="Routine"/>
    <x v="0"/>
    <s v="Cardiology A"/>
    <s v="Royal South Hospital"/>
    <n v="30"/>
    <n v="54"/>
    <x v="3"/>
  </r>
  <r>
    <s v="APT01375"/>
    <d v="2026-02-18T00:00:00"/>
    <x v="292"/>
    <x v="2"/>
    <s v="Follow-up"/>
    <s v="Routine"/>
    <x v="1"/>
    <s v="Gastro A"/>
    <s v="Central Outpatients"/>
    <n v="15"/>
    <n v="21"/>
    <x v="0"/>
  </r>
  <r>
    <s v="APT01376"/>
    <d v="2026-03-16T00:00:00"/>
    <x v="148"/>
    <x v="0"/>
    <s v="Follow-up"/>
    <s v="Routine"/>
    <x v="0"/>
    <s v="Dermatology A"/>
    <s v="Riverside Clinic"/>
    <n v="30"/>
    <n v="2"/>
    <x v="2"/>
  </r>
  <r>
    <s v="APT01377"/>
    <d v="2026-03-17T00:00:00"/>
    <x v="357"/>
    <x v="4"/>
    <s v="Follow-up"/>
    <s v="Routine"/>
    <x v="2"/>
    <s v="Orthopaedics B"/>
    <s v="Riverside Clinic"/>
    <n v="15"/>
    <n v="3"/>
    <x v="2"/>
  </r>
  <r>
    <s v="APT01378"/>
    <d v="2025-12-30T00:00:00"/>
    <x v="262"/>
    <x v="4"/>
    <s v="New"/>
    <s v="Routine"/>
    <x v="2"/>
    <s v="Orthopaedics B"/>
    <s v="Royal South Hospital"/>
    <n v="30"/>
    <n v="60"/>
    <x v="4"/>
  </r>
  <r>
    <s v="APT01379"/>
    <d v="2025-10-01T00:00:00"/>
    <x v="88"/>
    <x v="3"/>
    <s v="New"/>
    <s v="Routine"/>
    <x v="0"/>
    <s v="Neurology A"/>
    <s v="Riverside Clinic"/>
    <n v="30"/>
    <n v="27"/>
    <x v="0"/>
  </r>
  <r>
    <s v="APT01380"/>
    <d v="2025-10-14T00:00:00"/>
    <x v="381"/>
    <x v="1"/>
    <s v="New"/>
    <s v="Routine"/>
    <x v="0"/>
    <s v="Cardiology B"/>
    <s v="Royal South Hospital"/>
    <n v="30"/>
    <n v="21"/>
    <x v="0"/>
  </r>
  <r>
    <s v="APT01381"/>
    <d v="2026-03-23T00:00:00"/>
    <x v="383"/>
    <x v="2"/>
    <s v="Follow-up"/>
    <s v="Urgent"/>
    <x v="0"/>
    <s v="Gastro A"/>
    <s v="Royal South Hospital"/>
    <n v="30"/>
    <n v="64"/>
    <x v="4"/>
  </r>
  <r>
    <s v="APT01382"/>
    <d v="2025-07-13T00:00:00"/>
    <x v="139"/>
    <x v="0"/>
    <s v="Follow-up"/>
    <s v="Routine"/>
    <x v="2"/>
    <s v="Dermatology A"/>
    <s v="Riverside Clinic"/>
    <n v="15"/>
    <n v="57"/>
    <x v="4"/>
  </r>
  <r>
    <s v="APT01383"/>
    <d v="2025-08-05T00:00:00"/>
    <x v="329"/>
    <x v="4"/>
    <s v="Follow-up"/>
    <s v="Urgent"/>
    <x v="0"/>
    <s v="Orthopaedics A"/>
    <s v="Royal South Hospital"/>
    <n v="30"/>
    <n v="35"/>
    <x v="1"/>
  </r>
  <r>
    <s v="APT01384"/>
    <d v="2026-02-21T00:00:00"/>
    <x v="368"/>
    <x v="1"/>
    <s v="New"/>
    <s v="Routine"/>
    <x v="2"/>
    <s v="Cardiology A"/>
    <s v="Royal South Hospital"/>
    <n v="30"/>
    <n v="29"/>
    <x v="1"/>
  </r>
  <r>
    <s v="APT01385"/>
    <d v="2025-08-19T00:00:00"/>
    <x v="273"/>
    <x v="1"/>
    <s v="New"/>
    <s v="Routine"/>
    <x v="0"/>
    <s v="Cardiology A"/>
    <s v="Royal South Hospital"/>
    <n v="45"/>
    <n v="32"/>
    <x v="1"/>
  </r>
  <r>
    <s v="APT01386"/>
    <d v="2025-06-25T00:00:00"/>
    <x v="116"/>
    <x v="3"/>
    <s v="New"/>
    <s v="Routine"/>
    <x v="2"/>
    <s v="Neurology B"/>
    <s v="Royal South Hospital"/>
    <n v="30"/>
    <n v="39"/>
    <x v="1"/>
  </r>
  <r>
    <s v="APT01387"/>
    <d v="2025-10-22T00:00:00"/>
    <x v="231"/>
    <x v="2"/>
    <s v="Follow-up"/>
    <s v="Routine"/>
    <x v="0"/>
    <s v="Gastro A"/>
    <s v="Central Outpatients"/>
    <n v="30"/>
    <n v="63"/>
    <x v="4"/>
  </r>
  <r>
    <s v="APT01388"/>
    <d v="2025-07-28T00:00:00"/>
    <x v="139"/>
    <x v="4"/>
    <s v="New"/>
    <s v="Routine"/>
    <x v="0"/>
    <s v="Orthopaedics A"/>
    <s v="Central Outpatients"/>
    <n v="30"/>
    <n v="42"/>
    <x v="1"/>
  </r>
  <r>
    <s v="APT01389"/>
    <d v="2026-02-19T00:00:00"/>
    <x v="295"/>
    <x v="1"/>
    <s v="New"/>
    <s v="Routine"/>
    <x v="0"/>
    <s v="Cardiology A"/>
    <s v="Central Outpatients"/>
    <n v="30"/>
    <n v="48"/>
    <x v="3"/>
  </r>
  <r>
    <s v="APT01390"/>
    <d v="2026-02-25T00:00:00"/>
    <x v="11"/>
    <x v="4"/>
    <s v="Follow-up"/>
    <s v="Routine"/>
    <x v="0"/>
    <s v="Orthopaedics B"/>
    <s v="Central Outpatients"/>
    <n v="30"/>
    <n v="56"/>
    <x v="3"/>
  </r>
  <r>
    <s v="APT01391"/>
    <d v="2025-07-21T00:00:00"/>
    <x v="116"/>
    <x v="1"/>
    <s v="Follow-up"/>
    <s v="Routine"/>
    <x v="0"/>
    <s v="Cardiology B"/>
    <s v="Royal South Hospital"/>
    <n v="15"/>
    <n v="13"/>
    <x v="2"/>
  </r>
  <r>
    <s v="APT01392"/>
    <d v="2025-10-10T00:00:00"/>
    <x v="67"/>
    <x v="1"/>
    <s v="New"/>
    <s v="Urgent"/>
    <x v="2"/>
    <s v="Cardiology A"/>
    <s v="Royal South Hospital"/>
    <n v="30"/>
    <n v="48"/>
    <x v="3"/>
  </r>
  <r>
    <s v="APT01393"/>
    <d v="2026-03-25T00:00:00"/>
    <x v="266"/>
    <x v="2"/>
    <s v="Follow-up"/>
    <s v="Routine"/>
    <x v="0"/>
    <s v="Gastro B"/>
    <s v="Riverside Clinic"/>
    <n v="15"/>
    <n v="29"/>
    <x v="1"/>
  </r>
  <r>
    <s v="APT01394"/>
    <d v="2025-12-27T00:00:00"/>
    <x v="364"/>
    <x v="0"/>
    <s v="New"/>
    <s v="Urgent"/>
    <x v="2"/>
    <s v="Dermatology A"/>
    <s v="Royal South Hospital"/>
    <n v="45"/>
    <n v="2"/>
    <x v="2"/>
  </r>
  <r>
    <s v="APT01395"/>
    <d v="2025-06-18T00:00:00"/>
    <x v="326"/>
    <x v="2"/>
    <s v="New"/>
    <s v="Routine"/>
    <x v="0"/>
    <s v="Gastro A"/>
    <s v="Central Outpatients"/>
    <n v="45"/>
    <n v="2"/>
    <x v="2"/>
  </r>
  <r>
    <s v="APT01396"/>
    <d v="2025-11-02T00:00:00"/>
    <x v="281"/>
    <x v="1"/>
    <s v="New"/>
    <s v="Routine"/>
    <x v="0"/>
    <s v="Cardiology B"/>
    <s v="Royal South Hospital"/>
    <n v="30"/>
    <n v="16"/>
    <x v="0"/>
  </r>
  <r>
    <s v="APT01397"/>
    <d v="2025-11-12T00:00:00"/>
    <x v="14"/>
    <x v="1"/>
    <s v="New"/>
    <s v="Routine"/>
    <x v="2"/>
    <s v="Cardiology A"/>
    <s v="Riverside Clinic"/>
    <n v="30"/>
    <n v="44"/>
    <x v="3"/>
  </r>
  <r>
    <s v="APT01398"/>
    <d v="2025-11-24T00:00:00"/>
    <x v="68"/>
    <x v="3"/>
    <s v="Follow-up"/>
    <s v="Routine"/>
    <x v="0"/>
    <s v="Neurology B"/>
    <s v="Riverside Clinic"/>
    <n v="15"/>
    <n v="37"/>
    <x v="1"/>
  </r>
  <r>
    <s v="APT01399"/>
    <d v="2025-04-10T00:00:00"/>
    <x v="305"/>
    <x v="1"/>
    <s v="Follow-up"/>
    <s v="Routine"/>
    <x v="2"/>
    <s v="Cardiology B"/>
    <s v="Central Outpatients"/>
    <n v="30"/>
    <n v="38"/>
    <x v="1"/>
  </r>
  <r>
    <s v="APT01400"/>
    <d v="2025-07-18T00:00:00"/>
    <x v="137"/>
    <x v="3"/>
    <s v="Follow-up"/>
    <s v="Routine"/>
    <x v="2"/>
    <s v="Neurology A"/>
    <s v="Riverside Clinic"/>
    <n v="15"/>
    <n v="70"/>
    <x v="4"/>
  </r>
  <r>
    <s v="APT01401"/>
    <d v="2026-02-06T00:00:00"/>
    <x v="84"/>
    <x v="3"/>
    <s v="New"/>
    <s v="Routine"/>
    <x v="0"/>
    <s v="Neurology B"/>
    <s v="Riverside Clinic"/>
    <n v="30"/>
    <n v="12"/>
    <x v="2"/>
  </r>
  <r>
    <s v="APT01402"/>
    <d v="2025-06-27T00:00:00"/>
    <x v="8"/>
    <x v="1"/>
    <s v="Follow-up"/>
    <s v="Routine"/>
    <x v="0"/>
    <s v="Cardiology B"/>
    <s v="Royal South Hospital"/>
    <n v="15"/>
    <n v="34"/>
    <x v="1"/>
  </r>
  <r>
    <s v="APT01403"/>
    <d v="2025-07-19T00:00:00"/>
    <x v="313"/>
    <x v="4"/>
    <s v="Follow-up"/>
    <s v="Urgent"/>
    <x v="0"/>
    <s v="Orthopaedics A"/>
    <s v="Riverside Clinic"/>
    <n v="15"/>
    <n v="40"/>
    <x v="1"/>
  </r>
  <r>
    <s v="APT01404"/>
    <d v="2025-07-27T00:00:00"/>
    <x v="41"/>
    <x v="0"/>
    <s v="New"/>
    <s v="Routine"/>
    <x v="0"/>
    <s v="Dermatology B"/>
    <s v="Riverside Clinic"/>
    <n v="30"/>
    <n v="21"/>
    <x v="0"/>
  </r>
  <r>
    <s v="APT01405"/>
    <d v="2025-06-04T00:00:00"/>
    <x v="17"/>
    <x v="0"/>
    <s v="Follow-up"/>
    <s v="Routine"/>
    <x v="0"/>
    <s v="Dermatology B"/>
    <s v="Riverside Clinic"/>
    <n v="15"/>
    <n v="35"/>
    <x v="1"/>
  </r>
  <r>
    <s v="APT01406"/>
    <d v="2025-05-27T00:00:00"/>
    <x v="222"/>
    <x v="1"/>
    <s v="Follow-up"/>
    <s v="Routine"/>
    <x v="1"/>
    <s v="Cardiology A"/>
    <s v="Riverside Clinic"/>
    <n v="15"/>
    <n v="6"/>
    <x v="2"/>
  </r>
  <r>
    <s v="APT01407"/>
    <d v="2025-08-05T00:00:00"/>
    <x v="188"/>
    <x v="4"/>
    <s v="Follow-up"/>
    <s v="Routine"/>
    <x v="0"/>
    <s v="Orthopaedics A"/>
    <s v="Royal South Hospital"/>
    <n v="15"/>
    <n v="60"/>
    <x v="4"/>
  </r>
  <r>
    <s v="APT01408"/>
    <d v="2026-02-13T00:00:00"/>
    <x v="36"/>
    <x v="2"/>
    <s v="New"/>
    <s v="Routine"/>
    <x v="0"/>
    <s v="Gastro A"/>
    <s v="Royal South Hospital"/>
    <n v="30"/>
    <n v="22"/>
    <x v="0"/>
  </r>
  <r>
    <s v="APT01409"/>
    <d v="2025-04-01T00:00:00"/>
    <x v="127"/>
    <x v="2"/>
    <s v="Follow-up"/>
    <s v="Routine"/>
    <x v="2"/>
    <s v="Gastro A"/>
    <s v="Central Outpatients"/>
    <n v="30"/>
    <n v="71"/>
    <x v="4"/>
  </r>
  <r>
    <s v="APT01410"/>
    <d v="2025-07-13T00:00:00"/>
    <x v="111"/>
    <x v="4"/>
    <s v="Follow-up"/>
    <s v="Routine"/>
    <x v="0"/>
    <s v="Orthopaedics A"/>
    <s v="Royal South Hospital"/>
    <n v="15"/>
    <n v="34"/>
    <x v="1"/>
  </r>
  <r>
    <s v="APT01411"/>
    <d v="2025-04-23T00:00:00"/>
    <x v="322"/>
    <x v="0"/>
    <s v="Follow-up"/>
    <s v="Routine"/>
    <x v="2"/>
    <s v="Dermatology A"/>
    <s v="Riverside Clinic"/>
    <n v="15"/>
    <n v="53"/>
    <x v="3"/>
  </r>
  <r>
    <s v="APT01412"/>
    <d v="2025-10-22T00:00:00"/>
    <x v="20"/>
    <x v="4"/>
    <s v="Follow-up"/>
    <s v="Routine"/>
    <x v="0"/>
    <s v="Orthopaedics B"/>
    <s v="Riverside Clinic"/>
    <n v="15"/>
    <n v="34"/>
    <x v="1"/>
  </r>
  <r>
    <s v="APT01413"/>
    <d v="2025-07-01T00:00:00"/>
    <x v="311"/>
    <x v="3"/>
    <s v="New"/>
    <s v="Routine"/>
    <x v="0"/>
    <s v="Neurology A"/>
    <s v="Central Outpatients"/>
    <n v="30"/>
    <n v="34"/>
    <x v="1"/>
  </r>
  <r>
    <s v="APT01414"/>
    <d v="2026-01-14T00:00:00"/>
    <x v="249"/>
    <x v="4"/>
    <s v="Follow-up"/>
    <s v="Routine"/>
    <x v="0"/>
    <s v="Orthopaedics B"/>
    <s v="Royal South Hospital"/>
    <n v="15"/>
    <n v="24"/>
    <x v="0"/>
  </r>
  <r>
    <s v="APT01415"/>
    <d v="2025-10-30T00:00:00"/>
    <x v="207"/>
    <x v="4"/>
    <s v="Follow-up"/>
    <s v="Urgent"/>
    <x v="0"/>
    <s v="Orthopaedics B"/>
    <s v="Royal South Hospital"/>
    <n v="30"/>
    <n v="37"/>
    <x v="1"/>
  </r>
  <r>
    <s v="APT01416"/>
    <d v="2026-01-11T00:00:00"/>
    <x v="81"/>
    <x v="4"/>
    <s v="Follow-up"/>
    <s v="Routine"/>
    <x v="0"/>
    <s v="Orthopaedics A"/>
    <s v="Central Outpatients"/>
    <n v="15"/>
    <n v="40"/>
    <x v="1"/>
  </r>
  <r>
    <s v="APT01417"/>
    <d v="2025-11-18T00:00:00"/>
    <x v="78"/>
    <x v="1"/>
    <s v="New"/>
    <s v="Routine"/>
    <x v="0"/>
    <s v="Cardiology B"/>
    <s v="Riverside Clinic"/>
    <n v="30"/>
    <n v="20"/>
    <x v="0"/>
  </r>
  <r>
    <s v="APT01418"/>
    <d v="2025-09-07T00:00:00"/>
    <x v="294"/>
    <x v="4"/>
    <s v="New"/>
    <s v="Routine"/>
    <x v="1"/>
    <s v="Orthopaedics B"/>
    <s v="Riverside Clinic"/>
    <n v="30"/>
    <n v="32"/>
    <x v="1"/>
  </r>
  <r>
    <s v="APT01419"/>
    <d v="2026-02-08T00:00:00"/>
    <x v="274"/>
    <x v="4"/>
    <s v="New"/>
    <s v="Routine"/>
    <x v="0"/>
    <s v="Orthopaedics A"/>
    <s v="Royal South Hospital"/>
    <n v="45"/>
    <n v="24"/>
    <x v="0"/>
  </r>
  <r>
    <s v="APT01420"/>
    <d v="2025-09-21T00:00:00"/>
    <x v="207"/>
    <x v="3"/>
    <s v="New"/>
    <s v="Routine"/>
    <x v="0"/>
    <s v="Neurology A"/>
    <s v="Royal South Hospital"/>
    <n v="45"/>
    <n v="76"/>
    <x v="4"/>
  </r>
  <r>
    <s v="APT01421"/>
    <d v="2026-03-12T00:00:00"/>
    <x v="275"/>
    <x v="0"/>
    <s v="Follow-up"/>
    <s v="Routine"/>
    <x v="0"/>
    <s v="Dermatology B"/>
    <s v="Central Outpatients"/>
    <n v="30"/>
    <n v="33"/>
    <x v="1"/>
  </r>
  <r>
    <s v="APT01422"/>
    <d v="2026-03-29T00:00:00"/>
    <x v="384"/>
    <x v="4"/>
    <s v="New"/>
    <s v="Routine"/>
    <x v="0"/>
    <s v="Orthopaedics B"/>
    <s v="Riverside Clinic"/>
    <n v="30"/>
    <n v="62"/>
    <x v="4"/>
  </r>
  <r>
    <s v="APT01423"/>
    <d v="2025-11-01T00:00:00"/>
    <x v="106"/>
    <x v="1"/>
    <s v="Follow-up"/>
    <s v="Routine"/>
    <x v="0"/>
    <s v="Cardiology B"/>
    <s v="Central Outpatients"/>
    <n v="15"/>
    <n v="31"/>
    <x v="1"/>
  </r>
  <r>
    <s v="APT01424"/>
    <d v="2025-12-02T00:00:00"/>
    <x v="205"/>
    <x v="2"/>
    <s v="Follow-up"/>
    <s v="Routine"/>
    <x v="0"/>
    <s v="Gastro B"/>
    <s v="Central Outpatients"/>
    <n v="15"/>
    <n v="39"/>
    <x v="1"/>
  </r>
  <r>
    <s v="APT01425"/>
    <d v="2025-07-03T00:00:00"/>
    <x v="110"/>
    <x v="2"/>
    <s v="Follow-up"/>
    <s v="Routine"/>
    <x v="1"/>
    <s v="Gastro A"/>
    <s v="Riverside Clinic"/>
    <n v="30"/>
    <n v="11"/>
    <x v="2"/>
  </r>
  <r>
    <s v="APT01426"/>
    <d v="2026-01-22T00:00:00"/>
    <x v="224"/>
    <x v="1"/>
    <s v="New"/>
    <s v="Routine"/>
    <x v="2"/>
    <s v="Cardiology A"/>
    <s v="Riverside Clinic"/>
    <n v="45"/>
    <n v="26"/>
    <x v="0"/>
  </r>
  <r>
    <s v="APT01427"/>
    <d v="2025-12-01T00:00:00"/>
    <x v="362"/>
    <x v="3"/>
    <s v="Follow-up"/>
    <s v="Routine"/>
    <x v="1"/>
    <s v="Neurology A"/>
    <s v="Riverside Clinic"/>
    <n v="15"/>
    <n v="38"/>
    <x v="1"/>
  </r>
  <r>
    <s v="APT01428"/>
    <d v="2026-02-23T00:00:00"/>
    <x v="309"/>
    <x v="1"/>
    <s v="Follow-up"/>
    <s v="Urgent"/>
    <x v="0"/>
    <s v="Cardiology A"/>
    <s v="Central Outpatients"/>
    <n v="15"/>
    <n v="63"/>
    <x v="4"/>
  </r>
  <r>
    <s v="APT01429"/>
    <d v="2025-07-07T00:00:00"/>
    <x v="355"/>
    <x v="3"/>
    <s v="Follow-up"/>
    <s v="Routine"/>
    <x v="0"/>
    <s v="Neurology A"/>
    <s v="Riverside Clinic"/>
    <n v="15"/>
    <n v="38"/>
    <x v="1"/>
  </r>
  <r>
    <s v="APT01430"/>
    <d v="2026-01-12T00:00:00"/>
    <x v="163"/>
    <x v="4"/>
    <s v="New"/>
    <s v="Routine"/>
    <x v="0"/>
    <s v="Orthopaedics A"/>
    <s v="Royal South Hospital"/>
    <n v="45"/>
    <n v="59"/>
    <x v="4"/>
  </r>
  <r>
    <s v="APT01431"/>
    <d v="2025-09-19T00:00:00"/>
    <x v="381"/>
    <x v="0"/>
    <s v="Follow-up"/>
    <s v="Routine"/>
    <x v="0"/>
    <s v="Dermatology A"/>
    <s v="Central Outpatients"/>
    <n v="30"/>
    <n v="46"/>
    <x v="3"/>
  </r>
  <r>
    <s v="APT01432"/>
    <d v="2025-06-07T00:00:00"/>
    <x v="238"/>
    <x v="3"/>
    <s v="New"/>
    <s v="Routine"/>
    <x v="0"/>
    <s v="Neurology B"/>
    <s v="Riverside Clinic"/>
    <n v="45"/>
    <n v="64"/>
    <x v="4"/>
  </r>
  <r>
    <s v="APT01433"/>
    <d v="2025-06-02T00:00:00"/>
    <x v="158"/>
    <x v="1"/>
    <s v="Follow-up"/>
    <s v="Routine"/>
    <x v="2"/>
    <s v="Cardiology B"/>
    <s v="Central Outpatients"/>
    <n v="30"/>
    <n v="33"/>
    <x v="1"/>
  </r>
  <r>
    <s v="APT01434"/>
    <d v="2025-10-22T00:00:00"/>
    <x v="362"/>
    <x v="4"/>
    <s v="Follow-up"/>
    <s v="Routine"/>
    <x v="0"/>
    <s v="Orthopaedics A"/>
    <s v="Royal South Hospital"/>
    <n v="30"/>
    <n v="78"/>
    <x v="4"/>
  </r>
  <r>
    <s v="APT01435"/>
    <d v="2025-07-26T00:00:00"/>
    <x v="198"/>
    <x v="4"/>
    <s v="New"/>
    <s v="Routine"/>
    <x v="0"/>
    <s v="Orthopaedics B"/>
    <s v="Royal South Hospital"/>
    <n v="30"/>
    <n v="26"/>
    <x v="0"/>
  </r>
  <r>
    <s v="APT01436"/>
    <d v="2025-05-08T00:00:00"/>
    <x v="229"/>
    <x v="1"/>
    <s v="Follow-up"/>
    <s v="Routine"/>
    <x v="0"/>
    <s v="Cardiology B"/>
    <s v="Riverside Clinic"/>
    <n v="30"/>
    <n v="21"/>
    <x v="0"/>
  </r>
  <r>
    <s v="APT01437"/>
    <d v="2025-09-03T00:00:00"/>
    <x v="232"/>
    <x v="3"/>
    <s v="New"/>
    <s v="Routine"/>
    <x v="2"/>
    <s v="Neurology A"/>
    <s v="Riverside Clinic"/>
    <n v="30"/>
    <n v="13"/>
    <x v="2"/>
  </r>
  <r>
    <s v="APT01438"/>
    <d v="2025-11-24T00:00:00"/>
    <x v="203"/>
    <x v="2"/>
    <s v="Follow-up"/>
    <s v="Routine"/>
    <x v="0"/>
    <s v="Gastro A"/>
    <s v="Royal South Hospital"/>
    <n v="15"/>
    <n v="76"/>
    <x v="4"/>
  </r>
  <r>
    <s v="APT01439"/>
    <d v="2025-07-26T00:00:00"/>
    <x v="180"/>
    <x v="2"/>
    <s v="Follow-up"/>
    <s v="Routine"/>
    <x v="1"/>
    <s v="Gastro B"/>
    <s v="Royal South Hospital"/>
    <n v="15"/>
    <n v="49"/>
    <x v="3"/>
  </r>
  <r>
    <s v="APT01440"/>
    <d v="2026-03-14T00:00:00"/>
    <x v="219"/>
    <x v="3"/>
    <s v="New"/>
    <s v="Routine"/>
    <x v="0"/>
    <s v="Neurology A"/>
    <s v="Riverside Clinic"/>
    <n v="30"/>
    <n v="28"/>
    <x v="0"/>
  </r>
  <r>
    <s v="APT01441"/>
    <d v="2026-01-09T00:00:00"/>
    <x v="36"/>
    <x v="2"/>
    <s v="New"/>
    <s v="Routine"/>
    <x v="0"/>
    <s v="Gastro A"/>
    <s v="Central Outpatients"/>
    <n v="30"/>
    <n v="57"/>
    <x v="4"/>
  </r>
  <r>
    <s v="APT01442"/>
    <d v="2025-10-04T00:00:00"/>
    <x v="347"/>
    <x v="3"/>
    <s v="New"/>
    <s v="Routine"/>
    <x v="2"/>
    <s v="Neurology B"/>
    <s v="Royal South Hospital"/>
    <n v="30"/>
    <n v="47"/>
    <x v="3"/>
  </r>
  <r>
    <s v="APT01443"/>
    <d v="2026-03-07T00:00:00"/>
    <x v="356"/>
    <x v="0"/>
    <s v="Follow-up"/>
    <s v="Routine"/>
    <x v="0"/>
    <s v="Dermatology B"/>
    <s v="Royal South Hospital"/>
    <n v="15"/>
    <n v="70"/>
    <x v="4"/>
  </r>
  <r>
    <s v="APT01444"/>
    <d v="2025-09-05T00:00:00"/>
    <x v="206"/>
    <x v="0"/>
    <s v="Follow-up"/>
    <s v="Routine"/>
    <x v="0"/>
    <s v="Dermatology A"/>
    <s v="Royal South Hospital"/>
    <n v="30"/>
    <n v="7"/>
    <x v="2"/>
  </r>
  <r>
    <s v="APT01445"/>
    <d v="2025-05-21T00:00:00"/>
    <x v="326"/>
    <x v="4"/>
    <s v="New"/>
    <s v="Routine"/>
    <x v="0"/>
    <s v="Orthopaedics B"/>
    <s v="Royal South Hospital"/>
    <n v="30"/>
    <n v="30"/>
    <x v="1"/>
  </r>
  <r>
    <s v="APT01446"/>
    <d v="2025-04-14T00:00:00"/>
    <x v="235"/>
    <x v="1"/>
    <s v="Follow-up"/>
    <s v="Urgent"/>
    <x v="0"/>
    <s v="Cardiology B"/>
    <s v="Royal South Hospital"/>
    <n v="15"/>
    <n v="26"/>
    <x v="0"/>
  </r>
  <r>
    <s v="APT01447"/>
    <d v="2026-03-08T00:00:00"/>
    <x v="189"/>
    <x v="2"/>
    <s v="New"/>
    <s v="Routine"/>
    <x v="0"/>
    <s v="Gastro A"/>
    <s v="Riverside Clinic"/>
    <n v="30"/>
    <n v="2"/>
    <x v="2"/>
  </r>
  <r>
    <s v="APT01448"/>
    <d v="2026-03-16T00:00:00"/>
    <x v="142"/>
    <x v="1"/>
    <s v="Follow-up"/>
    <s v="Routine"/>
    <x v="1"/>
    <s v="Cardiology A"/>
    <s v="Riverside Clinic"/>
    <n v="15"/>
    <n v="54"/>
    <x v="3"/>
  </r>
  <r>
    <s v="APT01449"/>
    <d v="2025-12-26T00:00:00"/>
    <x v="344"/>
    <x v="4"/>
    <s v="Follow-up"/>
    <s v="Urgent"/>
    <x v="1"/>
    <s v="Orthopaedics A"/>
    <s v="Royal South Hospital"/>
    <n v="30"/>
    <n v="30"/>
    <x v="1"/>
  </r>
  <r>
    <s v="APT01450"/>
    <d v="2025-05-08T00:00:00"/>
    <x v="124"/>
    <x v="2"/>
    <s v="New"/>
    <s v="Routine"/>
    <x v="0"/>
    <s v="Gastro A"/>
    <s v="Royal South Hospital"/>
    <n v="45"/>
    <n v="48"/>
    <x v="3"/>
  </r>
  <r>
    <s v="APT01451"/>
    <d v="2025-07-16T00:00:00"/>
    <x v="75"/>
    <x v="2"/>
    <s v="Follow-up"/>
    <s v="Unknown"/>
    <x v="0"/>
    <s v="Gastro B"/>
    <s v="Central Outpatients"/>
    <n v="30"/>
    <n v="77"/>
    <x v="4"/>
  </r>
  <r>
    <s v="APT01452"/>
    <d v="2025-04-15T00:00:00"/>
    <x v="103"/>
    <x v="0"/>
    <s v="New"/>
    <s v="Routine"/>
    <x v="0"/>
    <s v="Dermatology A"/>
    <s v="Royal South Hospital"/>
    <n v="30"/>
    <n v="28"/>
    <x v="0"/>
  </r>
  <r>
    <s v="APT01453"/>
    <d v="2025-04-19T00:00:00"/>
    <x v="6"/>
    <x v="2"/>
    <s v="Follow-up"/>
    <s v="Urgent"/>
    <x v="0"/>
    <s v="Gastro B"/>
    <s v="Central Outpatients"/>
    <n v="30"/>
    <n v="27"/>
    <x v="0"/>
  </r>
  <r>
    <s v="APT01454"/>
    <d v="2025-06-29T00:00:00"/>
    <x v="212"/>
    <x v="4"/>
    <s v="Follow-up"/>
    <s v="Routine"/>
    <x v="0"/>
    <s v="Orthopaedics A"/>
    <s v="Royal South Hospital"/>
    <n v="15"/>
    <n v="37"/>
    <x v="1"/>
  </r>
  <r>
    <s v="APT01455"/>
    <d v="2025-10-26T00:00:00"/>
    <x v="324"/>
    <x v="2"/>
    <s v="Follow-up"/>
    <s v="Routine"/>
    <x v="0"/>
    <s v="Gastro B"/>
    <s v="Central Outpatients"/>
    <n v="30"/>
    <n v="52"/>
    <x v="3"/>
  </r>
  <r>
    <s v="APT01456"/>
    <d v="2025-04-24T00:00:00"/>
    <x v="305"/>
    <x v="2"/>
    <s v="Follow-up"/>
    <s v="Urgent"/>
    <x v="2"/>
    <s v="Gastro B"/>
    <s v="Central Outpatients"/>
    <n v="15"/>
    <n v="24"/>
    <x v="0"/>
  </r>
  <r>
    <s v="APT01457"/>
    <d v="2026-03-25T00:00:00"/>
    <x v="289"/>
    <x v="3"/>
    <s v="Follow-up"/>
    <s v="Routine"/>
    <x v="0"/>
    <s v="Neurology B"/>
    <s v="Royal South Hospital"/>
    <n v="15"/>
    <n v="23"/>
    <x v="0"/>
  </r>
  <r>
    <s v="APT01458"/>
    <d v="2025-09-13T00:00:00"/>
    <x v="129"/>
    <x v="0"/>
    <s v="New"/>
    <s v="Urgent"/>
    <x v="0"/>
    <s v="Dermatology A"/>
    <s v="Riverside Clinic"/>
    <n v="30"/>
    <n v="54"/>
    <x v="3"/>
  </r>
  <r>
    <s v="APT01459"/>
    <d v="2025-07-06T00:00:00"/>
    <x v="111"/>
    <x v="2"/>
    <s v="Follow-up"/>
    <s v="Routine"/>
    <x v="2"/>
    <s v="Gastro B"/>
    <s v="Riverside Clinic"/>
    <n v="15"/>
    <n v="41"/>
    <x v="1"/>
  </r>
  <r>
    <s v="APT01460"/>
    <d v="2025-10-05T00:00:00"/>
    <x v="144"/>
    <x v="0"/>
    <s v="New"/>
    <s v="Urgent"/>
    <x v="0"/>
    <s v="Dermatology A"/>
    <s v="Royal South Hospital"/>
    <n v="30"/>
    <n v="2"/>
    <x v="2"/>
  </r>
  <r>
    <s v="APT01461"/>
    <d v="2026-01-13T00:00:00"/>
    <x v="344"/>
    <x v="1"/>
    <s v="Follow-up"/>
    <s v="Routine"/>
    <x v="0"/>
    <s v="Cardiology B"/>
    <s v="Riverside Clinic"/>
    <n v="15"/>
    <n v="12"/>
    <x v="2"/>
  </r>
  <r>
    <s v="APT01462"/>
    <d v="2025-07-23T00:00:00"/>
    <x v="4"/>
    <x v="3"/>
    <s v="New"/>
    <s v="Routine"/>
    <x v="0"/>
    <s v="Neurology A"/>
    <s v="Royal South Hospital"/>
    <n v="30"/>
    <n v="62"/>
    <x v="4"/>
  </r>
  <r>
    <s v="APT01463"/>
    <d v="2025-04-18T00:00:00"/>
    <x v="0"/>
    <x v="4"/>
    <s v="Follow-up"/>
    <s v="Urgent"/>
    <x v="0"/>
    <s v="Orthopaedics A"/>
    <s v="Royal South Hospital"/>
    <n v="30"/>
    <n v="42"/>
    <x v="1"/>
  </r>
  <r>
    <s v="APT01464"/>
    <d v="2025-04-19T00:00:00"/>
    <x v="235"/>
    <x v="4"/>
    <s v="Follow-up"/>
    <s v="Routine"/>
    <x v="0"/>
    <s v="Orthopaedics B"/>
    <s v="Central Outpatients"/>
    <n v="15"/>
    <n v="21"/>
    <x v="0"/>
  </r>
  <r>
    <s v="APT01465"/>
    <d v="2026-02-05T00:00:00"/>
    <x v="377"/>
    <x v="4"/>
    <s v="Follow-up"/>
    <s v="Routine"/>
    <x v="0"/>
    <s v="Orthopaedics B"/>
    <s v="Royal South Hospital"/>
    <n v="30"/>
    <n v="31"/>
    <x v="1"/>
  </r>
  <r>
    <s v="APT01466"/>
    <d v="2025-05-11T00:00:00"/>
    <x v="322"/>
    <x v="2"/>
    <s v="Follow-up"/>
    <s v="Routine"/>
    <x v="0"/>
    <s v="Gastro B"/>
    <s v="Royal South Hospital"/>
    <n v="15"/>
    <n v="35"/>
    <x v="1"/>
  </r>
  <r>
    <s v="APT01467"/>
    <d v="2025-11-18T00:00:00"/>
    <x v="79"/>
    <x v="0"/>
    <s v="Follow-up"/>
    <s v="Urgent"/>
    <x v="0"/>
    <s v="Dermatology A"/>
    <s v="Royal South Hospital"/>
    <n v="30"/>
    <n v="48"/>
    <x v="3"/>
  </r>
  <r>
    <s v="APT01468"/>
    <d v="2025-08-18T00:00:00"/>
    <x v="313"/>
    <x v="3"/>
    <s v="New"/>
    <s v="Routine"/>
    <x v="0"/>
    <s v="Neurology B"/>
    <s v="Central Outpatients"/>
    <n v="30"/>
    <n v="10"/>
    <x v="2"/>
  </r>
  <r>
    <s v="APT01469"/>
    <d v="2026-01-09T00:00:00"/>
    <x v="60"/>
    <x v="4"/>
    <s v="Follow-up"/>
    <s v="Urgent"/>
    <x v="0"/>
    <s v="Orthopaedics B"/>
    <s v="Royal South Hospital"/>
    <n v="30"/>
    <n v="19"/>
    <x v="0"/>
  </r>
  <r>
    <s v="APT01470"/>
    <d v="2025-04-23T00:00:00"/>
    <x v="343"/>
    <x v="3"/>
    <s v="Follow-up"/>
    <s v="Routine"/>
    <x v="0"/>
    <s v="Neurology B"/>
    <s v="Royal South Hospital"/>
    <n v="15"/>
    <n v="39"/>
    <x v="1"/>
  </r>
  <r>
    <s v="APT01471"/>
    <d v="2026-02-21T00:00:00"/>
    <x v="23"/>
    <x v="2"/>
    <s v="Follow-up"/>
    <s v="Routine"/>
    <x v="0"/>
    <s v="Gastro A"/>
    <s v="Riverside Clinic"/>
    <n v="30"/>
    <n v="33"/>
    <x v="1"/>
  </r>
  <r>
    <s v="APT01472"/>
    <d v="2025-12-11T00:00:00"/>
    <x v="344"/>
    <x v="3"/>
    <s v="New"/>
    <s v="Routine"/>
    <x v="0"/>
    <s v="Neurology A"/>
    <s v="Riverside Clinic"/>
    <n v="30"/>
    <n v="45"/>
    <x v="3"/>
  </r>
  <r>
    <s v="APT01473"/>
    <d v="2025-09-11T00:00:00"/>
    <x v="4"/>
    <x v="4"/>
    <s v="Follow-up"/>
    <s v="Urgent"/>
    <x v="0"/>
    <s v="Orthopaedics B"/>
    <s v="Riverside Clinic"/>
    <n v="15"/>
    <n v="12"/>
    <x v="2"/>
  </r>
  <r>
    <s v="APT01474"/>
    <d v="2025-06-15T00:00:00"/>
    <x v="133"/>
    <x v="4"/>
    <s v="New"/>
    <s v="Routine"/>
    <x v="0"/>
    <s v="Orthopaedics A"/>
    <s v="Central Outpatients"/>
    <n v="30"/>
    <n v="41"/>
    <x v="1"/>
  </r>
  <r>
    <s v="APT01475"/>
    <d v="2026-03-22T00:00:00"/>
    <x v="385"/>
    <x v="4"/>
    <s v="Follow-up"/>
    <s v="Routine"/>
    <x v="0"/>
    <s v="Orthopaedics A"/>
    <s v="Royal South Hospital"/>
    <n v="15"/>
    <n v="54"/>
    <x v="3"/>
  </r>
  <r>
    <s v="APT01476"/>
    <d v="2025-07-19T00:00:00"/>
    <x v="105"/>
    <x v="2"/>
    <s v="New"/>
    <s v="Routine"/>
    <x v="0"/>
    <s v="Gastro B"/>
    <s v="Riverside Clinic"/>
    <n v="45"/>
    <n v="43"/>
    <x v="3"/>
  </r>
  <r>
    <s v="APT01477"/>
    <d v="2025-09-26T00:00:00"/>
    <x v="28"/>
    <x v="0"/>
    <s v="New"/>
    <s v="Urgent"/>
    <x v="0"/>
    <s v="Dermatology A"/>
    <s v="Riverside Clinic"/>
    <n v="30"/>
    <n v="37"/>
    <x v="1"/>
  </r>
  <r>
    <s v="APT01478"/>
    <d v="2025-08-22T00:00:00"/>
    <x v="156"/>
    <x v="2"/>
    <s v="New"/>
    <s v="Routine"/>
    <x v="2"/>
    <s v="Gastro A"/>
    <s v="Royal South Hospital"/>
    <n v="30"/>
    <n v="33"/>
    <x v="1"/>
  </r>
  <r>
    <s v="APT01479"/>
    <d v="2025-06-23T00:00:00"/>
    <x v="286"/>
    <x v="0"/>
    <s v="New"/>
    <s v="Routine"/>
    <x v="0"/>
    <s v="Dermatology A"/>
    <s v="Central Outpatients"/>
    <n v="30"/>
    <n v="19"/>
    <x v="0"/>
  </r>
  <r>
    <s v="APT01480"/>
    <d v="2025-08-30T00:00:00"/>
    <x v="363"/>
    <x v="4"/>
    <s v="Follow-up"/>
    <s v="Routine"/>
    <x v="0"/>
    <s v="Orthopaedics B"/>
    <s v="Riverside Clinic"/>
    <n v="15"/>
    <n v="33"/>
    <x v="1"/>
  </r>
  <r>
    <s v="APT01481"/>
    <d v="2025-05-26T00:00:00"/>
    <x v="138"/>
    <x v="2"/>
    <s v="Follow-up"/>
    <s v="Routine"/>
    <x v="0"/>
    <s v="Gastro A"/>
    <s v="Royal South Hospital"/>
    <n v="30"/>
    <n v="57"/>
    <x v="4"/>
  </r>
  <r>
    <s v="APT01482"/>
    <d v="2025-04-01T00:00:00"/>
    <x v="171"/>
    <x v="2"/>
    <s v="Follow-up"/>
    <s v="Routine"/>
    <x v="0"/>
    <s v="Gastro B"/>
    <s v="Royal South Hospital"/>
    <n v="15"/>
    <n v="32"/>
    <x v="1"/>
  </r>
  <r>
    <s v="APT01483"/>
    <d v="2025-07-15T00:00:00"/>
    <x v="65"/>
    <x v="0"/>
    <s v="Follow-up"/>
    <s v="Routine"/>
    <x v="0"/>
    <s v="Dermatology A"/>
    <s v="Royal South Hospital"/>
    <n v="15"/>
    <n v="18"/>
    <x v="0"/>
  </r>
  <r>
    <s v="APT01484"/>
    <d v="2025-05-11T00:00:00"/>
    <x v="34"/>
    <x v="3"/>
    <s v="New"/>
    <s v="Routine"/>
    <x v="0"/>
    <s v="Neurology A"/>
    <s v="Central Outpatients"/>
    <n v="30"/>
    <n v="26"/>
    <x v="0"/>
  </r>
  <r>
    <s v="APT01485"/>
    <d v="2025-08-29T00:00:00"/>
    <x v="319"/>
    <x v="2"/>
    <s v="New"/>
    <s v="Routine"/>
    <x v="0"/>
    <s v="Gastro A"/>
    <s v="Royal South Hospital"/>
    <n v="30"/>
    <n v="38"/>
    <x v="1"/>
  </r>
  <r>
    <s v="APT01486"/>
    <d v="2026-02-09T00:00:00"/>
    <x v="359"/>
    <x v="1"/>
    <s v="Follow-up"/>
    <s v="Routine"/>
    <x v="2"/>
    <s v="Cardiology B"/>
    <s v="Central Outpatients"/>
    <n v="15"/>
    <n v="28"/>
    <x v="0"/>
  </r>
  <r>
    <s v="APT01487"/>
    <d v="2025-05-30T00:00:00"/>
    <x v="286"/>
    <x v="4"/>
    <s v="Follow-up"/>
    <s v="Routine"/>
    <x v="0"/>
    <s v="Orthopaedics A"/>
    <s v="Royal South Hospital"/>
    <n v="15"/>
    <n v="43"/>
    <x v="3"/>
  </r>
  <r>
    <s v="APT01488"/>
    <d v="2025-04-01T00:00:00"/>
    <x v="182"/>
    <x v="0"/>
    <s v="Follow-up"/>
    <s v="Routine"/>
    <x v="1"/>
    <s v="Dermatology A"/>
    <s v="Central Outpatients"/>
    <n v="15"/>
    <n v="44"/>
    <x v="3"/>
  </r>
  <r>
    <s v="APT01489"/>
    <d v="2025-05-11T00:00:00"/>
    <x v="30"/>
    <x v="2"/>
    <s v="New"/>
    <s v="Routine"/>
    <x v="0"/>
    <s v="Gastro A"/>
    <s v="Central Outpatients"/>
    <n v="30"/>
    <n v="51"/>
    <x v="3"/>
  </r>
  <r>
    <s v="APT01490"/>
    <d v="2025-10-02T00:00:00"/>
    <x v="38"/>
    <x v="1"/>
    <s v="Follow-up"/>
    <s v="Routine"/>
    <x v="0"/>
    <s v="Cardiology B"/>
    <s v="Royal South Hospital"/>
    <n v="30"/>
    <n v="60"/>
    <x v="4"/>
  </r>
  <r>
    <s v="APT01491"/>
    <d v="2025-07-10T00:00:00"/>
    <x v="105"/>
    <x v="2"/>
    <s v="New"/>
    <s v="Routine"/>
    <x v="0"/>
    <s v="Gastro A"/>
    <s v="Royal South Hospital"/>
    <n v="30"/>
    <n v="52"/>
    <x v="3"/>
  </r>
  <r>
    <s v="APT01492"/>
    <d v="2025-09-26T00:00:00"/>
    <x v="108"/>
    <x v="3"/>
    <s v="Follow-up"/>
    <s v="Routine"/>
    <x v="0"/>
    <s v="Neurology A"/>
    <s v="Central Outpatients"/>
    <n v="15"/>
    <n v="18"/>
    <x v="0"/>
  </r>
  <r>
    <s v="APT01493"/>
    <d v="2025-04-11T00:00:00"/>
    <x v="336"/>
    <x v="4"/>
    <s v="New"/>
    <s v="Routine"/>
    <x v="0"/>
    <s v="Orthopaedics A"/>
    <s v="Royal South Hospital"/>
    <n v="45"/>
    <n v="18"/>
    <x v="0"/>
  </r>
  <r>
    <s v="APT01494"/>
    <d v="2025-07-31T00:00:00"/>
    <x v="175"/>
    <x v="1"/>
    <s v="Follow-up"/>
    <s v="Routine"/>
    <x v="0"/>
    <s v="Cardiology B"/>
    <s v="Royal South Hospital"/>
    <n v="15"/>
    <n v="33"/>
    <x v="1"/>
  </r>
  <r>
    <s v="APT01495"/>
    <d v="2025-08-28T00:00:00"/>
    <x v="4"/>
    <x v="4"/>
    <s v="New"/>
    <s v="Routine"/>
    <x v="0"/>
    <s v="Orthopaedics A"/>
    <s v="Central Outpatients"/>
    <n v="30"/>
    <n v="26"/>
    <x v="0"/>
  </r>
  <r>
    <s v="APT01496"/>
    <d v="2025-09-05T00:00:00"/>
    <x v="121"/>
    <x v="3"/>
    <s v="Follow-up"/>
    <s v="Routine"/>
    <x v="0"/>
    <s v="Neurology A"/>
    <s v="Central Outpatients"/>
    <n v="15"/>
    <n v="14"/>
    <x v="2"/>
  </r>
  <r>
    <s v="APT01497"/>
    <d v="2025-10-18T00:00:00"/>
    <x v="64"/>
    <x v="0"/>
    <s v="New"/>
    <s v="Routine"/>
    <x v="0"/>
    <s v="Dermatology B"/>
    <s v="Riverside Clinic"/>
    <n v="45"/>
    <n v="27"/>
    <x v="0"/>
  </r>
  <r>
    <s v="APT01498"/>
    <d v="2026-01-10T00:00:00"/>
    <x v="51"/>
    <x v="1"/>
    <s v="Follow-up"/>
    <s v="Routine"/>
    <x v="0"/>
    <s v="Cardiology B"/>
    <s v="Central Outpatients"/>
    <n v="15"/>
    <n v="26"/>
    <x v="0"/>
  </r>
  <r>
    <s v="APT01499"/>
    <d v="2025-09-18T00:00:00"/>
    <x v="370"/>
    <x v="0"/>
    <s v="New"/>
    <s v="Routine"/>
    <x v="0"/>
    <s v="Dermatology B"/>
    <s v="Riverside Clinic"/>
    <n v="45"/>
    <n v="22"/>
    <x v="0"/>
  </r>
  <r>
    <s v="APT01500"/>
    <d v="2026-02-01T00:00:00"/>
    <x v="5"/>
    <x v="4"/>
    <s v="Follow-up"/>
    <s v="Routine"/>
    <x v="1"/>
    <s v="Orthopaedics B"/>
    <s v="Riverside Clinic"/>
    <n v="15"/>
    <n v="29"/>
    <x v="1"/>
  </r>
  <r>
    <s v="APT01501"/>
    <d v="2025-10-10T00:00:00"/>
    <x v="197"/>
    <x v="0"/>
    <s v="New"/>
    <s v="Routine"/>
    <x v="0"/>
    <s v="Dermatology A"/>
    <s v="Royal South Hospital"/>
    <n v="30"/>
    <n v="56"/>
    <x v="3"/>
  </r>
  <r>
    <s v="APT01502"/>
    <d v="2025-07-04T00:00:00"/>
    <x v="254"/>
    <x v="2"/>
    <s v="New"/>
    <s v="Routine"/>
    <x v="2"/>
    <s v="Gastro B"/>
    <s v="Central Outpatients"/>
    <n v="45"/>
    <n v="38"/>
    <x v="1"/>
  </r>
  <r>
    <s v="APT01503"/>
    <d v="2025-06-23T00:00:00"/>
    <x v="360"/>
    <x v="3"/>
    <s v="Follow-up"/>
    <s v="Routine"/>
    <x v="0"/>
    <s v="Neurology A"/>
    <s v="Riverside Clinic"/>
    <n v="15"/>
    <n v="79"/>
    <x v="4"/>
  </r>
  <r>
    <s v="APT01504"/>
    <d v="2025-07-27T00:00:00"/>
    <x v="141"/>
    <x v="4"/>
    <s v="New"/>
    <s v="Routine"/>
    <x v="0"/>
    <s v="Orthopaedics B"/>
    <s v="Riverside Clinic"/>
    <n v="30"/>
    <n v="38"/>
    <x v="1"/>
  </r>
  <r>
    <s v="APT01505"/>
    <d v="2025-11-04T00:00:00"/>
    <x v="252"/>
    <x v="3"/>
    <s v="New"/>
    <s v="Routine"/>
    <x v="0"/>
    <s v="Neurology B"/>
    <s v="Central Outpatients"/>
    <n v="30"/>
    <n v="29"/>
    <x v="1"/>
  </r>
  <r>
    <s v="APT01506"/>
    <d v="2025-06-28T00:00:00"/>
    <x v="65"/>
    <x v="4"/>
    <s v="Follow-up"/>
    <s v="Routine"/>
    <x v="0"/>
    <s v="Orthopaedics B"/>
    <s v="Royal South Hospital"/>
    <n v="30"/>
    <n v="35"/>
    <x v="1"/>
  </r>
  <r>
    <s v="APT01507"/>
    <d v="2026-02-27T00:00:00"/>
    <x v="109"/>
    <x v="1"/>
    <s v="Follow-up"/>
    <s v="Routine"/>
    <x v="0"/>
    <s v="Cardiology A"/>
    <s v="Riverside Clinic"/>
    <n v="15"/>
    <n v="39"/>
    <x v="1"/>
  </r>
  <r>
    <s v="APT01508"/>
    <d v="2025-09-22T00:00:00"/>
    <x v="122"/>
    <x v="4"/>
    <s v="Follow-up"/>
    <s v="Routine"/>
    <x v="0"/>
    <s v="Orthopaedics B"/>
    <s v="Riverside Clinic"/>
    <n v="30"/>
    <n v="42"/>
    <x v="1"/>
  </r>
  <r>
    <s v="APT01509"/>
    <d v="2026-02-09T00:00:00"/>
    <x v="11"/>
    <x v="0"/>
    <s v="New"/>
    <s v="Routine"/>
    <x v="0"/>
    <s v="Dermatology A"/>
    <s v="Royal South Hospital"/>
    <n v="45"/>
    <n v="72"/>
    <x v="4"/>
  </r>
  <r>
    <s v="APT01510"/>
    <d v="2025-12-05T00:00:00"/>
    <x v="231"/>
    <x v="1"/>
    <s v="Follow-up"/>
    <s v="Routine"/>
    <x v="0"/>
    <s v="Cardiology B"/>
    <s v="Royal South Hospital"/>
    <n v="15"/>
    <n v="19"/>
    <x v="0"/>
  </r>
  <r>
    <s v="APT01511"/>
    <d v="2025-07-31T00:00:00"/>
    <x v="121"/>
    <x v="4"/>
    <s v="Follow-up"/>
    <s v="Routine"/>
    <x v="0"/>
    <s v="Orthopaedics B"/>
    <s v="Central Outpatients"/>
    <n v="15"/>
    <n v="50"/>
    <x v="3"/>
  </r>
  <r>
    <s v="APT01512"/>
    <d v="2025-06-23T00:00:00"/>
    <x v="8"/>
    <x v="1"/>
    <s v="New"/>
    <s v="Routine"/>
    <x v="0"/>
    <s v="Cardiology B"/>
    <s v="Royal South Hospital"/>
    <n v="45"/>
    <n v="38"/>
    <x v="1"/>
  </r>
  <r>
    <s v="APT01513"/>
    <d v="2025-12-27T00:00:00"/>
    <x v="246"/>
    <x v="1"/>
    <s v="Follow-up"/>
    <s v="Routine"/>
    <x v="0"/>
    <s v="Cardiology B"/>
    <s v="Riverside Clinic"/>
    <n v="15"/>
    <n v="6"/>
    <x v="2"/>
  </r>
  <r>
    <s v="APT01514"/>
    <d v="2025-07-30T00:00:00"/>
    <x v="232"/>
    <x v="3"/>
    <s v="New"/>
    <s v="Routine"/>
    <x v="2"/>
    <s v="Neurology B"/>
    <s v="Riverside Clinic"/>
    <n v="30"/>
    <n v="48"/>
    <x v="3"/>
  </r>
  <r>
    <s v="APT01515"/>
    <d v="2025-06-29T00:00:00"/>
    <x v="147"/>
    <x v="0"/>
    <s v="Follow-up"/>
    <s v="Routine"/>
    <x v="0"/>
    <s v="Dermatology B"/>
    <s v="Central Outpatients"/>
    <n v="30"/>
    <n v="57"/>
    <x v="4"/>
  </r>
  <r>
    <s v="APT01516"/>
    <d v="2026-03-05T00:00:00"/>
    <x v="214"/>
    <x v="1"/>
    <s v="Follow-up"/>
    <s v="Routine"/>
    <x v="0"/>
    <s v="Cardiology B"/>
    <s v="Riverside Clinic"/>
    <n v="15"/>
    <n v="19"/>
    <x v="0"/>
  </r>
  <r>
    <s v="APT01517"/>
    <d v="2025-09-23T00:00:00"/>
    <x v="354"/>
    <x v="3"/>
    <s v="Follow-up"/>
    <s v="Routine"/>
    <x v="0"/>
    <s v="Neurology A"/>
    <s v="Royal South Hospital"/>
    <n v="15"/>
    <n v="34"/>
    <x v="1"/>
  </r>
  <r>
    <s v="APT01518"/>
    <d v="2025-04-18T00:00:00"/>
    <x v="338"/>
    <x v="4"/>
    <s v="Follow-up"/>
    <s v="Routine"/>
    <x v="0"/>
    <s v="Orthopaedics A"/>
    <s v="Royal South Hospital"/>
    <n v="30"/>
    <n v="3"/>
    <x v="2"/>
  </r>
  <r>
    <s v="APT01519"/>
    <d v="2025-09-28T00:00:00"/>
    <x v="370"/>
    <x v="4"/>
    <s v="New"/>
    <s v="Urgent"/>
    <x v="2"/>
    <s v="Orthopaedics B"/>
    <s v="Riverside Clinic"/>
    <n v="30"/>
    <n v="12"/>
    <x v="2"/>
  </r>
  <r>
    <s v="APT01520"/>
    <d v="2025-09-15T00:00:00"/>
    <x v="300"/>
    <x v="1"/>
    <s v="New"/>
    <s v="Routine"/>
    <x v="0"/>
    <s v="Cardiology B"/>
    <s v="Royal South Hospital"/>
    <n v="45"/>
    <n v="53"/>
    <x v="3"/>
  </r>
  <r>
    <s v="APT01521"/>
    <d v="2026-02-09T00:00:00"/>
    <x v="36"/>
    <x v="2"/>
    <s v="Follow-up"/>
    <s v="Routine"/>
    <x v="0"/>
    <s v="Gastro A"/>
    <s v="Riverside Clinic"/>
    <n v="30"/>
    <n v="26"/>
    <x v="0"/>
  </r>
  <r>
    <s v="APT01522"/>
    <d v="2025-12-16T00:00:00"/>
    <x v="68"/>
    <x v="4"/>
    <s v="Follow-up"/>
    <s v="Routine"/>
    <x v="0"/>
    <s v="Orthopaedics A"/>
    <s v="Royal South Hospital"/>
    <n v="15"/>
    <n v="15"/>
    <x v="0"/>
  </r>
  <r>
    <s v="APT01523"/>
    <d v="2025-06-09T00:00:00"/>
    <x v="380"/>
    <x v="1"/>
    <s v="Follow-up"/>
    <s v="Urgent"/>
    <x v="0"/>
    <s v="Cardiology B"/>
    <s v="Royal South Hospital"/>
    <n v="15"/>
    <n v="39"/>
    <x v="1"/>
  </r>
  <r>
    <s v="APT01524"/>
    <d v="2025-05-25T00:00:00"/>
    <x v="263"/>
    <x v="1"/>
    <s v="New"/>
    <s v="Routine"/>
    <x v="0"/>
    <s v="Cardiology A"/>
    <s v="Central Outpatients"/>
    <n v="30"/>
    <n v="25"/>
    <x v="0"/>
  </r>
  <r>
    <s v="APT01525"/>
    <d v="2025-11-06T00:00:00"/>
    <x v="106"/>
    <x v="1"/>
    <s v="Follow-up"/>
    <s v="Routine"/>
    <x v="0"/>
    <s v="Cardiology A"/>
    <s v="Central Outpatients"/>
    <n v="15"/>
    <n v="26"/>
    <x v="0"/>
  </r>
  <r>
    <s v="APT01526"/>
    <d v="2025-04-18T00:00:00"/>
    <x v="91"/>
    <x v="2"/>
    <s v="New"/>
    <s v="Routine"/>
    <x v="0"/>
    <s v="Gastro B"/>
    <s v="Riverside Clinic"/>
    <n v="30"/>
    <n v="48"/>
    <x v="3"/>
  </r>
  <r>
    <s v="APT01527"/>
    <d v="2025-07-26T00:00:00"/>
    <x v="228"/>
    <x v="1"/>
    <s v="New"/>
    <s v="Routine"/>
    <x v="0"/>
    <s v="Cardiology A"/>
    <s v="Royal South Hospital"/>
    <n v="30"/>
    <n v="14"/>
    <x v="2"/>
  </r>
  <r>
    <s v="APT01528"/>
    <d v="2025-05-21T00:00:00"/>
    <x v="58"/>
    <x v="3"/>
    <s v="Follow-up"/>
    <s v="Routine"/>
    <x v="2"/>
    <s v="Neurology A"/>
    <s v="Central Outpatients"/>
    <n v="15"/>
    <n v="18"/>
    <x v="0"/>
  </r>
  <r>
    <s v="APT01529"/>
    <d v="2025-04-08T00:00:00"/>
    <x v="182"/>
    <x v="4"/>
    <s v="Follow-up"/>
    <s v="Urgent"/>
    <x v="0"/>
    <s v="Orthopaedics B"/>
    <s v="Riverside Clinic"/>
    <n v="15"/>
    <n v="37"/>
    <x v="1"/>
  </r>
  <r>
    <s v="APT01530"/>
    <d v="2026-03-01T00:00:00"/>
    <x v="11"/>
    <x v="1"/>
    <s v="Follow-up"/>
    <s v="Urgent"/>
    <x v="0"/>
    <s v="Cardiology A"/>
    <s v="Central Outpatients"/>
    <n v="15"/>
    <n v="52"/>
    <x v="3"/>
  </r>
  <r>
    <s v="APT01531"/>
    <d v="2025-05-03T00:00:00"/>
    <x v="130"/>
    <x v="3"/>
    <s v="Follow-up"/>
    <s v="Urgent"/>
    <x v="0"/>
    <s v="Neurology B"/>
    <s v="Royal South Hospital"/>
    <n v="30"/>
    <n v="57"/>
    <x v="4"/>
  </r>
  <r>
    <s v="APT01532"/>
    <d v="2025-04-04T00:00:00"/>
    <x v="346"/>
    <x v="1"/>
    <s v="New"/>
    <s v="Routine"/>
    <x v="0"/>
    <s v="Cardiology B"/>
    <s v="Royal South Hospital"/>
    <n v="45"/>
    <n v="23"/>
    <x v="0"/>
  </r>
  <r>
    <s v="APT01533"/>
    <d v="2026-03-06T00:00:00"/>
    <x v="183"/>
    <x v="1"/>
    <s v="Follow-up"/>
    <s v="Routine"/>
    <x v="0"/>
    <s v="Cardiology B"/>
    <s v="Riverside Clinic"/>
    <n v="15"/>
    <n v="51"/>
    <x v="3"/>
  </r>
  <r>
    <s v="APT01534"/>
    <d v="2025-06-08T00:00:00"/>
    <x v="61"/>
    <x v="4"/>
    <s v="Follow-up"/>
    <s v="Routine"/>
    <x v="0"/>
    <s v="Orthopaedics B"/>
    <s v="Central Outpatients"/>
    <n v="15"/>
    <n v="20"/>
    <x v="0"/>
  </r>
  <r>
    <s v="APT01535"/>
    <d v="2026-01-23T00:00:00"/>
    <x v="33"/>
    <x v="2"/>
    <s v="Follow-up"/>
    <s v="Routine"/>
    <x v="0"/>
    <s v="Gastro A"/>
    <s v="Royal South Hospital"/>
    <n v="15"/>
    <n v="67"/>
    <x v="4"/>
  </r>
  <r>
    <s v="APT01536"/>
    <d v="2025-04-12T00:00:00"/>
    <x v="375"/>
    <x v="4"/>
    <s v="New"/>
    <s v="Routine"/>
    <x v="0"/>
    <s v="Orthopaedics A"/>
    <s v="Royal South Hospital"/>
    <n v="30"/>
    <n v="14"/>
    <x v="2"/>
  </r>
  <r>
    <s v="APT01537"/>
    <d v="2025-05-26T00:00:00"/>
    <x v="152"/>
    <x v="2"/>
    <s v="New"/>
    <s v="Routine"/>
    <x v="0"/>
    <s v="Gastro A"/>
    <s v="Riverside Clinic"/>
    <n v="30"/>
    <n v="58"/>
    <x v="4"/>
  </r>
  <r>
    <s v="APT01538"/>
    <d v="2025-05-11T00:00:00"/>
    <x v="170"/>
    <x v="1"/>
    <s v="Follow-up"/>
    <s v="Routine"/>
    <x v="0"/>
    <s v="Cardiology A"/>
    <s v="Central Outpatients"/>
    <n v="15"/>
    <n v="23"/>
    <x v="0"/>
  </r>
  <r>
    <s v="APT01539"/>
    <d v="2025-12-14T00:00:00"/>
    <x v="317"/>
    <x v="2"/>
    <s v="New"/>
    <s v="Urgent"/>
    <x v="0"/>
    <s v="Gastro B"/>
    <s v="Central Outpatients"/>
    <n v="45"/>
    <n v="71"/>
    <x v="4"/>
  </r>
  <r>
    <s v="APT01540"/>
    <d v="2025-11-12T00:00:00"/>
    <x v="166"/>
    <x v="1"/>
    <s v="New"/>
    <s v="Urgent"/>
    <x v="0"/>
    <s v="Cardiology A"/>
    <s v="Central Outpatients"/>
    <n v="30"/>
    <n v="45"/>
    <x v="3"/>
  </r>
  <r>
    <s v="APT01541"/>
    <d v="2025-09-21T00:00:00"/>
    <x v="144"/>
    <x v="4"/>
    <s v="Follow-up"/>
    <s v="Routine"/>
    <x v="0"/>
    <s v="Orthopaedics A"/>
    <s v="Riverside Clinic"/>
    <n v="30"/>
    <n v="16"/>
    <x v="0"/>
  </r>
  <r>
    <s v="APT01542"/>
    <d v="2025-06-27T00:00:00"/>
    <x v="138"/>
    <x v="3"/>
    <s v="Follow-up"/>
    <s v="Routine"/>
    <x v="2"/>
    <s v="Neurology A"/>
    <s v="Central Outpatients"/>
    <n v="15"/>
    <n v="25"/>
    <x v="0"/>
  </r>
  <r>
    <s v="APT01543"/>
    <d v="2025-05-03T00:00:00"/>
    <x v="62"/>
    <x v="0"/>
    <s v="New"/>
    <s v="Routine"/>
    <x v="0"/>
    <s v="Dermatology A"/>
    <s v="Riverside Clinic"/>
    <n v="45"/>
    <n v="49"/>
    <x v="3"/>
  </r>
  <r>
    <s v="APT01544"/>
    <d v="2025-10-25T00:00:00"/>
    <x v="324"/>
    <x v="2"/>
    <s v="Follow-up"/>
    <s v="Routine"/>
    <x v="0"/>
    <s v="Gastro A"/>
    <s v="Royal South Hospital"/>
    <n v="15"/>
    <n v="53"/>
    <x v="3"/>
  </r>
  <r>
    <s v="APT01545"/>
    <d v="2025-06-23T00:00:00"/>
    <x v="133"/>
    <x v="3"/>
    <s v="Follow-up"/>
    <s v="Routine"/>
    <x v="2"/>
    <s v="Neurology A"/>
    <s v="Riverside Clinic"/>
    <n v="15"/>
    <n v="33"/>
    <x v="1"/>
  </r>
  <r>
    <s v="APT01546"/>
    <d v="2025-11-01T00:00:00"/>
    <x v="207"/>
    <x v="4"/>
    <s v="Follow-up"/>
    <s v="Routine"/>
    <x v="0"/>
    <s v="Orthopaedics A"/>
    <s v="Riverside Clinic"/>
    <n v="15"/>
    <n v="35"/>
    <x v="1"/>
  </r>
  <r>
    <s v="APT01547"/>
    <d v="2025-12-07T00:00:00"/>
    <x v="15"/>
    <x v="1"/>
    <s v="Follow-up"/>
    <s v="Routine"/>
    <x v="2"/>
    <s v="Cardiology B"/>
    <s v="Royal South Hospital"/>
    <n v="15"/>
    <n v="48"/>
    <x v="3"/>
  </r>
  <r>
    <s v="APT01548"/>
    <d v="2026-02-04T00:00:00"/>
    <x v="83"/>
    <x v="1"/>
    <s v="Follow-up"/>
    <s v="Urgent"/>
    <x v="2"/>
    <s v="Cardiology B"/>
    <s v="Royal South Hospital"/>
    <n v="15"/>
    <n v="37"/>
    <x v="1"/>
  </r>
  <r>
    <s v="APT01549"/>
    <d v="2025-09-27T00:00:00"/>
    <x v="369"/>
    <x v="1"/>
    <s v="New"/>
    <s v="Urgent"/>
    <x v="1"/>
    <s v="Cardiology A"/>
    <s v="Central Outpatients"/>
    <n v="30"/>
    <n v="11"/>
    <x v="2"/>
  </r>
  <r>
    <s v="APT01550"/>
    <d v="2025-04-02T00:00:00"/>
    <x v="386"/>
    <x v="0"/>
    <s v="New"/>
    <s v="Routine"/>
    <x v="2"/>
    <s v="Dermatology B"/>
    <s v="Central Outpatients"/>
    <n v="30"/>
    <n v="20"/>
    <x v="0"/>
  </r>
  <r>
    <s v="APT01551"/>
    <d v="2025-07-12T00:00:00"/>
    <x v="271"/>
    <x v="2"/>
    <s v="Follow-up"/>
    <s v="Routine"/>
    <x v="0"/>
    <s v="Gastro B"/>
    <s v="Royal South Hospital"/>
    <n v="15"/>
    <n v="39"/>
    <x v="1"/>
  </r>
  <r>
    <s v="APT01552"/>
    <d v="2026-02-05T00:00:00"/>
    <x v="320"/>
    <x v="1"/>
    <s v="Follow-up"/>
    <s v="Routine"/>
    <x v="0"/>
    <s v="Cardiology B"/>
    <s v="Central Outpatients"/>
    <n v="15"/>
    <n v="56"/>
    <x v="3"/>
  </r>
  <r>
    <s v="APT01553"/>
    <d v="2025-10-12T00:00:00"/>
    <x v="2"/>
    <x v="2"/>
    <s v="Follow-up"/>
    <s v="Routine"/>
    <x v="2"/>
    <s v="Gastro B"/>
    <s v="Royal South Hospital"/>
    <n v="15"/>
    <n v="64"/>
    <x v="4"/>
  </r>
  <r>
    <s v="APT01554"/>
    <d v="2025-11-12T00:00:00"/>
    <x v="68"/>
    <x v="2"/>
    <s v="Follow-up"/>
    <s v="Routine"/>
    <x v="1"/>
    <s v="Gastro B"/>
    <s v="Royal South Hospital"/>
    <n v="15"/>
    <n v="49"/>
    <x v="3"/>
  </r>
  <r>
    <s v="APT01555"/>
    <d v="2025-09-14T00:00:00"/>
    <x v="44"/>
    <x v="1"/>
    <s v="New"/>
    <s v="Routine"/>
    <x v="0"/>
    <s v="Cardiology B"/>
    <s v="Royal South Hospital"/>
    <n v="45"/>
    <n v="40"/>
    <x v="1"/>
  </r>
  <r>
    <s v="APT01556"/>
    <d v="2025-05-30T00:00:00"/>
    <x v="174"/>
    <x v="4"/>
    <s v="New"/>
    <s v="Routine"/>
    <x v="0"/>
    <s v="Orthopaedics B"/>
    <s v="Royal South Hospital"/>
    <n v="30"/>
    <n v="48"/>
    <x v="3"/>
  </r>
  <r>
    <s v="APT01557"/>
    <d v="2026-02-21T00:00:00"/>
    <x v="162"/>
    <x v="2"/>
    <s v="Follow-up"/>
    <s v="Routine"/>
    <x v="0"/>
    <s v="Gastro B"/>
    <s v="Royal South Hospital"/>
    <n v="15"/>
    <n v="22"/>
    <x v="0"/>
  </r>
  <r>
    <s v="APT01558"/>
    <d v="2026-01-07T00:00:00"/>
    <x v="203"/>
    <x v="0"/>
    <s v="New"/>
    <s v="Routine"/>
    <x v="1"/>
    <s v="Dermatology B"/>
    <s v="Riverside Clinic"/>
    <n v="30"/>
    <n v="32"/>
    <x v="1"/>
  </r>
  <r>
    <s v="APT01559"/>
    <d v="2026-03-29T00:00:00"/>
    <x v="181"/>
    <x v="2"/>
    <s v="Follow-up"/>
    <s v="Urgent"/>
    <x v="0"/>
    <s v="Gastro A"/>
    <s v="Central Outpatients"/>
    <n v="15"/>
    <n v="20"/>
    <x v="0"/>
  </r>
  <r>
    <s v="APT01560"/>
    <d v="2026-02-06T00:00:00"/>
    <x v="84"/>
    <x v="0"/>
    <s v="Follow-up"/>
    <s v="Routine"/>
    <x v="0"/>
    <s v="Dermatology A"/>
    <s v="Riverside Clinic"/>
    <n v="15"/>
    <n v="12"/>
    <x v="2"/>
  </r>
  <r>
    <s v="APT01561"/>
    <d v="2025-07-15T00:00:00"/>
    <x v="147"/>
    <x v="4"/>
    <s v="Follow-up"/>
    <s v="Routine"/>
    <x v="0"/>
    <s v="Orthopaedics B"/>
    <s v="Central Outpatients"/>
    <n v="15"/>
    <n v="41"/>
    <x v="1"/>
  </r>
  <r>
    <s v="APT01562"/>
    <d v="2025-07-02T00:00:00"/>
    <x v="228"/>
    <x v="2"/>
    <s v="New"/>
    <s v="Urgent"/>
    <x v="0"/>
    <s v="Gastro B"/>
    <s v="Central Outpatients"/>
    <n v="30"/>
    <n v="38"/>
    <x v="1"/>
  </r>
  <r>
    <s v="APT01563"/>
    <d v="2025-06-30T00:00:00"/>
    <x v="111"/>
    <x v="2"/>
    <s v="Follow-up"/>
    <s v="Routine"/>
    <x v="2"/>
    <s v="Gastro B"/>
    <s v="Royal South Hospital"/>
    <n v="15"/>
    <n v="47"/>
    <x v="3"/>
  </r>
  <r>
    <s v="APT01564"/>
    <d v="2026-03-01T00:00:00"/>
    <x v="275"/>
    <x v="4"/>
    <s v="New"/>
    <s v="Routine"/>
    <x v="0"/>
    <s v="Orthopaedics B"/>
    <s v="Royal South Hospital"/>
    <n v="30"/>
    <n v="44"/>
    <x v="3"/>
  </r>
  <r>
    <s v="APT01565"/>
    <d v="2025-10-20T00:00:00"/>
    <x v="99"/>
    <x v="4"/>
    <s v="Follow-up"/>
    <s v="Urgent"/>
    <x v="0"/>
    <s v="Orthopaedics A"/>
    <s v="Royal South Hospital"/>
    <n v="15"/>
    <n v="39"/>
    <x v="1"/>
  </r>
  <r>
    <s v="APT01566"/>
    <d v="2025-09-13T00:00:00"/>
    <x v="88"/>
    <x v="4"/>
    <s v="New"/>
    <s v="Routine"/>
    <x v="0"/>
    <s v="Orthopaedics A"/>
    <s v="Riverside Clinic"/>
    <n v="30"/>
    <n v="45"/>
    <x v="3"/>
  </r>
  <r>
    <s v="APT01567"/>
    <d v="2026-03-19T00:00:00"/>
    <x v="11"/>
    <x v="0"/>
    <s v="Follow-up"/>
    <s v="Routine"/>
    <x v="1"/>
    <s v="Dermatology B"/>
    <s v="Royal South Hospital"/>
    <n v="15"/>
    <n v="34"/>
    <x v="1"/>
  </r>
  <r>
    <s v="APT01568"/>
    <d v="2025-11-06T00:00:00"/>
    <x v="288"/>
    <x v="1"/>
    <s v="Follow-up"/>
    <s v="Routine"/>
    <x v="0"/>
    <s v="Cardiology A"/>
    <s v="Riverside Clinic"/>
    <n v="15"/>
    <n v="42"/>
    <x v="1"/>
  </r>
  <r>
    <s v="APT01569"/>
    <d v="2026-02-26T00:00:00"/>
    <x v="35"/>
    <x v="3"/>
    <s v="Follow-up"/>
    <s v="Routine"/>
    <x v="0"/>
    <s v="Neurology A"/>
    <s v="Riverside Clinic"/>
    <n v="15"/>
    <n v="21"/>
    <x v="0"/>
  </r>
  <r>
    <s v="APT01570"/>
    <d v="2026-03-25T00:00:00"/>
    <x v="387"/>
    <x v="2"/>
    <s v="Follow-up"/>
    <s v="Routine"/>
    <x v="0"/>
    <s v="Gastro A"/>
    <s v="Riverside Clinic"/>
    <n v="15"/>
    <n v="41"/>
    <x v="1"/>
  </r>
  <r>
    <s v="APT01571"/>
    <d v="2025-04-29T00:00:00"/>
    <x v="322"/>
    <x v="3"/>
    <s v="New"/>
    <s v="Routine"/>
    <x v="2"/>
    <s v="Neurology A"/>
    <s v="Royal South Hospital"/>
    <n v="30"/>
    <n v="47"/>
    <x v="3"/>
  </r>
  <r>
    <s v="APT01572"/>
    <d v="2025-08-10T00:00:00"/>
    <x v="282"/>
    <x v="4"/>
    <s v="Follow-up"/>
    <s v="Routine"/>
    <x v="0"/>
    <s v="Orthopaedics A"/>
    <s v="Royal South Hospital"/>
    <n v="15"/>
    <n v="22"/>
    <x v="0"/>
  </r>
  <r>
    <s v="APT01573"/>
    <d v="2025-12-24T00:00:00"/>
    <x v="60"/>
    <x v="0"/>
    <s v="Follow-up"/>
    <s v="Routine"/>
    <x v="0"/>
    <s v="Dermatology A"/>
    <s v="Royal South Hospital"/>
    <n v="15"/>
    <n v="35"/>
    <x v="1"/>
  </r>
  <r>
    <s v="APT01574"/>
    <d v="2026-01-21T00:00:00"/>
    <x v="1"/>
    <x v="0"/>
    <s v="Follow-up"/>
    <s v="Urgent"/>
    <x v="0"/>
    <s v="Dermatology B"/>
    <s v="Central Outpatients"/>
    <n v="30"/>
    <n v="23"/>
    <x v="0"/>
  </r>
  <r>
    <s v="APT01575"/>
    <d v="2025-05-25T00:00:00"/>
    <x v="263"/>
    <x v="2"/>
    <s v="New"/>
    <s v="Routine"/>
    <x v="2"/>
    <s v="Gastro A"/>
    <s v="Riverside Clinic"/>
    <n v="30"/>
    <n v="25"/>
    <x v="0"/>
  </r>
  <r>
    <s v="APT01576"/>
    <d v="2025-07-25T00:00:00"/>
    <x v="107"/>
    <x v="0"/>
    <s v="Follow-up"/>
    <s v="Routine"/>
    <x v="0"/>
    <s v="Dermatology A"/>
    <s v="Riverside Clinic"/>
    <n v="30"/>
    <n v="14"/>
    <x v="2"/>
  </r>
  <r>
    <s v="APT01577"/>
    <d v="2025-10-17T00:00:00"/>
    <x v="217"/>
    <x v="3"/>
    <s v="Follow-up"/>
    <s v="Urgent"/>
    <x v="0"/>
    <s v="Neurology B"/>
    <s v="Riverside Clinic"/>
    <n v="15"/>
    <n v="57"/>
    <x v="4"/>
  </r>
  <r>
    <s v="APT01578"/>
    <d v="2026-01-16T00:00:00"/>
    <x v="292"/>
    <x v="3"/>
    <s v="Follow-up"/>
    <s v="Routine"/>
    <x v="2"/>
    <s v="Neurology A"/>
    <s v="Riverside Clinic"/>
    <n v="30"/>
    <n v="54"/>
    <x v="3"/>
  </r>
  <r>
    <s v="APT01579"/>
    <d v="2025-05-12T00:00:00"/>
    <x v="124"/>
    <x v="2"/>
    <s v="Follow-up"/>
    <s v="Routine"/>
    <x v="2"/>
    <s v="Gastro A"/>
    <s v="Royal South Hospital"/>
    <n v="15"/>
    <n v="44"/>
    <x v="3"/>
  </r>
  <r>
    <s v="APT01580"/>
    <d v="2025-11-05T00:00:00"/>
    <x v="302"/>
    <x v="3"/>
    <s v="New"/>
    <s v="Routine"/>
    <x v="0"/>
    <s v="Neurology A"/>
    <s v="Royal South Hospital"/>
    <n v="30"/>
    <n v="70"/>
    <x v="4"/>
  </r>
  <r>
    <s v="APT01581"/>
    <d v="2025-07-17T00:00:00"/>
    <x v="41"/>
    <x v="2"/>
    <s v="Follow-up"/>
    <s v="Routine"/>
    <x v="0"/>
    <s v="Gastro B"/>
    <s v="Royal South Hospital"/>
    <n v="30"/>
    <n v="31"/>
    <x v="1"/>
  </r>
  <r>
    <s v="APT01582"/>
    <d v="2025-06-18T00:00:00"/>
    <x v="93"/>
    <x v="3"/>
    <s v="New"/>
    <s v="Routine"/>
    <x v="0"/>
    <s v="Neurology B"/>
    <s v="Royal South Hospital"/>
    <n v="45"/>
    <n v="89"/>
    <x v="4"/>
  </r>
  <r>
    <s v="APT01583"/>
    <d v="2025-10-05T00:00:00"/>
    <x v="381"/>
    <x v="0"/>
    <s v="New"/>
    <s v="Routine"/>
    <x v="0"/>
    <s v="Dermatology A"/>
    <s v="Royal South Hospital"/>
    <n v="30"/>
    <n v="30"/>
    <x v="1"/>
  </r>
  <r>
    <s v="APT01584"/>
    <d v="2025-08-29T00:00:00"/>
    <x v="144"/>
    <x v="3"/>
    <s v="Follow-up"/>
    <s v="Urgent"/>
    <x v="0"/>
    <s v="Neurology A"/>
    <s v="Central Outpatients"/>
    <n v="15"/>
    <n v="39"/>
    <x v="1"/>
  </r>
  <r>
    <s v="APT01585"/>
    <d v="2025-11-18T00:00:00"/>
    <x v="2"/>
    <x v="3"/>
    <s v="New"/>
    <s v="Routine"/>
    <x v="0"/>
    <s v="Neurology B"/>
    <s v="Royal South Hospital"/>
    <n v="30"/>
    <n v="27"/>
    <x v="0"/>
  </r>
  <r>
    <s v="APT01586"/>
    <d v="2025-07-25T00:00:00"/>
    <x v="388"/>
    <x v="0"/>
    <s v="Follow-up"/>
    <s v="Routine"/>
    <x v="0"/>
    <s v="Dermatology A"/>
    <s v="Royal South Hospital"/>
    <n v="15"/>
    <n v="41"/>
    <x v="1"/>
  </r>
  <r>
    <s v="APT01587"/>
    <d v="2026-01-25T00:00:00"/>
    <x v="70"/>
    <x v="2"/>
    <s v="New"/>
    <s v="Routine"/>
    <x v="0"/>
    <s v="Gastro A"/>
    <s v="Royal South Hospital"/>
    <n v="30"/>
    <n v="50"/>
    <x v="3"/>
  </r>
  <r>
    <s v="APT01588"/>
    <d v="2025-04-29T00:00:00"/>
    <x v="69"/>
    <x v="4"/>
    <s v="Follow-up"/>
    <s v="Urgent"/>
    <x v="2"/>
    <s v="Orthopaedics B"/>
    <s v="Royal South Hospital"/>
    <n v="15"/>
    <n v="32"/>
    <x v="1"/>
  </r>
  <r>
    <s v="APT01589"/>
    <d v="2026-02-08T00:00:00"/>
    <x v="114"/>
    <x v="0"/>
    <s v="Follow-up"/>
    <s v="Routine"/>
    <x v="0"/>
    <s v="Dermatology A"/>
    <s v="Royal South Hospital"/>
    <n v="15"/>
    <n v="66"/>
    <x v="4"/>
  </r>
  <r>
    <s v="APT01590"/>
    <d v="2025-04-11T00:00:00"/>
    <x v="269"/>
    <x v="3"/>
    <s v="Follow-up"/>
    <s v="Routine"/>
    <x v="1"/>
    <s v="Neurology B"/>
    <s v="Royal South Hospital"/>
    <n v="15"/>
    <n v="39"/>
    <x v="1"/>
  </r>
  <r>
    <s v="APT01591"/>
    <d v="2025-12-24T00:00:00"/>
    <x v="53"/>
    <x v="4"/>
    <s v="Follow-up"/>
    <s v="Routine"/>
    <x v="0"/>
    <s v="Orthopaedics A"/>
    <s v="Royal South Hospital"/>
    <n v="30"/>
    <n v="39"/>
    <x v="1"/>
  </r>
  <r>
    <s v="APT01592"/>
    <d v="2025-08-05T00:00:00"/>
    <x v="372"/>
    <x v="4"/>
    <s v="Follow-up"/>
    <s v="Routine"/>
    <x v="0"/>
    <s v="Orthopaedics B"/>
    <s v="Central Outpatients"/>
    <n v="15"/>
    <n v="18"/>
    <x v="0"/>
  </r>
  <r>
    <s v="APT01593"/>
    <d v="2025-08-18T00:00:00"/>
    <x v="54"/>
    <x v="2"/>
    <s v="New"/>
    <s v="Urgent"/>
    <x v="0"/>
    <s v="Gastro A"/>
    <s v="Royal South Hospital"/>
    <n v="30"/>
    <n v="42"/>
    <x v="1"/>
  </r>
  <r>
    <s v="APT01594"/>
    <d v="2025-04-07T00:00:00"/>
    <x v="115"/>
    <x v="3"/>
    <s v="Follow-up"/>
    <s v="Routine"/>
    <x v="0"/>
    <s v="Neurology B"/>
    <s v="Royal South Hospital"/>
    <n v="15"/>
    <n v="32"/>
    <x v="1"/>
  </r>
  <r>
    <s v="APT01595"/>
    <d v="2025-12-12T00:00:00"/>
    <x v="79"/>
    <x v="4"/>
    <s v="Follow-up"/>
    <s v="Routine"/>
    <x v="0"/>
    <s v="Orthopaedics A"/>
    <s v="Royal South Hospital"/>
    <n v="15"/>
    <n v="24"/>
    <x v="0"/>
  </r>
  <r>
    <s v="APT01596"/>
    <d v="2025-05-31T00:00:00"/>
    <x v="62"/>
    <x v="2"/>
    <s v="Follow-up"/>
    <s v="Routine"/>
    <x v="0"/>
    <s v="Gastro A"/>
    <s v="Royal South Hospital"/>
    <n v="15"/>
    <n v="21"/>
    <x v="0"/>
  </r>
  <r>
    <s v="APT01597"/>
    <d v="2025-11-26T00:00:00"/>
    <x v="224"/>
    <x v="1"/>
    <s v="New"/>
    <s v="Routine"/>
    <x v="0"/>
    <s v="Cardiology B"/>
    <s v="Riverside Clinic"/>
    <n v="30"/>
    <n v="83"/>
    <x v="4"/>
  </r>
  <r>
    <s v="APT01598"/>
    <d v="2025-12-20T00:00:00"/>
    <x v="310"/>
    <x v="1"/>
    <s v="New"/>
    <s v="Routine"/>
    <x v="0"/>
    <s v="Cardiology B"/>
    <s v="Royal South Hospital"/>
    <n v="30"/>
    <n v="30"/>
    <x v="1"/>
  </r>
  <r>
    <s v="APT01599"/>
    <d v="2026-02-02T00:00:00"/>
    <x v="195"/>
    <x v="4"/>
    <s v="Follow-up"/>
    <s v="Routine"/>
    <x v="0"/>
    <s v="Orthopaedics A"/>
    <s v="Central Outpatients"/>
    <n v="15"/>
    <n v="8"/>
    <x v="2"/>
  </r>
  <r>
    <s v="APT01600"/>
    <d v="2025-12-14T00:00:00"/>
    <x v="79"/>
    <x v="2"/>
    <s v="Follow-up"/>
    <s v="Routine"/>
    <x v="0"/>
    <s v="Gastro B"/>
    <s v="Central Outpatients"/>
    <n v="15"/>
    <n v="22"/>
    <x v="0"/>
  </r>
  <r>
    <s v="APT01601"/>
    <d v="2025-07-19T00:00:00"/>
    <x v="298"/>
    <x v="0"/>
    <s v="New"/>
    <s v="Routine"/>
    <x v="0"/>
    <s v="Dermatology B"/>
    <s v="Riverside Clinic"/>
    <n v="30"/>
    <n v="34"/>
    <x v="1"/>
  </r>
  <r>
    <s v="APT01602"/>
    <d v="2025-12-25T00:00:00"/>
    <x v="249"/>
    <x v="0"/>
    <s v="New"/>
    <s v="Routine"/>
    <x v="0"/>
    <s v="Dermatology B"/>
    <s v="Royal South Hospital"/>
    <n v="30"/>
    <n v="44"/>
    <x v="3"/>
  </r>
  <r>
    <s v="APT01603"/>
    <d v="2026-01-26T00:00:00"/>
    <x v="292"/>
    <x v="4"/>
    <s v="Follow-up"/>
    <s v="Routine"/>
    <x v="0"/>
    <s v="Orthopaedics A"/>
    <s v="Royal South Hospital"/>
    <n v="15"/>
    <n v="44"/>
    <x v="3"/>
  </r>
  <r>
    <s v="APT01604"/>
    <d v="2025-07-25T00:00:00"/>
    <x v="360"/>
    <x v="2"/>
    <s v="New"/>
    <s v="Routine"/>
    <x v="0"/>
    <s v="Gastro A"/>
    <s v="Royal South Hospital"/>
    <n v="45"/>
    <n v="47"/>
    <x v="3"/>
  </r>
  <r>
    <s v="APT01605"/>
    <d v="2025-05-16T00:00:00"/>
    <x v="58"/>
    <x v="4"/>
    <s v="Follow-up"/>
    <s v="Routine"/>
    <x v="0"/>
    <s v="Orthopaedics B"/>
    <s v="Central Outpatients"/>
    <n v="15"/>
    <n v="23"/>
    <x v="0"/>
  </r>
  <r>
    <s v="APT01606"/>
    <d v="2026-02-18T00:00:00"/>
    <x v="33"/>
    <x v="3"/>
    <s v="New"/>
    <s v="Urgent"/>
    <x v="1"/>
    <s v="Neurology B"/>
    <s v="Royal South Hospital"/>
    <n v="30"/>
    <n v="41"/>
    <x v="1"/>
  </r>
  <r>
    <s v="APT01607"/>
    <d v="2025-05-24T00:00:00"/>
    <x v="248"/>
    <x v="4"/>
    <s v="New"/>
    <s v="Urgent"/>
    <x v="0"/>
    <s v="Orthopaedics A"/>
    <s v="Riverside Clinic"/>
    <n v="30"/>
    <n v="19"/>
    <x v="0"/>
  </r>
  <r>
    <s v="APT01608"/>
    <d v="2025-11-03T00:00:00"/>
    <x v="25"/>
    <x v="4"/>
    <s v="New"/>
    <s v="Urgent"/>
    <x v="0"/>
    <s v="Orthopaedics A"/>
    <s v="Royal South Hospital"/>
    <n v="30"/>
    <n v="23"/>
    <x v="0"/>
  </r>
  <r>
    <s v="APT01609"/>
    <d v="2025-06-26T00:00:00"/>
    <x v="110"/>
    <x v="0"/>
    <s v="Follow-up"/>
    <s v="Routine"/>
    <x v="0"/>
    <s v="Dermatology B"/>
    <s v="Royal South Hospital"/>
    <n v="15"/>
    <n v="18"/>
    <x v="0"/>
  </r>
  <r>
    <s v="APT01610"/>
    <d v="2025-05-16T00:00:00"/>
    <x v="229"/>
    <x v="3"/>
    <s v="Follow-up"/>
    <s v="Routine"/>
    <x v="0"/>
    <s v="Neurology A"/>
    <s v="Royal South Hospital"/>
    <n v="15"/>
    <n v="13"/>
    <x v="2"/>
  </r>
  <r>
    <s v="APT01611"/>
    <d v="2026-01-08T00:00:00"/>
    <x v="293"/>
    <x v="1"/>
    <s v="New"/>
    <s v="Urgent"/>
    <x v="0"/>
    <s v="Cardiology A"/>
    <s v="Royal South Hospital"/>
    <n v="30"/>
    <n v="54"/>
    <x v="3"/>
  </r>
  <r>
    <s v="APT01612"/>
    <d v="2025-05-23T00:00:00"/>
    <x v="17"/>
    <x v="4"/>
    <s v="New"/>
    <s v="Routine"/>
    <x v="0"/>
    <s v="Orthopaedics B"/>
    <s v="Riverside Clinic"/>
    <n v="30"/>
    <n v="47"/>
    <x v="3"/>
  </r>
  <r>
    <s v="APT01613"/>
    <d v="2025-11-30T00:00:00"/>
    <x v="118"/>
    <x v="0"/>
    <s v="Follow-up"/>
    <s v="Routine"/>
    <x v="0"/>
    <s v="Dermatology B"/>
    <s v="Riverside Clinic"/>
    <n v="15"/>
    <n v="52"/>
    <x v="3"/>
  </r>
  <r>
    <s v="APT01614"/>
    <d v="2025-12-09T00:00:00"/>
    <x v="366"/>
    <x v="3"/>
    <s v="New"/>
    <s v="Urgent"/>
    <x v="2"/>
    <s v="Neurology B"/>
    <s v="Royal South Hospital"/>
    <n v="45"/>
    <n v="35"/>
    <x v="1"/>
  </r>
  <r>
    <s v="APT01615"/>
    <d v="2025-04-22T00:00:00"/>
    <x v="82"/>
    <x v="4"/>
    <s v="Follow-up"/>
    <s v="Routine"/>
    <x v="0"/>
    <s v="Orthopaedics A"/>
    <s v="Royal South Hospital"/>
    <n v="15"/>
    <n v="48"/>
    <x v="3"/>
  </r>
  <r>
    <s v="APT01616"/>
    <d v="2025-06-02T00:00:00"/>
    <x v="91"/>
    <x v="1"/>
    <s v="New"/>
    <s v="Routine"/>
    <x v="0"/>
    <s v="Cardiology A"/>
    <s v="Central Outpatients"/>
    <n v="30"/>
    <n v="3"/>
    <x v="2"/>
  </r>
  <r>
    <s v="APT01617"/>
    <d v="2026-01-15T00:00:00"/>
    <x v="250"/>
    <x v="4"/>
    <s v="Follow-up"/>
    <s v="Routine"/>
    <x v="2"/>
    <s v="Orthopaedics A"/>
    <s v="Royal South Hospital"/>
    <n v="15"/>
    <n v="50"/>
    <x v="3"/>
  </r>
  <r>
    <s v="APT01618"/>
    <d v="2025-10-02T00:00:00"/>
    <x v="32"/>
    <x v="1"/>
    <s v="New"/>
    <s v="Routine"/>
    <x v="0"/>
    <s v="Cardiology B"/>
    <s v="Riverside Clinic"/>
    <n v="45"/>
    <n v="38"/>
    <x v="1"/>
  </r>
  <r>
    <s v="APT01619"/>
    <d v="2025-05-15T00:00:00"/>
    <x v="160"/>
    <x v="2"/>
    <s v="Follow-up"/>
    <s v="Routine"/>
    <x v="0"/>
    <s v="Gastro B"/>
    <s v="Royal South Hospital"/>
    <n v="15"/>
    <n v="46"/>
    <x v="3"/>
  </r>
  <r>
    <s v="APT01620"/>
    <d v="2026-03-28T00:00:00"/>
    <x v="151"/>
    <x v="2"/>
    <s v="Follow-up"/>
    <s v="Routine"/>
    <x v="0"/>
    <s v="Gastro A"/>
    <s v="Riverside Clinic"/>
    <n v="15"/>
    <n v="41"/>
    <x v="1"/>
  </r>
  <r>
    <s v="APT01621"/>
    <d v="2025-07-06T00:00:00"/>
    <x v="152"/>
    <x v="0"/>
    <s v="New"/>
    <s v="Routine"/>
    <x v="0"/>
    <s v="Dermatology B"/>
    <s v="Riverside Clinic"/>
    <n v="45"/>
    <n v="17"/>
    <x v="0"/>
  </r>
  <r>
    <s v="APT01622"/>
    <d v="2025-04-02T00:00:00"/>
    <x v="389"/>
    <x v="2"/>
    <s v="New"/>
    <s v="Routine"/>
    <x v="2"/>
    <s v="Gastro B"/>
    <s v="Royal South Hospital"/>
    <n v="45"/>
    <n v="8"/>
    <x v="2"/>
  </r>
  <r>
    <s v="APT01623"/>
    <d v="2026-03-03T00:00:00"/>
    <x v="291"/>
    <x v="4"/>
    <s v="New"/>
    <s v="Routine"/>
    <x v="0"/>
    <s v="Orthopaedics A"/>
    <s v="Riverside Clinic"/>
    <n v="30"/>
    <n v="22"/>
    <x v="0"/>
  </r>
  <r>
    <s v="APT01624"/>
    <d v="2025-04-07T00:00:00"/>
    <x v="210"/>
    <x v="0"/>
    <s v="New"/>
    <s v="Routine"/>
    <x v="0"/>
    <s v="Dermatology A"/>
    <s v="Riverside Clinic"/>
    <n v="30"/>
    <n v="45"/>
    <x v="3"/>
  </r>
  <r>
    <s v="APT01625"/>
    <d v="2025-10-19T00:00:00"/>
    <x v="197"/>
    <x v="2"/>
    <s v="Follow-up"/>
    <s v="Routine"/>
    <x v="0"/>
    <s v="Gastro B"/>
    <s v="Royal South Hospital"/>
    <n v="15"/>
    <n v="47"/>
    <x v="3"/>
  </r>
  <r>
    <s v="APT01626"/>
    <d v="2026-03-28T00:00:00"/>
    <x v="109"/>
    <x v="4"/>
    <s v="New"/>
    <s v="Urgent"/>
    <x v="0"/>
    <s v="Orthopaedics A"/>
    <s v="Riverside Clinic"/>
    <n v="30"/>
    <n v="10"/>
    <x v="2"/>
  </r>
  <r>
    <s v="APT01627"/>
    <d v="2025-10-28T00:00:00"/>
    <x v="64"/>
    <x v="4"/>
    <s v="New"/>
    <s v="Routine"/>
    <x v="0"/>
    <s v="Orthopaedics B"/>
    <s v="Royal South Hospital"/>
    <n v="45"/>
    <n v="17"/>
    <x v="0"/>
  </r>
  <r>
    <s v="APT01628"/>
    <d v="2025-10-30T00:00:00"/>
    <x v="347"/>
    <x v="1"/>
    <s v="New"/>
    <s v="Urgent"/>
    <x v="0"/>
    <s v="Cardiology B"/>
    <s v="Royal South Hospital"/>
    <n v="30"/>
    <n v="21"/>
    <x v="0"/>
  </r>
  <r>
    <s v="APT01629"/>
    <d v="2025-08-20T00:00:00"/>
    <x v="73"/>
    <x v="4"/>
    <s v="Follow-up"/>
    <s v="Routine"/>
    <x v="0"/>
    <s v="Orthopaedics A"/>
    <s v="Central Outpatients"/>
    <n v="15"/>
    <n v="28"/>
    <x v="0"/>
  </r>
  <r>
    <s v="APT01630"/>
    <d v="2025-05-17T00:00:00"/>
    <x v="333"/>
    <x v="1"/>
    <s v="Follow-up"/>
    <s v="Routine"/>
    <x v="0"/>
    <s v="Cardiology A"/>
    <s v="Central Outpatients"/>
    <n v="15"/>
    <n v="10"/>
    <x v="2"/>
  </r>
  <r>
    <s v="APT01631"/>
    <d v="2025-10-26T00:00:00"/>
    <x v="381"/>
    <x v="2"/>
    <s v="Follow-up"/>
    <s v="Routine"/>
    <x v="1"/>
    <s v="Gastro A"/>
    <s v="Royal South Hospital"/>
    <n v="15"/>
    <n v="9"/>
    <x v="2"/>
  </r>
  <r>
    <s v="APT01632"/>
    <d v="2026-02-21T00:00:00"/>
    <x v="83"/>
    <x v="2"/>
    <s v="Follow-up"/>
    <s v="Routine"/>
    <x v="2"/>
    <s v="Gastro B"/>
    <s v="Riverside Clinic"/>
    <n v="15"/>
    <n v="20"/>
    <x v="0"/>
  </r>
  <r>
    <s v="APT01633"/>
    <d v="2025-05-04T00:00:00"/>
    <x v="82"/>
    <x v="4"/>
    <s v="Follow-up"/>
    <s v="Routine"/>
    <x v="1"/>
    <s v="Orthopaedics B"/>
    <s v="Royal South Hospital"/>
    <n v="15"/>
    <n v="36"/>
    <x v="1"/>
  </r>
  <r>
    <s v="APT01634"/>
    <d v="2026-02-15T00:00:00"/>
    <x v="262"/>
    <x v="1"/>
    <s v="New"/>
    <s v="Routine"/>
    <x v="0"/>
    <s v="Cardiology A"/>
    <s v="Riverside Clinic"/>
    <n v="30"/>
    <n v="13"/>
    <x v="2"/>
  </r>
  <r>
    <s v="APT01635"/>
    <d v="2025-08-30T00:00:00"/>
    <x v="75"/>
    <x v="1"/>
    <s v="Follow-up"/>
    <s v="Routine"/>
    <x v="0"/>
    <s v="Cardiology A"/>
    <s v="Royal South Hospital"/>
    <n v="30"/>
    <n v="32"/>
    <x v="1"/>
  </r>
  <r>
    <s v="APT01636"/>
    <d v="2025-10-13T00:00:00"/>
    <x v="207"/>
    <x v="4"/>
    <s v="Follow-up"/>
    <s v="Urgent"/>
    <x v="2"/>
    <s v="Orthopaedics B"/>
    <s v="Central Outpatients"/>
    <n v="30"/>
    <n v="54"/>
    <x v="3"/>
  </r>
  <r>
    <s v="APT01637"/>
    <d v="2025-05-31T00:00:00"/>
    <x v="127"/>
    <x v="1"/>
    <s v="New"/>
    <s v="Routine"/>
    <x v="0"/>
    <s v="Cardiology A"/>
    <s v="Royal South Hospital"/>
    <n v="30"/>
    <n v="11"/>
    <x v="2"/>
  </r>
  <r>
    <s v="APT01638"/>
    <d v="2025-11-13T00:00:00"/>
    <x v="350"/>
    <x v="2"/>
    <s v="Follow-up"/>
    <s v="Urgent"/>
    <x v="0"/>
    <s v="Gastro A"/>
    <s v="Royal South Hospital"/>
    <n v="15"/>
    <n v="31"/>
    <x v="1"/>
  </r>
  <r>
    <s v="APT01639"/>
    <d v="2025-06-06T00:00:00"/>
    <x v="296"/>
    <x v="3"/>
    <s v="New"/>
    <s v="Routine"/>
    <x v="0"/>
    <s v="Neurology B"/>
    <s v="Central Outpatients"/>
    <n v="30"/>
    <n v="53"/>
    <x v="3"/>
  </r>
  <r>
    <s v="APT01640"/>
    <d v="2025-07-09T00:00:00"/>
    <x v="212"/>
    <x v="3"/>
    <s v="New"/>
    <s v="Urgent"/>
    <x v="2"/>
    <s v="Neurology B"/>
    <s v="Royal South Hospital"/>
    <n v="30"/>
    <n v="27"/>
    <x v="0"/>
  </r>
  <r>
    <s v="APT01641"/>
    <d v="2025-12-19T00:00:00"/>
    <x v="390"/>
    <x v="1"/>
    <s v="Follow-up"/>
    <s v="Routine"/>
    <x v="2"/>
    <s v="Cardiology B"/>
    <s v="Royal South Hospital"/>
    <n v="15"/>
    <n v="24"/>
    <x v="0"/>
  </r>
  <r>
    <s v="APT01642"/>
    <d v="2025-04-19T00:00:00"/>
    <x v="155"/>
    <x v="0"/>
    <s v="New"/>
    <s v="Routine"/>
    <x v="1"/>
    <s v="Dermatology B"/>
    <s v="Royal South Hospital"/>
    <n v="45"/>
    <n v="55"/>
    <x v="3"/>
  </r>
  <r>
    <s v="APT01643"/>
    <d v="2025-09-10T00:00:00"/>
    <x v="294"/>
    <x v="4"/>
    <s v="Follow-up"/>
    <s v="Routine"/>
    <x v="0"/>
    <s v="Orthopaedics A"/>
    <s v="Riverside Clinic"/>
    <n v="30"/>
    <n v="29"/>
    <x v="1"/>
  </r>
  <r>
    <s v="APT01644"/>
    <d v="2025-11-03T00:00:00"/>
    <x v="166"/>
    <x v="2"/>
    <s v="Follow-up"/>
    <s v="Urgent"/>
    <x v="2"/>
    <s v="Gastro B"/>
    <s v="Royal South Hospital"/>
    <n v="15"/>
    <n v="54"/>
    <x v="3"/>
  </r>
  <r>
    <s v="APT01645"/>
    <d v="2025-05-19T00:00:00"/>
    <x v="160"/>
    <x v="1"/>
    <s v="Follow-up"/>
    <s v="Routine"/>
    <x v="0"/>
    <s v="Cardiology A"/>
    <s v="Riverside Clinic"/>
    <n v="30"/>
    <n v="42"/>
    <x v="1"/>
  </r>
  <r>
    <s v="APT01646"/>
    <d v="2025-07-17T00:00:00"/>
    <x v="355"/>
    <x v="1"/>
    <s v="New"/>
    <s v="Routine"/>
    <x v="0"/>
    <s v="Cardiology A"/>
    <s v="Royal South Hospital"/>
    <n v="45"/>
    <n v="28"/>
    <x v="0"/>
  </r>
  <r>
    <s v="APT01647"/>
    <d v="2025-08-04T00:00:00"/>
    <x v="232"/>
    <x v="0"/>
    <s v="Follow-up"/>
    <s v="Urgent"/>
    <x v="0"/>
    <s v="Dermatology A"/>
    <s v="Riverside Clinic"/>
    <n v="30"/>
    <n v="43"/>
    <x v="3"/>
  </r>
  <r>
    <s v="APT01648"/>
    <d v="2025-11-28T00:00:00"/>
    <x v="100"/>
    <x v="4"/>
    <s v="Follow-up"/>
    <s v="Routine"/>
    <x v="1"/>
    <s v="Orthopaedics B"/>
    <s v="Central Outpatients"/>
    <n v="15"/>
    <n v="40"/>
    <x v="1"/>
  </r>
  <r>
    <s v="APT01649"/>
    <d v="2026-03-22T00:00:00"/>
    <x v="55"/>
    <x v="0"/>
    <s v="New"/>
    <s v="Routine"/>
    <x v="2"/>
    <s v="Dermatology B"/>
    <s v="Royal South Hospital"/>
    <n v="30"/>
    <n v="53"/>
    <x v="3"/>
  </r>
  <r>
    <s v="APT01650"/>
    <d v="2026-01-30T00:00:00"/>
    <x v="230"/>
    <x v="1"/>
    <s v="New"/>
    <s v="Routine"/>
    <x v="0"/>
    <s v="Cardiology B"/>
    <s v="Riverside Clinic"/>
    <n v="30"/>
    <n v="25"/>
    <x v="0"/>
  </r>
  <r>
    <s v="APT01651"/>
    <d v="2025-06-09T00:00:00"/>
    <x v="110"/>
    <x v="2"/>
    <s v="Follow-up"/>
    <s v="Routine"/>
    <x v="0"/>
    <s v="Gastro A"/>
    <s v="Royal South Hospital"/>
    <n v="15"/>
    <n v="35"/>
    <x v="1"/>
  </r>
  <r>
    <s v="APT01652"/>
    <d v="2025-04-07T00:00:00"/>
    <x v="235"/>
    <x v="1"/>
    <s v="Follow-up"/>
    <s v="Routine"/>
    <x v="0"/>
    <s v="Cardiology A"/>
    <s v="Royal South Hospital"/>
    <n v="15"/>
    <n v="33"/>
    <x v="1"/>
  </r>
  <r>
    <s v="APT01653"/>
    <d v="2025-04-19T00:00:00"/>
    <x v="91"/>
    <x v="0"/>
    <s v="New"/>
    <s v="Routine"/>
    <x v="0"/>
    <s v="Dermatology B"/>
    <s v="Central Outpatients"/>
    <n v="45"/>
    <n v="47"/>
    <x v="3"/>
  </r>
  <r>
    <s v="APT01654"/>
    <d v="2025-11-03T00:00:00"/>
    <x v="303"/>
    <x v="4"/>
    <s v="New"/>
    <s v="Routine"/>
    <x v="1"/>
    <s v="Orthopaedics B"/>
    <s v="Central Outpatients"/>
    <n v="30"/>
    <n v="16"/>
    <x v="0"/>
  </r>
  <r>
    <s v="APT01655"/>
    <d v="2025-05-27T00:00:00"/>
    <x v="328"/>
    <x v="3"/>
    <s v="Follow-up"/>
    <s v="Routine"/>
    <x v="0"/>
    <s v="Neurology A"/>
    <s v="Central Outpatients"/>
    <n v="15"/>
    <n v="53"/>
    <x v="3"/>
  </r>
  <r>
    <s v="APT01656"/>
    <d v="2025-06-24T00:00:00"/>
    <x v="391"/>
    <x v="1"/>
    <s v="New"/>
    <s v="Routine"/>
    <x v="0"/>
    <s v="Cardiology B"/>
    <s v="Central Outpatients"/>
    <n v="30"/>
    <n v="43"/>
    <x v="3"/>
  </r>
  <r>
    <s v="APT01657"/>
    <d v="2026-02-03T00:00:00"/>
    <x v="299"/>
    <x v="2"/>
    <s v="New"/>
    <s v="Urgent"/>
    <x v="0"/>
    <s v="Gastro B"/>
    <s v="Royal South Hospital"/>
    <n v="45"/>
    <n v="11"/>
    <x v="2"/>
  </r>
  <r>
    <s v="APT01658"/>
    <d v="2026-02-13T00:00:00"/>
    <x v="340"/>
    <x v="1"/>
    <s v="Follow-up"/>
    <s v="Routine"/>
    <x v="0"/>
    <s v="Cardiology B"/>
    <s v="Riverside Clinic"/>
    <n v="15"/>
    <n v="56"/>
    <x v="3"/>
  </r>
  <r>
    <s v="APT01659"/>
    <d v="2026-01-31T00:00:00"/>
    <x v="52"/>
    <x v="1"/>
    <s v="New"/>
    <s v="Routine"/>
    <x v="1"/>
    <s v="Cardiology A"/>
    <s v="Royal South Hospital"/>
    <n v="30"/>
    <n v="75"/>
    <x v="4"/>
  </r>
  <r>
    <s v="APT01660"/>
    <d v="2025-07-02T00:00:00"/>
    <x v="193"/>
    <x v="2"/>
    <s v="New"/>
    <s v="Routine"/>
    <x v="0"/>
    <s v="Gastro A"/>
    <s v="Central Outpatients"/>
    <n v="45"/>
    <n v="53"/>
    <x v="3"/>
  </r>
  <r>
    <s v="APT01661"/>
    <d v="2025-11-12T00:00:00"/>
    <x v="50"/>
    <x v="2"/>
    <s v="Follow-up"/>
    <s v="Routine"/>
    <x v="0"/>
    <s v="Gastro B"/>
    <s v="Riverside Clinic"/>
    <n v="15"/>
    <n v="60"/>
    <x v="4"/>
  </r>
  <r>
    <s v="APT01662"/>
    <d v="2025-11-09T00:00:00"/>
    <x v="2"/>
    <x v="3"/>
    <s v="Follow-up"/>
    <s v="Routine"/>
    <x v="2"/>
    <s v="Neurology A"/>
    <s v="Royal South Hospital"/>
    <n v="15"/>
    <n v="36"/>
    <x v="1"/>
  </r>
  <r>
    <s v="APT01663"/>
    <d v="2025-06-07T00:00:00"/>
    <x v="248"/>
    <x v="4"/>
    <s v="Follow-up"/>
    <s v="Routine"/>
    <x v="0"/>
    <s v="Orthopaedics B"/>
    <s v="Central Outpatients"/>
    <n v="30"/>
    <n v="5"/>
    <x v="2"/>
  </r>
  <r>
    <s v="APT01664"/>
    <d v="2025-10-19T00:00:00"/>
    <x v="49"/>
    <x v="0"/>
    <s v="New"/>
    <s v="Routine"/>
    <x v="0"/>
    <s v="Dermatology B"/>
    <s v="Riverside Clinic"/>
    <n v="45"/>
    <n v="2"/>
    <x v="2"/>
  </r>
  <r>
    <s v="APT01665"/>
    <d v="2025-10-09T00:00:00"/>
    <x v="101"/>
    <x v="4"/>
    <s v="Follow-up"/>
    <s v="Routine"/>
    <x v="0"/>
    <s v="Orthopaedics A"/>
    <s v="Central Outpatients"/>
    <n v="15"/>
    <n v="39"/>
    <x v="1"/>
  </r>
  <r>
    <s v="APT01666"/>
    <d v="2025-08-23T00:00:00"/>
    <x v="232"/>
    <x v="2"/>
    <s v="Follow-up"/>
    <s v="Urgent"/>
    <x v="2"/>
    <s v="Gastro B"/>
    <s v="Riverside Clinic"/>
    <n v="30"/>
    <n v="24"/>
    <x v="0"/>
  </r>
  <r>
    <s v="APT01667"/>
    <d v="2025-12-30T00:00:00"/>
    <x v="150"/>
    <x v="0"/>
    <s v="Follow-up"/>
    <s v="Routine"/>
    <x v="0"/>
    <s v="Dermatology A"/>
    <s v="Central Outpatients"/>
    <n v="30"/>
    <n v="18"/>
    <x v="0"/>
  </r>
  <r>
    <s v="APT01668"/>
    <d v="2025-12-03T00:00:00"/>
    <x v="79"/>
    <x v="4"/>
    <s v="Follow-up"/>
    <s v="Routine"/>
    <x v="0"/>
    <s v="Orthopaedics B"/>
    <s v="Riverside Clinic"/>
    <n v="30"/>
    <n v="33"/>
    <x v="1"/>
  </r>
  <r>
    <s v="APT01669"/>
    <d v="2025-10-11T00:00:00"/>
    <x v="25"/>
    <x v="1"/>
    <s v="Follow-up"/>
    <s v="Routine"/>
    <x v="0"/>
    <s v="Cardiology A"/>
    <s v="Riverside Clinic"/>
    <n v="30"/>
    <n v="46"/>
    <x v="3"/>
  </r>
  <r>
    <s v="APT01670"/>
    <d v="2025-12-21T00:00:00"/>
    <x v="364"/>
    <x v="2"/>
    <s v="Follow-up"/>
    <s v="Routine"/>
    <x v="0"/>
    <s v="Gastro B"/>
    <s v="Riverside Clinic"/>
    <n v="15"/>
    <n v="8"/>
    <x v="2"/>
  </r>
  <r>
    <s v="APT01671"/>
    <d v="2026-01-03T00:00:00"/>
    <x v="270"/>
    <x v="3"/>
    <s v="Follow-up"/>
    <s v="Routine"/>
    <x v="0"/>
    <s v="Neurology B"/>
    <s v="Royal South Hospital"/>
    <n v="30"/>
    <n v="26"/>
    <x v="0"/>
  </r>
  <r>
    <s v="APT01672"/>
    <d v="2025-10-24T00:00:00"/>
    <x v="199"/>
    <x v="0"/>
    <s v="New"/>
    <s v="Urgent"/>
    <x v="0"/>
    <s v="Dermatology A"/>
    <s v="Royal South Hospital"/>
    <n v="30"/>
    <n v="62"/>
    <x v="4"/>
  </r>
  <r>
    <s v="APT01673"/>
    <d v="2025-07-07T00:00:00"/>
    <x v="138"/>
    <x v="4"/>
    <s v="Follow-up"/>
    <s v="Routine"/>
    <x v="0"/>
    <s v="Orthopaedics B"/>
    <s v="Central Outpatients"/>
    <n v="15"/>
    <n v="15"/>
    <x v="0"/>
  </r>
  <r>
    <s v="APT01674"/>
    <d v="2026-01-02T00:00:00"/>
    <x v="261"/>
    <x v="0"/>
    <s v="Follow-up"/>
    <s v="Routine"/>
    <x v="0"/>
    <s v="Dermatology A"/>
    <s v="Central Outpatients"/>
    <n v="15"/>
    <n v="50"/>
    <x v="3"/>
  </r>
  <r>
    <s v="APT01675"/>
    <d v="2025-12-18T00:00:00"/>
    <x v="366"/>
    <x v="4"/>
    <s v="New"/>
    <s v="Routine"/>
    <x v="0"/>
    <s v="Orthopaedics B"/>
    <s v="Central Outpatients"/>
    <n v="45"/>
    <n v="26"/>
    <x v="0"/>
  </r>
  <r>
    <s v="APT01676"/>
    <d v="2026-03-24T00:00:00"/>
    <x v="204"/>
    <x v="1"/>
    <s v="New"/>
    <s v="Routine"/>
    <x v="0"/>
    <s v="Cardiology B"/>
    <s v="Royal South Hospital"/>
    <n v="45"/>
    <n v="44"/>
    <x v="3"/>
  </r>
  <r>
    <s v="APT01677"/>
    <d v="2025-05-25T00:00:00"/>
    <x v="380"/>
    <x v="1"/>
    <s v="Follow-up"/>
    <s v="Urgent"/>
    <x v="0"/>
    <s v="Cardiology A"/>
    <s v="Royal South Hospital"/>
    <n v="30"/>
    <n v="54"/>
    <x v="3"/>
  </r>
  <r>
    <s v="APT01678"/>
    <d v="2025-08-31T00:00:00"/>
    <x v="316"/>
    <x v="0"/>
    <s v="Follow-up"/>
    <s v="Routine"/>
    <x v="1"/>
    <s v="Dermatology B"/>
    <s v="Central Outpatients"/>
    <n v="15"/>
    <n v="48"/>
    <x v="3"/>
  </r>
  <r>
    <s v="APT01679"/>
    <d v="2026-03-03T00:00:00"/>
    <x v="266"/>
    <x v="4"/>
    <s v="Follow-up"/>
    <s v="Routine"/>
    <x v="0"/>
    <s v="Orthopaedics A"/>
    <s v="Royal South Hospital"/>
    <n v="30"/>
    <n v="51"/>
    <x v="3"/>
  </r>
  <r>
    <s v="APT01680"/>
    <d v="2025-10-05T00:00:00"/>
    <x v="159"/>
    <x v="1"/>
    <s v="Follow-up"/>
    <s v="Routine"/>
    <x v="2"/>
    <s v="Cardiology B"/>
    <s v="Royal South Hospital"/>
    <n v="30"/>
    <n v="14"/>
    <x v="2"/>
  </r>
  <r>
    <s v="APT01681"/>
    <d v="2026-03-10T00:00:00"/>
    <x v="315"/>
    <x v="4"/>
    <s v="New"/>
    <s v="Urgent"/>
    <x v="2"/>
    <s v="Orthopaedics B"/>
    <s v="Royal South Hospital"/>
    <n v="30"/>
    <n v="55"/>
    <x v="3"/>
  </r>
  <r>
    <s v="APT01682"/>
    <d v="2025-04-05T00:00:00"/>
    <x v="392"/>
    <x v="0"/>
    <s v="New"/>
    <s v="Urgent"/>
    <x v="2"/>
    <s v="Dermatology B"/>
    <s v="Central Outpatients"/>
    <n v="45"/>
    <n v="19"/>
    <x v="0"/>
  </r>
  <r>
    <s v="APT01683"/>
    <d v="2025-04-13T00:00:00"/>
    <x v="210"/>
    <x v="2"/>
    <s v="Follow-up"/>
    <s v="Routine"/>
    <x v="0"/>
    <s v="Gastro B"/>
    <s v="Riverside Clinic"/>
    <n v="30"/>
    <n v="39"/>
    <x v="1"/>
  </r>
  <r>
    <s v="APT01684"/>
    <d v="2026-01-15T00:00:00"/>
    <x v="317"/>
    <x v="0"/>
    <s v="New"/>
    <s v="Routine"/>
    <x v="0"/>
    <s v="Dermatology A"/>
    <s v="Royal South Hospital"/>
    <n v="30"/>
    <n v="39"/>
    <x v="1"/>
  </r>
  <r>
    <s v="APT01685"/>
    <d v="2025-08-09T00:00:00"/>
    <x v="3"/>
    <x v="1"/>
    <s v="Follow-up"/>
    <s v="Routine"/>
    <x v="0"/>
    <s v="Cardiology B"/>
    <s v="Riverside Clinic"/>
    <n v="30"/>
    <n v="43"/>
    <x v="3"/>
  </r>
  <r>
    <s v="APT01686"/>
    <d v="2025-10-07T00:00:00"/>
    <x v="101"/>
    <x v="4"/>
    <s v="New"/>
    <s v="Routine"/>
    <x v="0"/>
    <s v="Orthopaedics A"/>
    <s v="Royal South Hospital"/>
    <n v="30"/>
    <n v="41"/>
    <x v="1"/>
  </r>
  <r>
    <s v="APT01687"/>
    <d v="2025-09-03T00:00:00"/>
    <x v="117"/>
    <x v="2"/>
    <s v="Follow-up"/>
    <s v="Routine"/>
    <x v="0"/>
    <s v="Gastro B"/>
    <s v="Riverside Clinic"/>
    <n v="15"/>
    <n v="19"/>
    <x v="0"/>
  </r>
  <r>
    <s v="APT01688"/>
    <d v="2025-08-27T00:00:00"/>
    <x v="215"/>
    <x v="3"/>
    <s v="Follow-up"/>
    <s v="Routine"/>
    <x v="0"/>
    <s v="Neurology A"/>
    <s v="Riverside Clinic"/>
    <n v="15"/>
    <n v="10"/>
    <x v="2"/>
  </r>
  <r>
    <s v="APT01689"/>
    <d v="2026-03-08T00:00:00"/>
    <x v="309"/>
    <x v="2"/>
    <s v="New"/>
    <s v="Routine"/>
    <x v="0"/>
    <s v="Gastro A"/>
    <s v="Riverside Clinic"/>
    <n v="45"/>
    <n v="50"/>
    <x v="3"/>
  </r>
  <r>
    <s v="APT01690"/>
    <d v="2025-05-05T00:00:00"/>
    <x v="248"/>
    <x v="2"/>
    <s v="Follow-up"/>
    <s v="Routine"/>
    <x v="1"/>
    <s v="Gastro B"/>
    <s v="Royal South Hospital"/>
    <n v="30"/>
    <n v="38"/>
    <x v="1"/>
  </r>
  <r>
    <s v="APT01691"/>
    <d v="2026-01-07T00:00:00"/>
    <x v="293"/>
    <x v="3"/>
    <s v="Follow-up"/>
    <s v="Routine"/>
    <x v="0"/>
    <s v="Neurology B"/>
    <s v="Royal South Hospital"/>
    <n v="15"/>
    <n v="55"/>
    <x v="3"/>
  </r>
  <r>
    <s v="APT01692"/>
    <d v="2026-02-18T00:00:00"/>
    <x v="214"/>
    <x v="4"/>
    <s v="New"/>
    <s v="Routine"/>
    <x v="2"/>
    <s v="Orthopaedics A"/>
    <s v="Royal South Hospital"/>
    <n v="30"/>
    <n v="34"/>
    <x v="1"/>
  </r>
  <r>
    <s v="APT01693"/>
    <d v="2025-11-26T00:00:00"/>
    <x v="197"/>
    <x v="3"/>
    <s v="New"/>
    <s v="Routine"/>
    <x v="1"/>
    <s v="Neurology A"/>
    <s v="Central Outpatients"/>
    <n v="30"/>
    <n v="9"/>
    <x v="2"/>
  </r>
  <r>
    <s v="APT01694"/>
    <d v="2025-08-22T00:00:00"/>
    <x v="268"/>
    <x v="2"/>
    <s v="Follow-up"/>
    <s v="Routine"/>
    <x v="0"/>
    <s v="Gastro B"/>
    <s v="Royal South Hospital"/>
    <n v="15"/>
    <n v="52"/>
    <x v="3"/>
  </r>
  <r>
    <s v="APT01695"/>
    <d v="2025-05-29T00:00:00"/>
    <x v="349"/>
    <x v="3"/>
    <s v="Follow-up"/>
    <s v="Urgent"/>
    <x v="0"/>
    <s v="Neurology A"/>
    <s v="Royal South Hospital"/>
    <n v="15"/>
    <n v="28"/>
    <x v="0"/>
  </r>
  <r>
    <s v="APT01696"/>
    <d v="2025-12-05T00:00:00"/>
    <x v="63"/>
    <x v="3"/>
    <s v="Follow-up"/>
    <s v="Urgent"/>
    <x v="0"/>
    <s v="Neurology A"/>
    <s v="Royal South Hospital"/>
    <n v="30"/>
    <n v="41"/>
    <x v="1"/>
  </r>
  <r>
    <s v="APT01697"/>
    <d v="2025-09-18T00:00:00"/>
    <x v="251"/>
    <x v="2"/>
    <s v="Follow-up"/>
    <s v="Routine"/>
    <x v="2"/>
    <s v="Gastro A"/>
    <s v="Central Outpatients"/>
    <n v="30"/>
    <n v="23"/>
    <x v="0"/>
  </r>
  <r>
    <s v="APT01698"/>
    <d v="2025-05-25T00:00:00"/>
    <x v="393"/>
    <x v="3"/>
    <s v="New"/>
    <s v="Routine"/>
    <x v="0"/>
    <s v="Neurology A"/>
    <s v="Central Outpatients"/>
    <n v="30"/>
    <n v="64"/>
    <x v="4"/>
  </r>
  <r>
    <s v="APT01699"/>
    <d v="2025-08-09T00:00:00"/>
    <x v="313"/>
    <x v="2"/>
    <s v="New"/>
    <s v="Routine"/>
    <x v="0"/>
    <s v="Gastro A"/>
    <s v="Royal South Hospital"/>
    <n v="30"/>
    <n v="19"/>
    <x v="0"/>
  </r>
  <r>
    <s v="APT01700"/>
    <d v="2026-03-17T00:00:00"/>
    <x v="275"/>
    <x v="4"/>
    <s v="Follow-up"/>
    <s v="Routine"/>
    <x v="0"/>
    <s v="Orthopaedics A"/>
    <s v="Riverside Clinic"/>
    <n v="15"/>
    <n v="28"/>
    <x v="0"/>
  </r>
  <r>
    <s v="APT01701"/>
    <d v="2025-07-06T00:00:00"/>
    <x v="254"/>
    <x v="4"/>
    <s v="Follow-up"/>
    <s v="Routine"/>
    <x v="0"/>
    <s v="Orthopaedics A"/>
    <s v="Royal South Hospital"/>
    <n v="30"/>
    <n v="36"/>
    <x v="1"/>
  </r>
  <r>
    <s v="APT01702"/>
    <d v="2025-06-04T00:00:00"/>
    <x v="263"/>
    <x v="4"/>
    <s v="Follow-up"/>
    <s v="Routine"/>
    <x v="2"/>
    <s v="Orthopaedics B"/>
    <s v="Central Outpatients"/>
    <n v="30"/>
    <n v="15"/>
    <x v="0"/>
  </r>
  <r>
    <s v="APT01703"/>
    <d v="2025-12-05T00:00:00"/>
    <x v="302"/>
    <x v="4"/>
    <s v="New"/>
    <s v="Routine"/>
    <x v="2"/>
    <s v="Orthopaedics A"/>
    <s v="Central Outpatients"/>
    <n v="45"/>
    <n v="40"/>
    <x v="1"/>
  </r>
  <r>
    <s v="APT01704"/>
    <d v="2025-06-12T00:00:00"/>
    <x v="167"/>
    <x v="3"/>
    <s v="Follow-up"/>
    <s v="Routine"/>
    <x v="0"/>
    <s v="Neurology A"/>
    <s v="Riverside Clinic"/>
    <n v="30"/>
    <n v="64"/>
    <x v="4"/>
  </r>
  <r>
    <s v="APT01705"/>
    <d v="2026-03-01T00:00:00"/>
    <x v="371"/>
    <x v="3"/>
    <s v="Follow-up"/>
    <s v="Routine"/>
    <x v="0"/>
    <s v="Neurology A"/>
    <s v="Central Outpatients"/>
    <n v="15"/>
    <n v="26"/>
    <x v="0"/>
  </r>
  <r>
    <s v="APT01706"/>
    <d v="2026-02-07T00:00:00"/>
    <x v="243"/>
    <x v="1"/>
    <s v="New"/>
    <s v="Routine"/>
    <x v="0"/>
    <s v="Cardiology B"/>
    <s v="Riverside Clinic"/>
    <n v="45"/>
    <n v="42"/>
    <x v="1"/>
  </r>
  <r>
    <s v="APT01707"/>
    <d v="2026-03-25T00:00:00"/>
    <x v="371"/>
    <x v="2"/>
    <s v="Follow-up"/>
    <s v="Routine"/>
    <x v="0"/>
    <s v="Gastro A"/>
    <s v="Royal South Hospital"/>
    <n v="30"/>
    <n v="2"/>
    <x v="2"/>
  </r>
  <r>
    <s v="APT01708"/>
    <d v="2026-02-27T00:00:00"/>
    <x v="320"/>
    <x v="0"/>
    <s v="Follow-up"/>
    <s v="Routine"/>
    <x v="0"/>
    <s v="Dermatology B"/>
    <s v="Riverside Clinic"/>
    <n v="15"/>
    <n v="34"/>
    <x v="1"/>
  </r>
  <r>
    <s v="APT01709"/>
    <d v="2025-06-28T00:00:00"/>
    <x v="145"/>
    <x v="1"/>
    <s v="New"/>
    <s v="Urgent"/>
    <x v="0"/>
    <s v="Cardiology A"/>
    <s v="Riverside Clinic"/>
    <n v="45"/>
    <n v="29"/>
    <x v="1"/>
  </r>
  <r>
    <s v="APT01710"/>
    <d v="2025-06-17T00:00:00"/>
    <x v="233"/>
    <x v="4"/>
    <s v="New"/>
    <s v="Routine"/>
    <x v="1"/>
    <s v="Orthopaedics A"/>
    <s v="Royal South Hospital"/>
    <n v="30"/>
    <n v="20"/>
    <x v="0"/>
  </r>
  <r>
    <s v="APT01711"/>
    <d v="2025-08-03T00:00:00"/>
    <x v="137"/>
    <x v="4"/>
    <s v="New"/>
    <s v="Routine"/>
    <x v="2"/>
    <s v="Orthopaedics B"/>
    <s v="Riverside Clinic"/>
    <n v="45"/>
    <n v="54"/>
    <x v="3"/>
  </r>
  <r>
    <s v="APT01712"/>
    <d v="2025-09-19T00:00:00"/>
    <x v="316"/>
    <x v="2"/>
    <s v="Follow-up"/>
    <s v="Routine"/>
    <x v="0"/>
    <s v="Gastro B"/>
    <s v="Royal South Hospital"/>
    <n v="15"/>
    <n v="29"/>
    <x v="1"/>
  </r>
  <r>
    <s v="APT01713"/>
    <d v="2026-02-15T00:00:00"/>
    <x v="148"/>
    <x v="0"/>
    <s v="New"/>
    <s v="Routine"/>
    <x v="0"/>
    <s v="Dermatology A"/>
    <s v="Royal South Hospital"/>
    <n v="45"/>
    <n v="31"/>
    <x v="1"/>
  </r>
  <r>
    <s v="APT01714"/>
    <d v="2025-12-23T00:00:00"/>
    <x v="187"/>
    <x v="3"/>
    <s v="New"/>
    <s v="Routine"/>
    <x v="0"/>
    <s v="Neurology A"/>
    <s v="Central Outpatients"/>
    <n v="30"/>
    <n v="28"/>
    <x v="0"/>
  </r>
  <r>
    <s v="APT01715"/>
    <d v="2025-11-21T00:00:00"/>
    <x v="264"/>
    <x v="2"/>
    <s v="New"/>
    <s v="Routine"/>
    <x v="2"/>
    <s v="Gastro B"/>
    <s v="Royal South Hospital"/>
    <n v="30"/>
    <n v="2"/>
    <x v="2"/>
  </r>
  <r>
    <s v="APT01716"/>
    <d v="2026-02-14T00:00:00"/>
    <x v="262"/>
    <x v="4"/>
    <s v="New"/>
    <s v="Routine"/>
    <x v="0"/>
    <s v="Orthopaedics A"/>
    <s v="Central Outpatients"/>
    <n v="45"/>
    <n v="14"/>
    <x v="2"/>
  </r>
  <r>
    <s v="APT01717"/>
    <d v="2025-11-22T00:00:00"/>
    <x v="366"/>
    <x v="4"/>
    <s v="New"/>
    <s v="Routine"/>
    <x v="0"/>
    <s v="Orthopaedics A"/>
    <s v="Royal South Hospital"/>
    <n v="30"/>
    <n v="52"/>
    <x v="3"/>
  </r>
  <r>
    <s v="APT01718"/>
    <d v="2025-08-16T00:00:00"/>
    <x v="146"/>
    <x v="0"/>
    <s v="Follow-up"/>
    <s v="Routine"/>
    <x v="0"/>
    <s v="Dermatology A"/>
    <s v="Riverside Clinic"/>
    <n v="15"/>
    <n v="2"/>
    <x v="2"/>
  </r>
  <r>
    <s v="APT01719"/>
    <d v="2025-08-29T00:00:00"/>
    <x v="121"/>
    <x v="0"/>
    <s v="New"/>
    <s v="Urgent"/>
    <x v="0"/>
    <s v="Dermatology B"/>
    <s v="Central Outpatients"/>
    <n v="45"/>
    <n v="21"/>
    <x v="0"/>
  </r>
  <r>
    <s v="APT01720"/>
    <d v="2025-10-06T00:00:00"/>
    <x v="28"/>
    <x v="0"/>
    <s v="New"/>
    <s v="Routine"/>
    <x v="0"/>
    <s v="Dermatology B"/>
    <s v="Central Outpatients"/>
    <n v="45"/>
    <n v="27"/>
    <x v="0"/>
  </r>
  <r>
    <s v="APT01721"/>
    <d v="2025-05-03T00:00:00"/>
    <x v="304"/>
    <x v="1"/>
    <s v="New"/>
    <s v="Urgent"/>
    <x v="0"/>
    <s v="Cardiology B"/>
    <s v="Central Outpatients"/>
    <n v="30"/>
    <n v="66"/>
    <x v="4"/>
  </r>
  <r>
    <s v="APT01722"/>
    <d v="2025-12-26T00:00:00"/>
    <x v="98"/>
    <x v="0"/>
    <s v="New"/>
    <s v="Routine"/>
    <x v="0"/>
    <s v="Dermatology B"/>
    <s v="Royal South Hospital"/>
    <n v="30"/>
    <n v="48"/>
    <x v="3"/>
  </r>
  <r>
    <s v="APT01723"/>
    <d v="2025-11-24T00:00:00"/>
    <x v="288"/>
    <x v="1"/>
    <s v="New"/>
    <s v="Routine"/>
    <x v="0"/>
    <s v="Cardiology A"/>
    <s v="Royal South Hospital"/>
    <n v="45"/>
    <n v="24"/>
    <x v="0"/>
  </r>
  <r>
    <s v="APT01724"/>
    <d v="2025-12-23T00:00:00"/>
    <x v="74"/>
    <x v="1"/>
    <s v="Follow-up"/>
    <s v="Routine"/>
    <x v="0"/>
    <s v="Cardiology A"/>
    <s v="Riverside Clinic"/>
    <n v="15"/>
    <n v="58"/>
    <x v="4"/>
  </r>
  <r>
    <s v="APT01725"/>
    <d v="2025-10-12T00:00:00"/>
    <x v="28"/>
    <x v="0"/>
    <s v="Follow-up"/>
    <s v="Routine"/>
    <x v="0"/>
    <s v="Dermatology B"/>
    <s v="Riverside Clinic"/>
    <n v="15"/>
    <n v="21"/>
    <x v="0"/>
  </r>
  <r>
    <s v="APT01726"/>
    <d v="2026-01-10T00:00:00"/>
    <x v="274"/>
    <x v="1"/>
    <s v="Follow-up"/>
    <s v="Routine"/>
    <x v="0"/>
    <s v="Cardiology B"/>
    <s v="Central Outpatients"/>
    <n v="30"/>
    <n v="53"/>
    <x v="3"/>
  </r>
  <r>
    <s v="APT01727"/>
    <d v="2026-03-12T00:00:00"/>
    <x v="368"/>
    <x v="3"/>
    <s v="New"/>
    <s v="Routine"/>
    <x v="0"/>
    <s v="Neurology A"/>
    <s v="Riverside Clinic"/>
    <n v="30"/>
    <n v="10"/>
    <x v="2"/>
  </r>
  <r>
    <s v="APT01728"/>
    <d v="2025-10-25T00:00:00"/>
    <x v="288"/>
    <x v="1"/>
    <s v="Follow-up"/>
    <s v="Routine"/>
    <x v="0"/>
    <s v="Cardiology B"/>
    <s v="Royal South Hospital"/>
    <n v="15"/>
    <n v="54"/>
    <x v="3"/>
  </r>
  <r>
    <s v="APT01729"/>
    <d v="2025-09-09T00:00:00"/>
    <x v="319"/>
    <x v="4"/>
    <s v="Follow-up"/>
    <s v="Routine"/>
    <x v="2"/>
    <s v="Orthopaedics B"/>
    <s v="Royal South Hospital"/>
    <n v="15"/>
    <n v="27"/>
    <x v="0"/>
  </r>
  <r>
    <s v="APT01730"/>
    <d v="2025-05-09T00:00:00"/>
    <x v="242"/>
    <x v="0"/>
    <s v="New"/>
    <s v="Routine"/>
    <x v="0"/>
    <s v="Dermatology B"/>
    <s v="Central Outpatients"/>
    <n v="45"/>
    <n v="16"/>
    <x v="0"/>
  </r>
  <r>
    <s v="APT01731"/>
    <d v="2026-01-09T00:00:00"/>
    <x v="185"/>
    <x v="1"/>
    <s v="Follow-up"/>
    <s v="Routine"/>
    <x v="0"/>
    <s v="Cardiology B"/>
    <s v="Riverside Clinic"/>
    <n v="15"/>
    <n v="31"/>
    <x v="1"/>
  </r>
  <r>
    <s v="APT01732"/>
    <d v="2026-02-24T00:00:00"/>
    <x v="153"/>
    <x v="1"/>
    <s v="Follow-up"/>
    <s v="Routine"/>
    <x v="0"/>
    <s v="Cardiology B"/>
    <s v="Riverside Clinic"/>
    <n v="30"/>
    <n v="39"/>
    <x v="1"/>
  </r>
  <r>
    <s v="APT01733"/>
    <d v="2025-12-11T00:00:00"/>
    <x v="223"/>
    <x v="3"/>
    <s v="New"/>
    <s v="Routine"/>
    <x v="0"/>
    <s v="Neurology A"/>
    <s v="Riverside Clinic"/>
    <n v="30"/>
    <n v="26"/>
    <x v="0"/>
  </r>
  <r>
    <s v="APT01734"/>
    <d v="2026-02-10T00:00:00"/>
    <x v="23"/>
    <x v="0"/>
    <s v="New"/>
    <s v="Routine"/>
    <x v="0"/>
    <s v="Dermatology B"/>
    <s v="Central Outpatients"/>
    <n v="45"/>
    <n v="44"/>
    <x v="3"/>
  </r>
  <r>
    <s v="APT01735"/>
    <d v="2026-02-08T00:00:00"/>
    <x v="274"/>
    <x v="2"/>
    <s v="Follow-up"/>
    <s v="Urgent"/>
    <x v="0"/>
    <s v="Gastro A"/>
    <s v="Central Outpatients"/>
    <n v="30"/>
    <n v="24"/>
    <x v="0"/>
  </r>
  <r>
    <s v="APT01736"/>
    <d v="2026-01-16T00:00:00"/>
    <x v="293"/>
    <x v="1"/>
    <s v="New"/>
    <s v="Routine"/>
    <x v="0"/>
    <s v="Cardiology B"/>
    <s v="Royal South Hospital"/>
    <n v="30"/>
    <n v="46"/>
    <x v="3"/>
  </r>
  <r>
    <s v="APT01737"/>
    <d v="2025-10-01T00:00:00"/>
    <x v="134"/>
    <x v="4"/>
    <s v="Follow-up"/>
    <s v="Routine"/>
    <x v="0"/>
    <s v="Orthopaedics B"/>
    <s v="Central Outpatients"/>
    <n v="30"/>
    <n v="42"/>
    <x v="1"/>
  </r>
  <r>
    <s v="APT01738"/>
    <d v="2025-05-07T00:00:00"/>
    <x v="82"/>
    <x v="1"/>
    <s v="New"/>
    <s v="Routine"/>
    <x v="0"/>
    <s v="Cardiology A"/>
    <s v="Royal South Hospital"/>
    <n v="30"/>
    <n v="33"/>
    <x v="1"/>
  </r>
  <r>
    <s v="APT01739"/>
    <d v="2025-04-02T00:00:00"/>
    <x v="336"/>
    <x v="2"/>
    <s v="New"/>
    <s v="Routine"/>
    <x v="0"/>
    <s v="Gastro B"/>
    <s v="Royal South Hospital"/>
    <n v="30"/>
    <n v="27"/>
    <x v="0"/>
  </r>
  <r>
    <s v="APT01740"/>
    <d v="2025-06-14T00:00:00"/>
    <x v="280"/>
    <x v="4"/>
    <s v="New"/>
    <s v="Routine"/>
    <x v="0"/>
    <s v="Orthopaedics B"/>
    <s v="Central Outpatients"/>
    <n v="30"/>
    <n v="37"/>
    <x v="1"/>
  </r>
  <r>
    <s v="APT01741"/>
    <d v="2025-09-04T00:00:00"/>
    <x v="316"/>
    <x v="0"/>
    <s v="New"/>
    <s v="Routine"/>
    <x v="0"/>
    <s v="Dermatology B"/>
    <s v="Royal South Hospital"/>
    <n v="30"/>
    <n v="44"/>
    <x v="3"/>
  </r>
  <r>
    <s v="APT01742"/>
    <d v="2025-12-27T00:00:00"/>
    <x v="359"/>
    <x v="0"/>
    <s v="Follow-up"/>
    <s v="Routine"/>
    <x v="0"/>
    <s v="Dermatology A"/>
    <s v="Royal South Hospital"/>
    <n v="15"/>
    <n v="72"/>
    <x v="4"/>
  </r>
  <r>
    <s v="APT01743"/>
    <d v="2025-09-13T00:00:00"/>
    <x v="122"/>
    <x v="4"/>
    <s v="Follow-up"/>
    <s v="Urgent"/>
    <x v="0"/>
    <s v="Orthopaedics A"/>
    <s v="Riverside Clinic"/>
    <n v="15"/>
    <n v="51"/>
    <x v="3"/>
  </r>
  <r>
    <s v="APT01744"/>
    <d v="2025-04-09T00:00:00"/>
    <x v="69"/>
    <x v="0"/>
    <s v="Follow-up"/>
    <s v="Routine"/>
    <x v="0"/>
    <s v="Dermatology B"/>
    <s v="Central Outpatients"/>
    <n v="15"/>
    <n v="52"/>
    <x v="3"/>
  </r>
  <r>
    <s v="APT01745"/>
    <d v="2025-06-16T00:00:00"/>
    <x v="21"/>
    <x v="1"/>
    <s v="Follow-up"/>
    <s v="Routine"/>
    <x v="0"/>
    <s v="Cardiology A"/>
    <s v="Royal South Hospital"/>
    <n v="15"/>
    <n v="90"/>
    <x v="4"/>
  </r>
  <r>
    <s v="APT01746"/>
    <d v="2026-03-23T00:00:00"/>
    <x v="113"/>
    <x v="2"/>
    <s v="Follow-up"/>
    <s v="Routine"/>
    <x v="1"/>
    <s v="Gastro B"/>
    <s v="Riverside Clinic"/>
    <n v="30"/>
    <n v="44"/>
    <x v="3"/>
  </r>
  <r>
    <s v="APT01747"/>
    <d v="2026-03-26T00:00:00"/>
    <x v="151"/>
    <x v="1"/>
    <s v="New"/>
    <s v="Routine"/>
    <x v="0"/>
    <s v="Cardiology A"/>
    <s v="Riverside Clinic"/>
    <n v="30"/>
    <n v="43"/>
    <x v="3"/>
  </r>
  <r>
    <s v="APT01748"/>
    <d v="2025-08-16T00:00:00"/>
    <x v="363"/>
    <x v="4"/>
    <s v="New"/>
    <s v="Routine"/>
    <x v="0"/>
    <s v="Orthopaedics A"/>
    <s v="Royal South Hospital"/>
    <n v="30"/>
    <n v="47"/>
    <x v="3"/>
  </r>
  <r>
    <s v="APT01749"/>
    <d v="2026-01-19T00:00:00"/>
    <x v="161"/>
    <x v="3"/>
    <s v="Follow-up"/>
    <s v="Routine"/>
    <x v="2"/>
    <s v="Neurology B"/>
    <s v="Riverside Clinic"/>
    <n v="15"/>
    <n v="16"/>
    <x v="0"/>
  </r>
  <r>
    <s v="APT01750"/>
    <d v="2025-12-18T00:00:00"/>
    <x v="302"/>
    <x v="2"/>
    <s v="Follow-up"/>
    <s v="Routine"/>
    <x v="2"/>
    <s v="Gastro A"/>
    <s v="Riverside Clinic"/>
    <n v="15"/>
    <n v="27"/>
    <x v="0"/>
  </r>
  <r>
    <s v="APT01751"/>
    <d v="2026-03-05T00:00:00"/>
    <x v="45"/>
    <x v="1"/>
    <s v="Follow-up"/>
    <s v="Routine"/>
    <x v="0"/>
    <s v="Cardiology B"/>
    <s v="Central Outpatients"/>
    <n v="30"/>
    <n v="25"/>
    <x v="0"/>
  </r>
  <r>
    <s v="APT01752"/>
    <d v="2026-02-18T00:00:00"/>
    <x v="132"/>
    <x v="3"/>
    <s v="Follow-up"/>
    <s v="Routine"/>
    <x v="2"/>
    <s v="Neurology B"/>
    <s v="Riverside Clinic"/>
    <n v="30"/>
    <n v="46"/>
    <x v="3"/>
  </r>
  <r>
    <s v="APT01753"/>
    <d v="2025-11-15T00:00:00"/>
    <x v="94"/>
    <x v="3"/>
    <s v="Follow-up"/>
    <s v="Routine"/>
    <x v="0"/>
    <s v="Neurology A"/>
    <s v="Central Outpatients"/>
    <n v="15"/>
    <n v="31"/>
    <x v="1"/>
  </r>
  <r>
    <s v="APT01754"/>
    <d v="2025-08-22T00:00:00"/>
    <x v="342"/>
    <x v="1"/>
    <s v="New"/>
    <s v="Routine"/>
    <x v="1"/>
    <s v="Cardiology B"/>
    <s v="Central Outpatients"/>
    <n v="30"/>
    <n v="37"/>
    <x v="1"/>
  </r>
  <r>
    <s v="APT01755"/>
    <d v="2025-11-15T00:00:00"/>
    <x v="362"/>
    <x v="4"/>
    <s v="Follow-up"/>
    <s v="Routine"/>
    <x v="0"/>
    <s v="Orthopaedics B"/>
    <s v="Royal South Hospital"/>
    <n v="15"/>
    <n v="54"/>
    <x v="3"/>
  </r>
  <r>
    <s v="APT01756"/>
    <d v="2025-07-26T00:00:00"/>
    <x v="21"/>
    <x v="2"/>
    <s v="Follow-up"/>
    <s v="Routine"/>
    <x v="0"/>
    <s v="Gastro B"/>
    <s v="Riverside Clinic"/>
    <n v="30"/>
    <n v="50"/>
    <x v="3"/>
  </r>
  <r>
    <s v="APT01757"/>
    <d v="2025-08-05T00:00:00"/>
    <x v="215"/>
    <x v="4"/>
    <s v="Follow-up"/>
    <s v="Routine"/>
    <x v="2"/>
    <s v="Orthopaedics B"/>
    <s v="Riverside Clinic"/>
    <n v="15"/>
    <n v="32"/>
    <x v="1"/>
  </r>
  <r>
    <s v="APT01758"/>
    <d v="2025-11-08T00:00:00"/>
    <x v="179"/>
    <x v="0"/>
    <s v="New"/>
    <s v="Routine"/>
    <x v="0"/>
    <s v="Dermatology B"/>
    <s v="Royal South Hospital"/>
    <n v="30"/>
    <n v="22"/>
    <x v="0"/>
  </r>
  <r>
    <s v="APT01759"/>
    <d v="2025-10-25T00:00:00"/>
    <x v="312"/>
    <x v="1"/>
    <s v="New"/>
    <s v="Urgent"/>
    <x v="1"/>
    <s v="Cardiology A"/>
    <s v="Riverside Clinic"/>
    <n v="30"/>
    <n v="55"/>
    <x v="3"/>
  </r>
  <r>
    <s v="APT01760"/>
    <d v="2025-10-29T00:00:00"/>
    <x v="94"/>
    <x v="3"/>
    <s v="Follow-up"/>
    <s v="Routine"/>
    <x v="0"/>
    <s v="Neurology A"/>
    <s v="Riverside Clinic"/>
    <n v="15"/>
    <n v="48"/>
    <x v="3"/>
  </r>
  <r>
    <s v="APT01761"/>
    <d v="2025-08-19T00:00:00"/>
    <x v="147"/>
    <x v="4"/>
    <s v="Follow-up"/>
    <s v="Routine"/>
    <x v="0"/>
    <s v="Orthopaedics A"/>
    <s v="Royal South Hospital"/>
    <n v="15"/>
    <n v="6"/>
    <x v="2"/>
  </r>
  <r>
    <s v="APT01762"/>
    <d v="2025-08-27T00:00:00"/>
    <x v="297"/>
    <x v="0"/>
    <s v="Follow-up"/>
    <s v="Urgent"/>
    <x v="2"/>
    <s v="Dermatology A"/>
    <s v="Royal South Hospital"/>
    <n v="15"/>
    <n v="29"/>
    <x v="1"/>
  </r>
  <r>
    <s v="APT01763"/>
    <d v="2025-04-04T00:00:00"/>
    <x v="9"/>
    <x v="1"/>
    <s v="Follow-up"/>
    <s v="Urgent"/>
    <x v="0"/>
    <s v="Cardiology A"/>
    <s v="Riverside Clinic"/>
    <n v="15"/>
    <n v="37"/>
    <x v="1"/>
  </r>
  <r>
    <s v="APT01764"/>
    <d v="2025-11-06T00:00:00"/>
    <x v="199"/>
    <x v="4"/>
    <s v="New"/>
    <s v="Routine"/>
    <x v="2"/>
    <s v="Orthopaedics B"/>
    <s v="Royal South Hospital"/>
    <n v="30"/>
    <n v="49"/>
    <x v="3"/>
  </r>
  <r>
    <s v="APT01765"/>
    <d v="2025-10-27T00:00:00"/>
    <x v="324"/>
    <x v="1"/>
    <s v="New"/>
    <s v="Routine"/>
    <x v="1"/>
    <s v="Cardiology B"/>
    <s v="Central Outpatients"/>
    <n v="30"/>
    <n v="51"/>
    <x v="3"/>
  </r>
  <r>
    <s v="APT01766"/>
    <d v="2026-03-07T00:00:00"/>
    <x v="52"/>
    <x v="0"/>
    <s v="Follow-up"/>
    <s v="Routine"/>
    <x v="0"/>
    <s v="Dermatology A"/>
    <s v="Royal South Hospital"/>
    <n v="30"/>
    <n v="40"/>
    <x v="1"/>
  </r>
  <r>
    <s v="APT01767"/>
    <d v="2025-10-01T00:00:00"/>
    <x v="96"/>
    <x v="3"/>
    <s v="New"/>
    <s v="Urgent"/>
    <x v="0"/>
    <s v="Neurology B"/>
    <s v="Riverside Clinic"/>
    <n v="30"/>
    <n v="45"/>
    <x v="3"/>
  </r>
  <r>
    <s v="APT01768"/>
    <d v="2025-09-18T00:00:00"/>
    <x v="44"/>
    <x v="1"/>
    <s v="Follow-up"/>
    <s v="Routine"/>
    <x v="0"/>
    <s v="Cardiology B"/>
    <s v="Riverside Clinic"/>
    <n v="30"/>
    <n v="36"/>
    <x v="1"/>
  </r>
  <r>
    <s v="APT01769"/>
    <d v="2025-04-25T00:00:00"/>
    <x v="164"/>
    <x v="1"/>
    <s v="Follow-up"/>
    <s v="Routine"/>
    <x v="0"/>
    <s v="Cardiology B"/>
    <s v="Royal South Hospital"/>
    <n v="15"/>
    <n v="22"/>
    <x v="0"/>
  </r>
  <r>
    <s v="APT01770"/>
    <d v="2025-06-11T00:00:00"/>
    <x v="209"/>
    <x v="1"/>
    <s v="New"/>
    <s v="Routine"/>
    <x v="0"/>
    <s v="Cardiology A"/>
    <s v="Riverside Clinic"/>
    <n v="45"/>
    <n v="30"/>
    <x v="1"/>
  </r>
  <r>
    <s v="APT01771"/>
    <d v="2025-08-02T00:00:00"/>
    <x v="215"/>
    <x v="4"/>
    <s v="New"/>
    <s v="Urgent"/>
    <x v="0"/>
    <s v="Orthopaedics A"/>
    <s v="Royal South Hospital"/>
    <n v="30"/>
    <n v="35"/>
    <x v="1"/>
  </r>
  <r>
    <s v="APT01772"/>
    <d v="2025-08-16T00:00:00"/>
    <x v="121"/>
    <x v="0"/>
    <s v="New"/>
    <s v="Routine"/>
    <x v="1"/>
    <s v="Dermatology A"/>
    <s v="Royal South Hospital"/>
    <n v="30"/>
    <n v="34"/>
    <x v="1"/>
  </r>
  <r>
    <s v="APT01773"/>
    <d v="2025-08-11T00:00:00"/>
    <x v="66"/>
    <x v="3"/>
    <s v="New"/>
    <s v="Routine"/>
    <x v="0"/>
    <s v="Neurology A"/>
    <s v="Riverside Clinic"/>
    <n v="30"/>
    <n v="2"/>
    <x v="2"/>
  </r>
  <r>
    <s v="APT01774"/>
    <d v="2025-08-22T00:00:00"/>
    <x v="245"/>
    <x v="4"/>
    <s v="Follow-up"/>
    <s v="Urgent"/>
    <x v="0"/>
    <s v="Orthopaedics B"/>
    <s v="Royal South Hospital"/>
    <n v="15"/>
    <n v="27"/>
    <x v="0"/>
  </r>
  <r>
    <s v="APT01775"/>
    <d v="2026-01-05T00:00:00"/>
    <x v="195"/>
    <x v="3"/>
    <s v="New"/>
    <s v="Routine"/>
    <x v="0"/>
    <s v="Neurology B"/>
    <s v="Central Outpatients"/>
    <n v="30"/>
    <n v="36"/>
    <x v="1"/>
  </r>
  <r>
    <s v="APT01776"/>
    <d v="2025-05-18T00:00:00"/>
    <x v="226"/>
    <x v="2"/>
    <s v="New"/>
    <s v="Routine"/>
    <x v="0"/>
    <s v="Gastro B"/>
    <s v="Riverside Clinic"/>
    <n v="30"/>
    <n v="29"/>
    <x v="1"/>
  </r>
  <r>
    <s v="APT01777"/>
    <d v="2025-07-30T00:00:00"/>
    <x v="112"/>
    <x v="2"/>
    <s v="New"/>
    <s v="Routine"/>
    <x v="0"/>
    <s v="Gastro B"/>
    <s v="Royal South Hospital"/>
    <n v="30"/>
    <n v="30"/>
    <x v="1"/>
  </r>
  <r>
    <s v="APT01778"/>
    <d v="2025-05-30T00:00:00"/>
    <x v="286"/>
    <x v="0"/>
    <s v="New"/>
    <s v="Routine"/>
    <x v="0"/>
    <s v="Dermatology B"/>
    <s v="Royal South Hospital"/>
    <n v="30"/>
    <n v="43"/>
    <x v="3"/>
  </r>
  <r>
    <s v="APT01779"/>
    <d v="2025-07-22T00:00:00"/>
    <x v="391"/>
    <x v="2"/>
    <s v="Follow-up"/>
    <s v="Routine"/>
    <x v="0"/>
    <s v="Gastro B"/>
    <s v="Central Outpatients"/>
    <n v="15"/>
    <n v="15"/>
    <x v="0"/>
  </r>
  <r>
    <s v="APT01780"/>
    <d v="2025-12-06T00:00:00"/>
    <x v="169"/>
    <x v="4"/>
    <s v="Follow-up"/>
    <s v="Routine"/>
    <x v="0"/>
    <s v="Orthopaedics A"/>
    <s v="Royal South Hospital"/>
    <n v="30"/>
    <n v="5"/>
    <x v="2"/>
  </r>
  <r>
    <s v="APT01781"/>
    <d v="2025-04-18T00:00:00"/>
    <x v="6"/>
    <x v="4"/>
    <s v="Follow-up"/>
    <s v="Routine"/>
    <x v="1"/>
    <s v="Orthopaedics A"/>
    <s v="Riverside Clinic"/>
    <n v="15"/>
    <n v="28"/>
    <x v="0"/>
  </r>
  <r>
    <s v="APT01782"/>
    <d v="2025-08-02T00:00:00"/>
    <x v="121"/>
    <x v="2"/>
    <s v="Follow-up"/>
    <s v="Routine"/>
    <x v="1"/>
    <s v="Gastro B"/>
    <s v="Royal South Hospital"/>
    <n v="15"/>
    <n v="48"/>
    <x v="3"/>
  </r>
  <r>
    <s v="APT01783"/>
    <d v="2025-04-09T00:00:00"/>
    <x v="155"/>
    <x v="0"/>
    <s v="New"/>
    <s v="Routine"/>
    <x v="0"/>
    <s v="Dermatology B"/>
    <s v="Central Outpatients"/>
    <n v="30"/>
    <n v="65"/>
    <x v="4"/>
  </r>
  <r>
    <s v="APT01784"/>
    <d v="2026-03-14T00:00:00"/>
    <x v="332"/>
    <x v="4"/>
    <s v="Follow-up"/>
    <s v="Urgent"/>
    <x v="2"/>
    <s v="Orthopaedics A"/>
    <s v="Royal South Hospital"/>
    <n v="15"/>
    <n v="49"/>
    <x v="3"/>
  </r>
  <r>
    <s v="APT01785"/>
    <d v="2025-12-21T00:00:00"/>
    <x v="364"/>
    <x v="1"/>
    <s v="New"/>
    <s v="Routine"/>
    <x v="2"/>
    <s v="Cardiology B"/>
    <s v="Royal South Hospital"/>
    <n v="30"/>
    <n v="8"/>
    <x v="2"/>
  </r>
  <r>
    <s v="APT01786"/>
    <d v="2025-06-28T00:00:00"/>
    <x v="393"/>
    <x v="4"/>
    <s v="Follow-up"/>
    <s v="Urgent"/>
    <x v="0"/>
    <s v="Orthopaedics B"/>
    <s v="Riverside Clinic"/>
    <n v="30"/>
    <n v="30"/>
    <x v="1"/>
  </r>
  <r>
    <s v="APT01787"/>
    <d v="2025-06-12T00:00:00"/>
    <x v="280"/>
    <x v="0"/>
    <s v="New"/>
    <s v="Routine"/>
    <x v="2"/>
    <s v="Dermatology A"/>
    <s v="Royal South Hospital"/>
    <n v="45"/>
    <n v="39"/>
    <x v="1"/>
  </r>
  <r>
    <s v="APT01788"/>
    <d v="2025-05-07T00:00:00"/>
    <x v="378"/>
    <x v="3"/>
    <s v="Follow-up"/>
    <s v="Routine"/>
    <x v="0"/>
    <s v="Neurology B"/>
    <s v="Riverside Clinic"/>
    <n v="15"/>
    <n v="38"/>
    <x v="1"/>
  </r>
  <r>
    <s v="APT01789"/>
    <d v="2025-09-20T00:00:00"/>
    <x v="122"/>
    <x v="4"/>
    <s v="New"/>
    <s v="Routine"/>
    <x v="0"/>
    <s v="Orthopaedics A"/>
    <s v="Royal South Hospital"/>
    <n v="30"/>
    <n v="44"/>
    <x v="3"/>
  </r>
  <r>
    <s v="APT01790"/>
    <d v="2025-12-31T00:00:00"/>
    <x v="177"/>
    <x v="2"/>
    <s v="Follow-up"/>
    <s v="Urgent"/>
    <x v="0"/>
    <s v="Gastro A"/>
    <s v="Royal South Hospital"/>
    <n v="15"/>
    <n v="18"/>
    <x v="0"/>
  </r>
  <r>
    <s v="APT01791"/>
    <d v="2025-10-30T00:00:00"/>
    <x v="197"/>
    <x v="1"/>
    <s v="New"/>
    <s v="Routine"/>
    <x v="1"/>
    <s v="Cardiology B"/>
    <s v="Royal South Hospital"/>
    <n v="30"/>
    <n v="36"/>
    <x v="1"/>
  </r>
  <r>
    <s v="APT01792"/>
    <d v="2026-02-15T00:00:00"/>
    <x v="256"/>
    <x v="4"/>
    <s v="Follow-up"/>
    <s v="Routine"/>
    <x v="1"/>
    <s v="Orthopaedics B"/>
    <s v="Riverside Clinic"/>
    <n v="15"/>
    <n v="42"/>
    <x v="1"/>
  </r>
  <r>
    <s v="APT01793"/>
    <d v="2025-08-04T00:00:00"/>
    <x v="117"/>
    <x v="0"/>
    <s v="New"/>
    <s v="Routine"/>
    <x v="2"/>
    <s v="Dermatology A"/>
    <s v="Central Outpatients"/>
    <n v="45"/>
    <n v="49"/>
    <x v="3"/>
  </r>
  <r>
    <s v="APT01794"/>
    <d v="2025-07-11T00:00:00"/>
    <x v="8"/>
    <x v="0"/>
    <s v="Follow-up"/>
    <s v="Routine"/>
    <x v="2"/>
    <s v="Dermatology B"/>
    <s v="Royal South Hospital"/>
    <n v="15"/>
    <n v="20"/>
    <x v="0"/>
  </r>
  <r>
    <s v="APT01795"/>
    <d v="2025-09-22T00:00:00"/>
    <x v="240"/>
    <x v="2"/>
    <s v="Follow-up"/>
    <s v="Routine"/>
    <x v="0"/>
    <s v="Gastro B"/>
    <s v="Central Outpatients"/>
    <n v="30"/>
    <n v="28"/>
    <x v="0"/>
  </r>
  <r>
    <s v="APT01796"/>
    <d v="2025-06-13T00:00:00"/>
    <x v="322"/>
    <x v="2"/>
    <s v="New"/>
    <s v="Routine"/>
    <x v="0"/>
    <s v="Gastro B"/>
    <s v="Central Outpatients"/>
    <n v="30"/>
    <n v="2"/>
    <x v="2"/>
  </r>
  <r>
    <s v="APT01797"/>
    <d v="2026-03-22T00:00:00"/>
    <x v="275"/>
    <x v="3"/>
    <s v="New"/>
    <s v="Routine"/>
    <x v="0"/>
    <s v="Neurology A"/>
    <s v="Royal South Hospital"/>
    <n v="30"/>
    <n v="23"/>
    <x v="0"/>
  </r>
  <r>
    <s v="APT01798"/>
    <d v="2025-06-07T00:00:00"/>
    <x v="279"/>
    <x v="1"/>
    <s v="New"/>
    <s v="Urgent"/>
    <x v="0"/>
    <s v="Cardiology B"/>
    <s v="Royal South Hospital"/>
    <n v="30"/>
    <n v="25"/>
    <x v="0"/>
  </r>
  <r>
    <s v="APT01799"/>
    <d v="2025-09-22T00:00:00"/>
    <x v="369"/>
    <x v="2"/>
    <s v="Follow-up"/>
    <s v="Routine"/>
    <x v="0"/>
    <s v="Gastro B"/>
    <s v="Royal South Hospital"/>
    <n v="15"/>
    <n v="16"/>
    <x v="0"/>
  </r>
  <r>
    <s v="APT01800"/>
    <d v="2025-10-08T00:00:00"/>
    <x v="64"/>
    <x v="4"/>
    <s v="Follow-up"/>
    <s v="Routine"/>
    <x v="2"/>
    <s v="Orthopaedics A"/>
    <s v="Royal South Hospital"/>
    <n v="15"/>
    <n v="37"/>
    <x v="1"/>
  </r>
  <r>
    <s v="APT01801"/>
    <d v="2025-04-21T00:00:00"/>
    <x v="42"/>
    <x v="1"/>
    <s v="New"/>
    <s v="Routine"/>
    <x v="0"/>
    <s v="Cardiology B"/>
    <s v="Riverside Clinic"/>
    <n v="45"/>
    <n v="33"/>
    <x v="1"/>
  </r>
  <r>
    <s v="APT01802"/>
    <d v="2025-09-18T00:00:00"/>
    <x v="273"/>
    <x v="2"/>
    <s v="New"/>
    <s v="Urgent"/>
    <x v="0"/>
    <s v="Gastro B"/>
    <s v="Riverside Clinic"/>
    <n v="30"/>
    <n v="2"/>
    <x v="2"/>
  </r>
  <r>
    <s v="APT01803"/>
    <d v="2025-09-13T00:00:00"/>
    <x v="49"/>
    <x v="3"/>
    <s v="New"/>
    <s v="Routine"/>
    <x v="2"/>
    <s v="Neurology A"/>
    <s v="Royal South Hospital"/>
    <n v="30"/>
    <n v="38"/>
    <x v="1"/>
  </r>
  <r>
    <s v="APT01804"/>
    <d v="2025-07-04T00:00:00"/>
    <x v="138"/>
    <x v="4"/>
    <s v="New"/>
    <s v="Routine"/>
    <x v="1"/>
    <s v="Orthopaedics A"/>
    <s v="Riverside Clinic"/>
    <n v="30"/>
    <n v="18"/>
    <x v="0"/>
  </r>
  <r>
    <s v="APT01805"/>
    <d v="2025-05-17T00:00:00"/>
    <x v="130"/>
    <x v="2"/>
    <s v="Follow-up"/>
    <s v="Routine"/>
    <x v="0"/>
    <s v="Gastro A"/>
    <s v="Royal South Hospital"/>
    <n v="15"/>
    <n v="43"/>
    <x v="3"/>
  </r>
  <r>
    <s v="APT01806"/>
    <d v="2025-04-17T00:00:00"/>
    <x v="345"/>
    <x v="4"/>
    <s v="New"/>
    <s v="Routine"/>
    <x v="0"/>
    <s v="Orthopaedics A"/>
    <s v="Central Outpatients"/>
    <n v="30"/>
    <n v="11"/>
    <x v="2"/>
  </r>
  <r>
    <s v="APT01807"/>
    <d v="2025-04-04T00:00:00"/>
    <x v="115"/>
    <x v="0"/>
    <s v="New"/>
    <s v="Routine"/>
    <x v="0"/>
    <s v="Dermatology A"/>
    <s v="Riverside Clinic"/>
    <n v="30"/>
    <n v="35"/>
    <x v="1"/>
  </r>
  <r>
    <s v="APT01808"/>
    <d v="2025-09-23T00:00:00"/>
    <x v="19"/>
    <x v="0"/>
    <s v="Follow-up"/>
    <s v="Routine"/>
    <x v="0"/>
    <s v="Dermatology B"/>
    <s v="Royal South Hospital"/>
    <n v="30"/>
    <n v="29"/>
    <x v="1"/>
  </r>
  <r>
    <s v="APT01809"/>
    <d v="2025-05-03T00:00:00"/>
    <x v="248"/>
    <x v="4"/>
    <s v="Follow-up"/>
    <s v="Routine"/>
    <x v="0"/>
    <s v="Orthopaedics A"/>
    <s v="Riverside Clinic"/>
    <n v="30"/>
    <n v="40"/>
    <x v="1"/>
  </r>
  <r>
    <s v="APT01810"/>
    <d v="2026-03-16T00:00:00"/>
    <x v="11"/>
    <x v="4"/>
    <s v="Follow-up"/>
    <s v="Routine"/>
    <x v="0"/>
    <s v="Orthopaedics A"/>
    <s v="Royal South Hospital"/>
    <n v="15"/>
    <n v="37"/>
    <x v="1"/>
  </r>
  <r>
    <s v="APT01811"/>
    <d v="2025-06-29T00:00:00"/>
    <x v="296"/>
    <x v="2"/>
    <s v="New"/>
    <s v="Urgent"/>
    <x v="0"/>
    <s v="Gastro B"/>
    <s v="Central Outpatients"/>
    <n v="45"/>
    <n v="30"/>
    <x v="1"/>
  </r>
  <r>
    <s v="APT01812"/>
    <d v="2025-11-24T00:00:00"/>
    <x v="38"/>
    <x v="2"/>
    <s v="Follow-up"/>
    <s v="Urgent"/>
    <x v="0"/>
    <s v="Gastro B"/>
    <s v="Royal South Hospital"/>
    <n v="30"/>
    <n v="7"/>
    <x v="2"/>
  </r>
  <r>
    <s v="APT01813"/>
    <d v="2025-12-02T00:00:00"/>
    <x v="257"/>
    <x v="2"/>
    <s v="Follow-up"/>
    <s v="Routine"/>
    <x v="0"/>
    <s v="Gastro A"/>
    <s v="Central Outpatients"/>
    <n v="30"/>
    <n v="8"/>
    <x v="2"/>
  </r>
  <r>
    <s v="APT01814"/>
    <d v="2025-09-28T00:00:00"/>
    <x v="19"/>
    <x v="1"/>
    <s v="Follow-up"/>
    <s v="Routine"/>
    <x v="0"/>
    <s v="Cardiology A"/>
    <s v="Central Outpatients"/>
    <n v="15"/>
    <n v="24"/>
    <x v="0"/>
  </r>
  <r>
    <s v="APT01815"/>
    <d v="2026-02-16T00:00:00"/>
    <x v="368"/>
    <x v="4"/>
    <s v="New"/>
    <s v="Routine"/>
    <x v="0"/>
    <s v="Orthopaedics A"/>
    <s v="Riverside Clinic"/>
    <n v="30"/>
    <n v="34"/>
    <x v="1"/>
  </r>
  <r>
    <s v="APT01816"/>
    <d v="2025-05-11T00:00:00"/>
    <x v="31"/>
    <x v="4"/>
    <s v="Follow-up"/>
    <s v="Routine"/>
    <x v="0"/>
    <s v="Orthopaedics A"/>
    <s v="Riverside Clinic"/>
    <n v="15"/>
    <n v="24"/>
    <x v="0"/>
  </r>
  <r>
    <s v="APT01817"/>
    <d v="2025-06-25T00:00:00"/>
    <x v="238"/>
    <x v="2"/>
    <s v="Follow-up"/>
    <s v="Routine"/>
    <x v="0"/>
    <s v="Gastro A"/>
    <s v="Riverside Clinic"/>
    <n v="15"/>
    <n v="46"/>
    <x v="3"/>
  </r>
  <r>
    <s v="APT01818"/>
    <d v="2025-07-01T00:00:00"/>
    <x v="382"/>
    <x v="0"/>
    <s v="Follow-up"/>
    <s v="Routine"/>
    <x v="0"/>
    <s v="Dermatology A"/>
    <s v="Royal South Hospital"/>
    <n v="15"/>
    <n v="29"/>
    <x v="1"/>
  </r>
  <r>
    <s v="APT01819"/>
    <d v="2025-05-20T00:00:00"/>
    <x v="34"/>
    <x v="0"/>
    <s v="Follow-up"/>
    <s v="Routine"/>
    <x v="0"/>
    <s v="Dermatology B"/>
    <s v="Central Outpatients"/>
    <n v="15"/>
    <n v="17"/>
    <x v="0"/>
  </r>
  <r>
    <s v="APT01820"/>
    <d v="2025-07-17T00:00:00"/>
    <x v="167"/>
    <x v="1"/>
    <s v="Follow-up"/>
    <s v="Routine"/>
    <x v="2"/>
    <s v="Cardiology A"/>
    <s v="Royal South Hospital"/>
    <n v="15"/>
    <n v="29"/>
    <x v="1"/>
  </r>
  <r>
    <s v="APT01821"/>
    <d v="2025-07-23T00:00:00"/>
    <x v="105"/>
    <x v="3"/>
    <s v="Follow-up"/>
    <s v="Routine"/>
    <x v="0"/>
    <s v="Neurology B"/>
    <s v="Central Outpatients"/>
    <n v="15"/>
    <n v="39"/>
    <x v="1"/>
  </r>
  <r>
    <s v="APT01822"/>
    <d v="2026-01-04T00:00:00"/>
    <x v="1"/>
    <x v="2"/>
    <s v="Follow-up"/>
    <s v="Routine"/>
    <x v="0"/>
    <s v="Gastro A"/>
    <s v="Riverside Clinic"/>
    <n v="15"/>
    <n v="40"/>
    <x v="1"/>
  </r>
  <r>
    <s v="APT01823"/>
    <d v="2025-07-19T00:00:00"/>
    <x v="297"/>
    <x v="0"/>
    <s v="New"/>
    <s v="Routine"/>
    <x v="0"/>
    <s v="Dermatology A"/>
    <s v="Royal South Hospital"/>
    <n v="30"/>
    <n v="68"/>
    <x v="4"/>
  </r>
  <r>
    <s v="APT01824"/>
    <d v="2026-02-14T00:00:00"/>
    <x v="377"/>
    <x v="3"/>
    <s v="New"/>
    <s v="Routine"/>
    <x v="0"/>
    <s v="Neurology A"/>
    <s v="Royal South Hospital"/>
    <n v="30"/>
    <n v="22"/>
    <x v="0"/>
  </r>
  <r>
    <s v="APT01825"/>
    <d v="2026-01-07T00:00:00"/>
    <x v="185"/>
    <x v="4"/>
    <s v="Follow-up"/>
    <s v="Routine"/>
    <x v="0"/>
    <s v="Orthopaedics A"/>
    <s v="Royal South Hospital"/>
    <n v="15"/>
    <n v="33"/>
    <x v="1"/>
  </r>
  <r>
    <s v="APT01826"/>
    <d v="2026-02-23T00:00:00"/>
    <x v="253"/>
    <x v="1"/>
    <s v="Follow-up"/>
    <s v="Routine"/>
    <x v="0"/>
    <s v="Cardiology A"/>
    <s v="Royal South Hospital"/>
    <n v="30"/>
    <n v="42"/>
    <x v="1"/>
  </r>
  <r>
    <s v="APT01827"/>
    <d v="2025-05-09T00:00:00"/>
    <x v="248"/>
    <x v="2"/>
    <s v="Follow-up"/>
    <s v="Routine"/>
    <x v="1"/>
    <s v="Gastro A"/>
    <s v="Riverside Clinic"/>
    <n v="15"/>
    <n v="34"/>
    <x v="1"/>
  </r>
  <r>
    <s v="APT01828"/>
    <d v="2026-03-25T00:00:00"/>
    <x v="239"/>
    <x v="2"/>
    <s v="Follow-up"/>
    <s v="Routine"/>
    <x v="0"/>
    <s v="Gastro A"/>
    <s v="Royal South Hospital"/>
    <n v="30"/>
    <n v="25"/>
    <x v="0"/>
  </r>
  <r>
    <s v="APT01829"/>
    <d v="2025-11-10T00:00:00"/>
    <x v="101"/>
    <x v="1"/>
    <s v="Follow-up"/>
    <s v="Urgent"/>
    <x v="0"/>
    <s v="Cardiology B"/>
    <s v="Central Outpatients"/>
    <n v="30"/>
    <n v="7"/>
    <x v="2"/>
  </r>
  <r>
    <s v="APT01830"/>
    <d v="2026-03-24T00:00:00"/>
    <x v="181"/>
    <x v="2"/>
    <s v="Follow-up"/>
    <s v="Routine"/>
    <x v="0"/>
    <s v="Gastro A"/>
    <s v="Royal South Hospital"/>
    <n v="30"/>
    <n v="25"/>
    <x v="0"/>
  </r>
  <r>
    <s v="APT01831"/>
    <d v="2025-08-08T00:00:00"/>
    <x v="372"/>
    <x v="3"/>
    <s v="New"/>
    <s v="Routine"/>
    <x v="2"/>
    <s v="Neurology B"/>
    <s v="Royal South Hospital"/>
    <n v="45"/>
    <n v="15"/>
    <x v="0"/>
  </r>
  <r>
    <s v="APT01832"/>
    <d v="2026-03-13T00:00:00"/>
    <x v="70"/>
    <x v="1"/>
    <s v="Follow-up"/>
    <s v="Routine"/>
    <x v="2"/>
    <s v="Cardiology A"/>
    <s v="Royal South Hospital"/>
    <n v="15"/>
    <n v="3"/>
    <x v="2"/>
  </r>
  <r>
    <s v="APT01833"/>
    <d v="2025-11-01T00:00:00"/>
    <x v="265"/>
    <x v="1"/>
    <s v="New"/>
    <s v="Routine"/>
    <x v="0"/>
    <s v="Cardiology A"/>
    <s v="Royal South Hospital"/>
    <n v="30"/>
    <n v="20"/>
    <x v="0"/>
  </r>
  <r>
    <s v="APT01834"/>
    <d v="2025-04-27T00:00:00"/>
    <x v="103"/>
    <x v="4"/>
    <s v="Follow-up"/>
    <s v="Routine"/>
    <x v="0"/>
    <s v="Orthopaedics A"/>
    <s v="Riverside Clinic"/>
    <n v="15"/>
    <n v="16"/>
    <x v="0"/>
  </r>
  <r>
    <s v="APT01835"/>
    <d v="2025-08-28T00:00:00"/>
    <x v="227"/>
    <x v="0"/>
    <s v="Follow-up"/>
    <s v="Routine"/>
    <x v="2"/>
    <s v="Dermatology A"/>
    <s v="Royal South Hospital"/>
    <n v="30"/>
    <n v="45"/>
    <x v="3"/>
  </r>
  <r>
    <s v="APT01836"/>
    <d v="2025-05-21T00:00:00"/>
    <x v="158"/>
    <x v="3"/>
    <s v="New"/>
    <s v="Routine"/>
    <x v="2"/>
    <s v="Neurology A"/>
    <s v="Riverside Clinic"/>
    <n v="30"/>
    <n v="45"/>
    <x v="3"/>
  </r>
  <r>
    <s v="APT01837"/>
    <d v="2026-03-09T00:00:00"/>
    <x v="371"/>
    <x v="3"/>
    <s v="New"/>
    <s v="Routine"/>
    <x v="0"/>
    <s v="Neurology A"/>
    <s v="Riverside Clinic"/>
    <n v="30"/>
    <n v="18"/>
    <x v="0"/>
  </r>
  <r>
    <s v="APT01838"/>
    <d v="2025-07-20T00:00:00"/>
    <x v="196"/>
    <x v="4"/>
    <s v="New"/>
    <s v="Urgent"/>
    <x v="2"/>
    <s v="Orthopaedics A"/>
    <s v="Royal South Hospital"/>
    <n v="45"/>
    <n v="30"/>
    <x v="1"/>
  </r>
  <r>
    <s v="APT01839"/>
    <d v="2025-06-20T00:00:00"/>
    <x v="244"/>
    <x v="3"/>
    <s v="Follow-up"/>
    <s v="Routine"/>
    <x v="0"/>
    <s v="Neurology A"/>
    <s v="Royal South Hospital"/>
    <n v="15"/>
    <n v="2"/>
    <x v="2"/>
  </r>
  <r>
    <s v="APT01840"/>
    <d v="2025-10-19T00:00:00"/>
    <x v="64"/>
    <x v="4"/>
    <s v="New"/>
    <s v="Urgent"/>
    <x v="0"/>
    <s v="Orthopaedics A"/>
    <s v="Royal South Hospital"/>
    <n v="30"/>
    <n v="26"/>
    <x v="0"/>
  </r>
  <r>
    <s v="APT01841"/>
    <d v="2025-09-02T00:00:00"/>
    <x v="108"/>
    <x v="3"/>
    <s v="New"/>
    <s v="Routine"/>
    <x v="0"/>
    <s v="Neurology B"/>
    <s v="Royal South Hospital"/>
    <n v="30"/>
    <n v="42"/>
    <x v="1"/>
  </r>
  <r>
    <s v="APT01842"/>
    <d v="2025-05-06T00:00:00"/>
    <x v="136"/>
    <x v="2"/>
    <s v="Follow-up"/>
    <s v="Routine"/>
    <x v="0"/>
    <s v="Gastro A"/>
    <s v="Riverside Clinic"/>
    <n v="30"/>
    <n v="49"/>
    <x v="3"/>
  </r>
  <r>
    <s v="APT01843"/>
    <d v="2026-01-23T00:00:00"/>
    <x v="299"/>
    <x v="0"/>
    <s v="New"/>
    <s v="Routine"/>
    <x v="1"/>
    <s v="Dermatology B"/>
    <s v="Royal South Hospital"/>
    <n v="30"/>
    <n v="22"/>
    <x v="0"/>
  </r>
  <r>
    <s v="APT01844"/>
    <d v="2026-02-02T00:00:00"/>
    <x v="371"/>
    <x v="0"/>
    <s v="Follow-up"/>
    <s v="Routine"/>
    <x v="0"/>
    <s v="Dermatology A"/>
    <s v="Royal South Hospital"/>
    <n v="15"/>
    <n v="53"/>
    <x v="3"/>
  </r>
  <r>
    <s v="APT01845"/>
    <d v="2025-12-27T00:00:00"/>
    <x v="46"/>
    <x v="2"/>
    <s v="Follow-up"/>
    <s v="Routine"/>
    <x v="0"/>
    <s v="Gastro A"/>
    <s v="Riverside Clinic"/>
    <n v="15"/>
    <n v="7"/>
    <x v="2"/>
  </r>
  <r>
    <s v="APT01846"/>
    <d v="2025-11-11T00:00:00"/>
    <x v="264"/>
    <x v="1"/>
    <s v="New"/>
    <s v="Urgent"/>
    <x v="0"/>
    <s v="Cardiology B"/>
    <s v="Royal South Hospital"/>
    <n v="30"/>
    <n v="12"/>
    <x v="2"/>
  </r>
  <r>
    <s v="APT01847"/>
    <d v="2025-08-25T00:00:00"/>
    <x v="251"/>
    <x v="2"/>
    <s v="New"/>
    <s v="Urgent"/>
    <x v="0"/>
    <s v="Gastro A"/>
    <s v="Central Outpatients"/>
    <n v="30"/>
    <n v="47"/>
    <x v="3"/>
  </r>
  <r>
    <s v="APT01848"/>
    <d v="2025-10-15T00:00:00"/>
    <x v="312"/>
    <x v="0"/>
    <s v="Follow-up"/>
    <s v="Routine"/>
    <x v="0"/>
    <s v="Dermatology A"/>
    <s v="Central Outpatients"/>
    <n v="30"/>
    <n v="65"/>
    <x v="4"/>
  </r>
  <r>
    <s v="APT01849"/>
    <d v="2025-10-07T00:00:00"/>
    <x v="303"/>
    <x v="1"/>
    <s v="Follow-up"/>
    <s v="Routine"/>
    <x v="0"/>
    <s v="Cardiology A"/>
    <s v="Riverside Clinic"/>
    <n v="15"/>
    <n v="43"/>
    <x v="3"/>
  </r>
  <r>
    <s v="APT01850"/>
    <d v="2025-05-31T00:00:00"/>
    <x v="39"/>
    <x v="0"/>
    <s v="New"/>
    <s v="Routine"/>
    <x v="0"/>
    <s v="Dermatology A"/>
    <s v="Riverside Clinic"/>
    <n v="45"/>
    <n v="34"/>
    <x v="1"/>
  </r>
  <r>
    <s v="APT01851"/>
    <d v="2025-04-30T00:00:00"/>
    <x v="331"/>
    <x v="4"/>
    <s v="Follow-up"/>
    <s v="Routine"/>
    <x v="0"/>
    <s v="Orthopaedics B"/>
    <s v="Royal South Hospital"/>
    <n v="15"/>
    <n v="2"/>
    <x v="2"/>
  </r>
  <r>
    <s v="APT01852"/>
    <d v="2025-07-02T00:00:00"/>
    <x v="39"/>
    <x v="2"/>
    <s v="Follow-up"/>
    <s v="Routine"/>
    <x v="0"/>
    <s v="Gastro B"/>
    <s v="Royal South Hospital"/>
    <n v="30"/>
    <n v="2"/>
    <x v="2"/>
  </r>
  <r>
    <s v="APT01853"/>
    <d v="2025-09-13T00:00:00"/>
    <x v="240"/>
    <x v="4"/>
    <s v="New"/>
    <s v="Routine"/>
    <x v="0"/>
    <s v="Orthopaedics A"/>
    <s v="Central Outpatients"/>
    <n v="30"/>
    <n v="37"/>
    <x v="1"/>
  </r>
  <r>
    <s v="APT01854"/>
    <d v="2025-05-29T00:00:00"/>
    <x v="349"/>
    <x v="2"/>
    <s v="Follow-up"/>
    <s v="Routine"/>
    <x v="0"/>
    <s v="Gastro A"/>
    <s v="Royal South Hospital"/>
    <n v="15"/>
    <n v="28"/>
    <x v="0"/>
  </r>
  <r>
    <s v="APT01855"/>
    <d v="2025-05-09T00:00:00"/>
    <x v="42"/>
    <x v="4"/>
    <s v="Follow-up"/>
    <s v="Routine"/>
    <x v="2"/>
    <s v="Orthopaedics B"/>
    <s v="Royal South Hospital"/>
    <n v="30"/>
    <n v="15"/>
    <x v="0"/>
  </r>
  <r>
    <s v="APT01856"/>
    <d v="2026-02-05T00:00:00"/>
    <x v="83"/>
    <x v="4"/>
    <s v="New"/>
    <s v="Routine"/>
    <x v="0"/>
    <s v="Orthopaedics A"/>
    <s v="Riverside Clinic"/>
    <n v="30"/>
    <n v="36"/>
    <x v="1"/>
  </r>
  <r>
    <s v="APT01857"/>
    <d v="2025-08-15T00:00:00"/>
    <x v="3"/>
    <x v="1"/>
    <s v="Follow-up"/>
    <s v="Routine"/>
    <x v="0"/>
    <s v="Cardiology B"/>
    <s v="Riverside Clinic"/>
    <n v="15"/>
    <n v="37"/>
    <x v="1"/>
  </r>
  <r>
    <s v="APT01858"/>
    <d v="2025-10-30T00:00:00"/>
    <x v="95"/>
    <x v="4"/>
    <s v="New"/>
    <s v="Urgent"/>
    <x v="0"/>
    <s v="Orthopaedics B"/>
    <s v="Riverside Clinic"/>
    <n v="45"/>
    <n v="51"/>
    <x v="3"/>
  </r>
  <r>
    <s v="APT01859"/>
    <d v="2025-10-08T00:00:00"/>
    <x v="64"/>
    <x v="1"/>
    <s v="New"/>
    <s v="Routine"/>
    <x v="0"/>
    <s v="Cardiology B"/>
    <s v="Royal South Hospital"/>
    <n v="30"/>
    <n v="37"/>
    <x v="1"/>
  </r>
  <r>
    <s v="APT01860"/>
    <d v="2025-12-24T00:00:00"/>
    <x v="74"/>
    <x v="2"/>
    <s v="New"/>
    <s v="Routine"/>
    <x v="2"/>
    <s v="Gastro B"/>
    <s v="Central Outpatients"/>
    <n v="30"/>
    <n v="57"/>
    <x v="4"/>
  </r>
  <r>
    <s v="APT01861"/>
    <d v="2025-12-26T00:00:00"/>
    <x v="213"/>
    <x v="4"/>
    <s v="Follow-up"/>
    <s v="Routine"/>
    <x v="0"/>
    <s v="Orthopaedics A"/>
    <s v="Royal South Hospital"/>
    <n v="15"/>
    <n v="35"/>
    <x v="1"/>
  </r>
  <r>
    <s v="APT01862"/>
    <d v="2025-07-17T00:00:00"/>
    <x v="146"/>
    <x v="0"/>
    <s v="Follow-up"/>
    <s v="Urgent"/>
    <x v="0"/>
    <s v="Dermatology B"/>
    <s v="Central Outpatients"/>
    <n v="15"/>
    <n v="32"/>
    <x v="1"/>
  </r>
  <r>
    <s v="APT01863"/>
    <d v="2026-02-03T00:00:00"/>
    <x v="256"/>
    <x v="2"/>
    <s v="Follow-up"/>
    <s v="Routine"/>
    <x v="0"/>
    <s v="Gastro B"/>
    <s v="Royal South Hospital"/>
    <n v="30"/>
    <n v="54"/>
    <x v="3"/>
  </r>
  <r>
    <s v="APT01864"/>
    <d v="2025-08-14T00:00:00"/>
    <x v="105"/>
    <x v="0"/>
    <s v="New"/>
    <s v="Routine"/>
    <x v="0"/>
    <s v="Dermatology B"/>
    <s v="Central Outpatients"/>
    <n v="30"/>
    <n v="17"/>
    <x v="0"/>
  </r>
  <r>
    <s v="APT01865"/>
    <d v="2026-01-30T00:00:00"/>
    <x v="157"/>
    <x v="1"/>
    <s v="Follow-up"/>
    <s v="Routine"/>
    <x v="0"/>
    <s v="Cardiology B"/>
    <s v="Central Outpatients"/>
    <n v="15"/>
    <n v="85"/>
    <x v="4"/>
  </r>
  <r>
    <s v="APT01866"/>
    <d v="2025-08-26T00:00:00"/>
    <x v="319"/>
    <x v="1"/>
    <s v="Follow-up"/>
    <s v="Routine"/>
    <x v="0"/>
    <s v="Cardiology B"/>
    <s v="Royal South Hospital"/>
    <n v="15"/>
    <n v="41"/>
    <x v="1"/>
  </r>
  <r>
    <s v="APT01867"/>
    <d v="2025-05-11T00:00:00"/>
    <x v="62"/>
    <x v="1"/>
    <s v="New"/>
    <s v="Routine"/>
    <x v="0"/>
    <s v="Cardiology A"/>
    <s v="Central Outpatients"/>
    <n v="30"/>
    <n v="41"/>
    <x v="1"/>
  </r>
  <r>
    <s v="APT01868"/>
    <d v="2026-01-02T00:00:00"/>
    <x v="236"/>
    <x v="1"/>
    <s v="New"/>
    <s v="Routine"/>
    <x v="0"/>
    <s v="Cardiology B"/>
    <s v="Royal South Hospital"/>
    <n v="30"/>
    <n v="44"/>
    <x v="3"/>
  </r>
  <r>
    <s v="APT01869"/>
    <d v="2025-04-11T00:00:00"/>
    <x v="176"/>
    <x v="3"/>
    <s v="Follow-up"/>
    <s v="Urgent"/>
    <x v="0"/>
    <s v="Neurology B"/>
    <s v="Royal South Hospital"/>
    <n v="15"/>
    <n v="68"/>
    <x v="4"/>
  </r>
  <r>
    <s v="APT01870"/>
    <d v="2026-01-07T00:00:00"/>
    <x v="40"/>
    <x v="2"/>
    <s v="New"/>
    <s v="Routine"/>
    <x v="1"/>
    <s v="Gastro A"/>
    <s v="Royal South Hospital"/>
    <n v="45"/>
    <n v="49"/>
    <x v="3"/>
  </r>
  <r>
    <s v="APT01871"/>
    <d v="2025-04-16T00:00:00"/>
    <x v="386"/>
    <x v="2"/>
    <s v="Follow-up"/>
    <s v="Routine"/>
    <x v="2"/>
    <s v="Gastro B"/>
    <s v="Riverside Clinic"/>
    <n v="15"/>
    <n v="6"/>
    <x v="2"/>
  </r>
  <r>
    <s v="APT01872"/>
    <d v="2025-06-15T00:00:00"/>
    <x v="355"/>
    <x v="3"/>
    <s v="Follow-up"/>
    <s v="Routine"/>
    <x v="0"/>
    <s v="Neurology B"/>
    <s v="Royal South Hospital"/>
    <n v="15"/>
    <n v="60"/>
    <x v="4"/>
  </r>
  <r>
    <s v="APT01873"/>
    <d v="2025-11-06T00:00:00"/>
    <x v="306"/>
    <x v="1"/>
    <s v="New"/>
    <s v="Routine"/>
    <x v="0"/>
    <s v="Cardiology A"/>
    <s v="Riverside Clinic"/>
    <n v="45"/>
    <n v="28"/>
    <x v="0"/>
  </r>
  <r>
    <s v="APT01874"/>
    <d v="2026-03-09T00:00:00"/>
    <x v="275"/>
    <x v="0"/>
    <s v="Follow-up"/>
    <s v="Routine"/>
    <x v="0"/>
    <s v="Dermatology B"/>
    <s v="Central Outpatients"/>
    <n v="15"/>
    <n v="36"/>
    <x v="1"/>
  </r>
  <r>
    <s v="APT01875"/>
    <d v="2025-08-27T00:00:00"/>
    <x v="218"/>
    <x v="4"/>
    <s v="Follow-up"/>
    <s v="Routine"/>
    <x v="0"/>
    <s v="Orthopaedics B"/>
    <s v="Central Outpatients"/>
    <n v="15"/>
    <n v="11"/>
    <x v="2"/>
  </r>
  <r>
    <s v="APT01876"/>
    <d v="2025-05-14T00:00:00"/>
    <x v="80"/>
    <x v="4"/>
    <s v="Follow-up"/>
    <s v="Routine"/>
    <x v="2"/>
    <s v="Orthopaedics A"/>
    <s v="Royal South Hospital"/>
    <n v="15"/>
    <n v="44"/>
    <x v="3"/>
  </r>
  <r>
    <s v="APT01877"/>
    <d v="2025-06-24T00:00:00"/>
    <x v="174"/>
    <x v="2"/>
    <s v="Follow-up"/>
    <s v="Urgent"/>
    <x v="0"/>
    <s v="Gastro A"/>
    <s v="Riverside Clinic"/>
    <n v="15"/>
    <n v="23"/>
    <x v="0"/>
  </r>
  <r>
    <s v="APT01878"/>
    <d v="2026-02-21T00:00:00"/>
    <x v="256"/>
    <x v="1"/>
    <s v="Follow-up"/>
    <s v="Routine"/>
    <x v="0"/>
    <s v="Cardiology A"/>
    <s v="Royal South Hospital"/>
    <n v="15"/>
    <n v="36"/>
    <x v="1"/>
  </r>
  <r>
    <s v="APT01879"/>
    <d v="2025-12-21T00:00:00"/>
    <x v="310"/>
    <x v="4"/>
    <s v="Follow-up"/>
    <s v="Routine"/>
    <x v="0"/>
    <s v="Orthopaedics A"/>
    <s v="Royal South Hospital"/>
    <n v="15"/>
    <n v="29"/>
    <x v="1"/>
  </r>
  <r>
    <s v="APT01880"/>
    <d v="2025-05-07T00:00:00"/>
    <x v="259"/>
    <x v="4"/>
    <s v="New"/>
    <s v="Routine"/>
    <x v="0"/>
    <s v="Orthopaedics B"/>
    <s v="Central Outpatients"/>
    <n v="30"/>
    <n v="69"/>
    <x v="4"/>
  </r>
  <r>
    <s v="APT01881"/>
    <d v="2025-08-19T00:00:00"/>
    <x v="88"/>
    <x v="2"/>
    <s v="Follow-up"/>
    <s v="Urgent"/>
    <x v="0"/>
    <s v="Gastro B"/>
    <s v="Central Outpatients"/>
    <n v="15"/>
    <n v="70"/>
    <x v="4"/>
  </r>
  <r>
    <s v="APT01882"/>
    <d v="2025-07-06T00:00:00"/>
    <x v="238"/>
    <x v="0"/>
    <s v="New"/>
    <s v="Routine"/>
    <x v="2"/>
    <s v="Dermatology B"/>
    <s v="Royal South Hospital"/>
    <n v="30"/>
    <n v="35"/>
    <x v="1"/>
  </r>
  <r>
    <s v="APT01883"/>
    <d v="2025-06-04T00:00:00"/>
    <x v="47"/>
    <x v="1"/>
    <s v="Follow-up"/>
    <s v="Routine"/>
    <x v="0"/>
    <s v="Cardiology A"/>
    <s v="Royal South Hospital"/>
    <n v="15"/>
    <n v="36"/>
    <x v="1"/>
  </r>
  <r>
    <s v="APT01884"/>
    <d v="2026-02-03T00:00:00"/>
    <x v="293"/>
    <x v="2"/>
    <s v="Follow-up"/>
    <s v="Routine"/>
    <x v="0"/>
    <s v="Gastro B"/>
    <s v="Royal South Hospital"/>
    <n v="15"/>
    <n v="28"/>
    <x v="0"/>
  </r>
  <r>
    <s v="APT01885"/>
    <d v="2025-11-11T00:00:00"/>
    <x v="86"/>
    <x v="4"/>
    <s v="New"/>
    <s v="Urgent"/>
    <x v="2"/>
    <s v="Orthopaedics A"/>
    <s v="Royal South Hospital"/>
    <n v="45"/>
    <n v="54"/>
    <x v="3"/>
  </r>
  <r>
    <s v="APT01886"/>
    <d v="2025-06-05T00:00:00"/>
    <x v="39"/>
    <x v="3"/>
    <s v="Follow-up"/>
    <s v="Routine"/>
    <x v="0"/>
    <s v="Neurology A"/>
    <s v="Royal South Hospital"/>
    <n v="15"/>
    <n v="29"/>
    <x v="1"/>
  </r>
  <r>
    <s v="APT01887"/>
    <d v="2025-11-23T00:00:00"/>
    <x v="95"/>
    <x v="0"/>
    <s v="New"/>
    <s v="Routine"/>
    <x v="0"/>
    <s v="Dermatology B"/>
    <s v="Royal South Hospital"/>
    <n v="30"/>
    <n v="27"/>
    <x v="0"/>
  </r>
  <r>
    <s v="APT01888"/>
    <d v="2025-08-29T00:00:00"/>
    <x v="240"/>
    <x v="3"/>
    <s v="New"/>
    <s v="Routine"/>
    <x v="0"/>
    <s v="Neurology B"/>
    <s v="Royal South Hospital"/>
    <n v="30"/>
    <n v="52"/>
    <x v="3"/>
  </r>
  <r>
    <s v="APT01889"/>
    <d v="2025-04-23T00:00:00"/>
    <x v="305"/>
    <x v="4"/>
    <s v="New"/>
    <s v="Routine"/>
    <x v="0"/>
    <s v="Orthopaedics A"/>
    <s v="Royal South Hospital"/>
    <n v="30"/>
    <n v="25"/>
    <x v="0"/>
  </r>
  <r>
    <s v="APT01890"/>
    <d v="2025-09-11T00:00:00"/>
    <x v="57"/>
    <x v="2"/>
    <s v="Follow-up"/>
    <s v="Routine"/>
    <x v="0"/>
    <s v="Gastro A"/>
    <s v="Central Outpatients"/>
    <n v="15"/>
    <n v="34"/>
    <x v="1"/>
  </r>
  <r>
    <s v="APT01891"/>
    <d v="2025-06-07T00:00:00"/>
    <x v="155"/>
    <x v="4"/>
    <s v="New"/>
    <s v="Routine"/>
    <x v="0"/>
    <s v="Orthopaedics B"/>
    <s v="Riverside Clinic"/>
    <n v="45"/>
    <n v="6"/>
    <x v="2"/>
  </r>
  <r>
    <s v="APT01892"/>
    <d v="2025-06-29T00:00:00"/>
    <x v="167"/>
    <x v="0"/>
    <s v="Follow-up"/>
    <s v="Routine"/>
    <x v="0"/>
    <s v="Dermatology B"/>
    <s v="Riverside Clinic"/>
    <n v="15"/>
    <n v="47"/>
    <x v="3"/>
  </r>
  <r>
    <s v="APT01893"/>
    <d v="2026-02-14T00:00:00"/>
    <x v="394"/>
    <x v="0"/>
    <s v="Follow-up"/>
    <s v="Urgent"/>
    <x v="0"/>
    <s v="Dermatology B"/>
    <s v="Royal South Hospital"/>
    <n v="30"/>
    <n v="69"/>
    <x v="4"/>
  </r>
  <r>
    <s v="APT01894"/>
    <d v="2025-12-15T00:00:00"/>
    <x v="165"/>
    <x v="2"/>
    <s v="New"/>
    <s v="Routine"/>
    <x v="0"/>
    <s v="Gastro A"/>
    <s v="Central Outpatients"/>
    <n v="30"/>
    <n v="47"/>
    <x v="3"/>
  </r>
  <r>
    <s v="APT01895"/>
    <d v="2025-05-19T00:00:00"/>
    <x v="328"/>
    <x v="2"/>
    <s v="Follow-up"/>
    <s v="Urgent"/>
    <x v="2"/>
    <s v="Gastro A"/>
    <s v="Royal South Hospital"/>
    <n v="15"/>
    <n v="61"/>
    <x v="4"/>
  </r>
  <r>
    <s v="APT01896"/>
    <d v="2026-02-04T00:00:00"/>
    <x v="317"/>
    <x v="4"/>
    <s v="New"/>
    <s v="Routine"/>
    <x v="0"/>
    <s v="Orthopaedics A"/>
    <s v="Central Outpatients"/>
    <n v="30"/>
    <n v="19"/>
    <x v="0"/>
  </r>
  <r>
    <s v="APT01897"/>
    <d v="2025-10-27T00:00:00"/>
    <x v="197"/>
    <x v="2"/>
    <s v="Follow-up"/>
    <s v="Routine"/>
    <x v="0"/>
    <s v="Gastro A"/>
    <s v="Royal South Hospital"/>
    <n v="15"/>
    <n v="39"/>
    <x v="1"/>
  </r>
  <r>
    <s v="APT01898"/>
    <d v="2026-02-13T00:00:00"/>
    <x v="293"/>
    <x v="0"/>
    <s v="New"/>
    <s v="Routine"/>
    <x v="1"/>
    <s v="Dermatology A"/>
    <s v="Central Outpatients"/>
    <n v="30"/>
    <n v="18"/>
    <x v="0"/>
  </r>
  <r>
    <s v="APT01899"/>
    <d v="2025-12-28T00:00:00"/>
    <x v="104"/>
    <x v="0"/>
    <s v="Follow-up"/>
    <s v="Routine"/>
    <x v="0"/>
    <s v="Dermatology B"/>
    <s v="Royal South Hospital"/>
    <n v="15"/>
    <n v="30"/>
    <x v="1"/>
  </r>
  <r>
    <s v="APT01900"/>
    <d v="2025-08-02T00:00:00"/>
    <x v="121"/>
    <x v="2"/>
    <s v="Follow-up"/>
    <s v="Routine"/>
    <x v="0"/>
    <s v="Gastro A"/>
    <s v="Central Outpatients"/>
    <n v="15"/>
    <n v="48"/>
    <x v="3"/>
  </r>
  <r>
    <s v="APT01901"/>
    <d v="2025-10-12T00:00:00"/>
    <x v="101"/>
    <x v="0"/>
    <s v="New"/>
    <s v="Routine"/>
    <x v="0"/>
    <s v="Dermatology A"/>
    <s v="Royal South Hospital"/>
    <n v="30"/>
    <n v="36"/>
    <x v="1"/>
  </r>
  <r>
    <s v="APT01902"/>
    <d v="2025-10-11T00:00:00"/>
    <x v="240"/>
    <x v="3"/>
    <s v="New"/>
    <s v="Urgent"/>
    <x v="0"/>
    <s v="Neurology A"/>
    <s v="Central Outpatients"/>
    <n v="30"/>
    <n v="9"/>
    <x v="2"/>
  </r>
  <r>
    <s v="APT01903"/>
    <d v="2025-12-19T00:00:00"/>
    <x v="334"/>
    <x v="4"/>
    <s v="New"/>
    <s v="Routine"/>
    <x v="2"/>
    <s v="Dermatology B"/>
    <s v="Riverside Clinic"/>
    <n v="30"/>
    <n v="11"/>
    <x v="2"/>
  </r>
  <r>
    <s v="APT01904"/>
    <d v="2025-06-30T00:00:00"/>
    <x v="47"/>
    <x v="0"/>
    <s v="New"/>
    <s v="Urgent"/>
    <x v="0"/>
    <s v="Dermatology B"/>
    <s v="Royal South Hospital"/>
    <n v="30"/>
    <n v="10"/>
    <x v="2"/>
  </r>
  <r>
    <s v="APT01905"/>
    <d v="2025-07-31T00:00:00"/>
    <x v="206"/>
    <x v="3"/>
    <s v="Follow-up"/>
    <s v="Routine"/>
    <x v="1"/>
    <s v="Neurology B"/>
    <s v="Riverside Clinic"/>
    <n v="15"/>
    <n v="43"/>
    <x v="3"/>
  </r>
  <r>
    <s v="APT01906"/>
    <d v="2025-06-29T00:00:00"/>
    <x v="329"/>
    <x v="1"/>
    <s v="Follow-up"/>
    <s v="Routine"/>
    <x v="0"/>
    <s v="Cardiology A"/>
    <s v="Royal South Hospital"/>
    <n v="15"/>
    <n v="72"/>
    <x v="4"/>
  </r>
  <r>
    <s v="APT01907"/>
    <d v="2025-07-17T00:00:00"/>
    <x v="21"/>
    <x v="3"/>
    <s v="Follow-up"/>
    <s v="Routine"/>
    <x v="0"/>
    <s v="Neurology A"/>
    <s v="Riverside Clinic"/>
    <n v="30"/>
    <n v="59"/>
    <x v="4"/>
  </r>
  <r>
    <s v="APT01908"/>
    <d v="2025-05-29T00:00:00"/>
    <x v="69"/>
    <x v="2"/>
    <s v="Follow-up"/>
    <s v="Routine"/>
    <x v="0"/>
    <s v="Gastro B"/>
    <s v="Royal South Hospital"/>
    <n v="15"/>
    <n v="2"/>
    <x v="2"/>
  </r>
  <r>
    <s v="APT01909"/>
    <d v="2025-04-14T00:00:00"/>
    <x v="155"/>
    <x v="2"/>
    <s v="Follow-up"/>
    <s v="Routine"/>
    <x v="0"/>
    <s v="Gastro A"/>
    <s v="Riverside Clinic"/>
    <n v="15"/>
    <n v="60"/>
    <x v="4"/>
  </r>
  <r>
    <s v="APT01910"/>
    <d v="2026-03-09T00:00:00"/>
    <x v="367"/>
    <x v="3"/>
    <s v="Follow-up"/>
    <s v="Routine"/>
    <x v="0"/>
    <s v="Neurology B"/>
    <s v="Central Outpatients"/>
    <n v="15"/>
    <n v="51"/>
    <x v="3"/>
  </r>
  <r>
    <s v="APT01911"/>
    <d v="2025-04-28T00:00:00"/>
    <x v="395"/>
    <x v="4"/>
    <s v="New"/>
    <s v="Routine"/>
    <x v="0"/>
    <s v="Orthopaedics A"/>
    <s v="Royal South Hospital"/>
    <n v="30"/>
    <n v="7"/>
    <x v="2"/>
  </r>
  <r>
    <s v="APT01912"/>
    <d v="2026-02-18T00:00:00"/>
    <x v="35"/>
    <x v="4"/>
    <s v="New"/>
    <s v="Routine"/>
    <x v="0"/>
    <s v="Orthopaedics A"/>
    <s v="Riverside Clinic"/>
    <n v="30"/>
    <n v="29"/>
    <x v="1"/>
  </r>
  <r>
    <s v="APT01913"/>
    <d v="2025-04-02T00:00:00"/>
    <x v="335"/>
    <x v="0"/>
    <s v="New"/>
    <s v="Routine"/>
    <x v="1"/>
    <s v="Dermatology A"/>
    <s v="Central Outpatients"/>
    <n v="30"/>
    <n v="54"/>
    <x v="3"/>
  </r>
  <r>
    <s v="APT01914"/>
    <d v="2026-01-08T00:00:00"/>
    <x v="261"/>
    <x v="0"/>
    <s v="New"/>
    <s v="Urgent"/>
    <x v="2"/>
    <s v="Dermatology B"/>
    <s v="Riverside Clinic"/>
    <n v="30"/>
    <n v="44"/>
    <x v="3"/>
  </r>
  <r>
    <s v="APT01915"/>
    <d v="2025-07-29T00:00:00"/>
    <x v="228"/>
    <x v="3"/>
    <s v="New"/>
    <s v="Routine"/>
    <x v="0"/>
    <s v="Neurology B"/>
    <s v="Royal South Hospital"/>
    <n v="30"/>
    <n v="11"/>
    <x v="2"/>
  </r>
  <r>
    <s v="APT01916"/>
    <d v="2025-10-06T00:00:00"/>
    <x v="347"/>
    <x v="2"/>
    <s v="New"/>
    <s v="Routine"/>
    <x v="2"/>
    <s v="Gastro B"/>
    <s v="Royal South Hospital"/>
    <n v="45"/>
    <n v="45"/>
    <x v="3"/>
  </r>
  <r>
    <s v="APT01917"/>
    <d v="2025-07-12T00:00:00"/>
    <x v="110"/>
    <x v="3"/>
    <s v="New"/>
    <s v="Routine"/>
    <x v="0"/>
    <s v="Neurology B"/>
    <s v="Royal South Hospital"/>
    <n v="30"/>
    <n v="2"/>
    <x v="2"/>
  </r>
  <r>
    <s v="APT01918"/>
    <d v="2025-09-26T00:00:00"/>
    <x v="184"/>
    <x v="2"/>
    <s v="Follow-up"/>
    <s v="Routine"/>
    <x v="0"/>
    <s v="Gastro B"/>
    <s v="Royal South Hospital"/>
    <n v="15"/>
    <n v="30"/>
    <x v="1"/>
  </r>
  <r>
    <s v="APT01919"/>
    <d v="2025-09-12T00:00:00"/>
    <x v="129"/>
    <x v="4"/>
    <s v="New"/>
    <s v="Urgent"/>
    <x v="0"/>
    <s v="Orthopaedics A"/>
    <s v="Royal South Hospital"/>
    <n v="30"/>
    <n v="55"/>
    <x v="3"/>
  </r>
  <r>
    <s v="APT01920"/>
    <d v="2025-10-10T00:00:00"/>
    <x v="64"/>
    <x v="1"/>
    <s v="New"/>
    <s v="Urgent"/>
    <x v="0"/>
    <s v="Cardiology B"/>
    <s v="Central Outpatients"/>
    <n v="30"/>
    <n v="35"/>
    <x v="1"/>
  </r>
  <r>
    <s v="APT01921"/>
    <d v="2025-08-22T00:00:00"/>
    <x v="73"/>
    <x v="2"/>
    <s v="New"/>
    <s v="Routine"/>
    <x v="0"/>
    <s v="Gastro A"/>
    <s v="Riverside Clinic"/>
    <n v="45"/>
    <n v="26"/>
    <x v="0"/>
  </r>
  <r>
    <s v="APT01922"/>
    <d v="2025-10-13T00:00:00"/>
    <x v="252"/>
    <x v="1"/>
    <s v="Follow-up"/>
    <s v="Routine"/>
    <x v="0"/>
    <s v="Cardiology B"/>
    <s v="Riverside Clinic"/>
    <n v="30"/>
    <n v="51"/>
    <x v="3"/>
  </r>
  <r>
    <s v="APT01923"/>
    <d v="2026-01-26T00:00:00"/>
    <x v="35"/>
    <x v="2"/>
    <s v="Follow-up"/>
    <s v="Urgent"/>
    <x v="2"/>
    <s v="Gastro B"/>
    <s v="Royal South Hospital"/>
    <n v="15"/>
    <n v="52"/>
    <x v="3"/>
  </r>
  <r>
    <s v="APT01924"/>
    <d v="2025-09-06T00:00:00"/>
    <x v="122"/>
    <x v="3"/>
    <s v="Follow-up"/>
    <s v="Routine"/>
    <x v="0"/>
    <s v="Neurology B"/>
    <s v="Royal South Hospital"/>
    <n v="30"/>
    <n v="58"/>
    <x v="4"/>
  </r>
  <r>
    <s v="APT01925"/>
    <d v="2025-08-10T00:00:00"/>
    <x v="54"/>
    <x v="2"/>
    <s v="New"/>
    <s v="Routine"/>
    <x v="1"/>
    <s v="Gastro A"/>
    <s v="Central Outpatients"/>
    <n v="30"/>
    <n v="50"/>
    <x v="3"/>
  </r>
  <r>
    <s v="APT01926"/>
    <d v="2025-05-18T00:00:00"/>
    <x v="209"/>
    <x v="0"/>
    <s v="New"/>
    <s v="Routine"/>
    <x v="0"/>
    <s v="Dermatology A"/>
    <s v="Riverside Clinic"/>
    <n v="30"/>
    <n v="54"/>
    <x v="3"/>
  </r>
  <r>
    <s v="APT01927"/>
    <d v="2025-08-09T00:00:00"/>
    <x v="137"/>
    <x v="4"/>
    <s v="New"/>
    <s v="Routine"/>
    <x v="0"/>
    <s v="Orthopaedics B"/>
    <s v="Central Outpatients"/>
    <n v="30"/>
    <n v="48"/>
    <x v="3"/>
  </r>
  <r>
    <s v="APT01928"/>
    <d v="2025-05-16T00:00:00"/>
    <x v="136"/>
    <x v="4"/>
    <s v="New"/>
    <s v="Routine"/>
    <x v="0"/>
    <s v="Orthopaedics A"/>
    <s v="Riverside Clinic"/>
    <n v="30"/>
    <n v="39"/>
    <x v="1"/>
  </r>
  <r>
    <s v="APT01929"/>
    <d v="2025-06-06T00:00:00"/>
    <x v="286"/>
    <x v="2"/>
    <s v="New"/>
    <s v="Routine"/>
    <x v="0"/>
    <s v="Gastro B"/>
    <s v="Royal South Hospital"/>
    <n v="30"/>
    <n v="36"/>
    <x v="1"/>
  </r>
  <r>
    <s v="APT01930"/>
    <d v="2026-03-13T00:00:00"/>
    <x v="192"/>
    <x v="4"/>
    <s v="Follow-up"/>
    <s v="Urgent"/>
    <x v="0"/>
    <s v="Orthopaedics B"/>
    <s v="Riverside Clinic"/>
    <n v="15"/>
    <n v="30"/>
    <x v="1"/>
  </r>
  <r>
    <s v="APT01931"/>
    <d v="2025-05-03T00:00:00"/>
    <x v="6"/>
    <x v="2"/>
    <s v="New"/>
    <s v="Routine"/>
    <x v="0"/>
    <s v="Gastro B"/>
    <s v="Riverside Clinic"/>
    <n v="45"/>
    <n v="13"/>
    <x v="2"/>
  </r>
  <r>
    <s v="APT01932"/>
    <d v="2025-09-23T00:00:00"/>
    <x v="370"/>
    <x v="4"/>
    <s v="New"/>
    <s v="Urgent"/>
    <x v="0"/>
    <s v="Orthopaedics A"/>
    <s v="Royal South Hospital"/>
    <n v="45"/>
    <n v="17"/>
    <x v="0"/>
  </r>
  <r>
    <s v="APT01933"/>
    <d v="2026-01-29T00:00:00"/>
    <x v="123"/>
    <x v="1"/>
    <s v="Follow-up"/>
    <s v="Routine"/>
    <x v="0"/>
    <s v="Cardiology A"/>
    <s v="Riverside Clinic"/>
    <n v="15"/>
    <n v="29"/>
    <x v="1"/>
  </r>
  <r>
    <s v="APT01934"/>
    <d v="2026-03-13T00:00:00"/>
    <x v="272"/>
    <x v="0"/>
    <s v="Follow-up"/>
    <s v="Routine"/>
    <x v="0"/>
    <s v="Dermatology B"/>
    <s v="Royal South Hospital"/>
    <n v="15"/>
    <n v="39"/>
    <x v="1"/>
  </r>
  <r>
    <s v="APT01935"/>
    <d v="2025-05-24T00:00:00"/>
    <x v="152"/>
    <x v="0"/>
    <s v="New"/>
    <s v="Routine"/>
    <x v="0"/>
    <s v="Dermatology A"/>
    <s v="Royal South Hospital"/>
    <n v="45"/>
    <n v="60"/>
    <x v="4"/>
  </r>
  <r>
    <s v="APT01936"/>
    <d v="2025-05-30T00:00:00"/>
    <x v="190"/>
    <x v="1"/>
    <s v="New"/>
    <s v="Routine"/>
    <x v="2"/>
    <s v="Cardiology A"/>
    <s v="Royal South Hospital"/>
    <n v="30"/>
    <n v="34"/>
    <x v="1"/>
  </r>
  <r>
    <s v="APT01937"/>
    <d v="2025-08-14T00:00:00"/>
    <x v="319"/>
    <x v="2"/>
    <s v="Follow-up"/>
    <s v="Urgent"/>
    <x v="0"/>
    <s v="Gastro A"/>
    <s v="Riverside Clinic"/>
    <n v="30"/>
    <n v="53"/>
    <x v="3"/>
  </r>
  <r>
    <s v="APT01938"/>
    <d v="2025-10-19T00:00:00"/>
    <x v="168"/>
    <x v="1"/>
    <s v="New"/>
    <s v="Routine"/>
    <x v="0"/>
    <s v="Cardiology A"/>
    <s v="Riverside Clinic"/>
    <n v="30"/>
    <n v="54"/>
    <x v="3"/>
  </r>
  <r>
    <s v="APT01939"/>
    <d v="2026-03-16T00:00:00"/>
    <x v="114"/>
    <x v="3"/>
    <s v="Follow-up"/>
    <s v="Urgent"/>
    <x v="0"/>
    <s v="Neurology B"/>
    <s v="Royal South Hospital"/>
    <n v="30"/>
    <n v="30"/>
    <x v="1"/>
  </r>
  <r>
    <s v="APT01940"/>
    <d v="2025-06-15T00:00:00"/>
    <x v="382"/>
    <x v="1"/>
    <s v="Follow-up"/>
    <s v="Routine"/>
    <x v="0"/>
    <s v="Cardiology B"/>
    <s v="Central Outpatients"/>
    <n v="15"/>
    <n v="45"/>
    <x v="3"/>
  </r>
  <r>
    <s v="APT01941"/>
    <d v="2025-05-30T00:00:00"/>
    <x v="130"/>
    <x v="1"/>
    <s v="New"/>
    <s v="Routine"/>
    <x v="0"/>
    <s v="Cardiology A"/>
    <s v="Riverside Clinic"/>
    <n v="30"/>
    <n v="30"/>
    <x v="1"/>
  </r>
  <r>
    <s v="APT01942"/>
    <d v="2025-07-02T00:00:00"/>
    <x v="112"/>
    <x v="4"/>
    <s v="Follow-up"/>
    <s v="Routine"/>
    <x v="0"/>
    <s v="Orthopaedics A"/>
    <s v="Royal South Hospital"/>
    <n v="15"/>
    <n v="58"/>
    <x v="4"/>
  </r>
  <r>
    <s v="APT01943"/>
    <d v="2026-02-13T00:00:00"/>
    <x v="33"/>
    <x v="3"/>
    <s v="New"/>
    <s v="Routine"/>
    <x v="2"/>
    <s v="Neurology A"/>
    <s v="Royal South Hospital"/>
    <n v="45"/>
    <n v="46"/>
    <x v="3"/>
  </r>
  <r>
    <s v="APT01944"/>
    <d v="2025-04-11T00:00:00"/>
    <x v="392"/>
    <x v="4"/>
    <s v="New"/>
    <s v="Routine"/>
    <x v="0"/>
    <s v="Orthopaedics A"/>
    <s v="Royal South Hospital"/>
    <n v="45"/>
    <n v="13"/>
    <x v="2"/>
  </r>
  <r>
    <s v="APT01945"/>
    <d v="2025-08-17T00:00:00"/>
    <x v="4"/>
    <x v="2"/>
    <s v="New"/>
    <s v="Routine"/>
    <x v="0"/>
    <s v="Gastro A"/>
    <s v="Royal South Hospital"/>
    <n v="30"/>
    <n v="37"/>
    <x v="1"/>
  </r>
  <r>
    <s v="APT01946"/>
    <d v="2025-05-14T00:00:00"/>
    <x v="174"/>
    <x v="1"/>
    <s v="Follow-up"/>
    <s v="Routine"/>
    <x v="0"/>
    <s v="Cardiology B"/>
    <s v="Central Outpatients"/>
    <n v="15"/>
    <n v="64"/>
    <x v="4"/>
  </r>
  <r>
    <s v="APT01947"/>
    <d v="2025-05-28T00:00:00"/>
    <x v="61"/>
    <x v="2"/>
    <s v="New"/>
    <s v="Routine"/>
    <x v="0"/>
    <s v="Gastro B"/>
    <s v="Central Outpatients"/>
    <n v="30"/>
    <n v="31"/>
    <x v="1"/>
  </r>
  <r>
    <s v="APT01948"/>
    <d v="2026-02-28T00:00:00"/>
    <x v="192"/>
    <x v="2"/>
    <s v="New"/>
    <s v="Routine"/>
    <x v="0"/>
    <s v="Gastro B"/>
    <s v="Royal South Hospital"/>
    <n v="30"/>
    <n v="43"/>
    <x v="3"/>
  </r>
  <r>
    <s v="APT01949"/>
    <d v="2025-04-01T00:00:00"/>
    <x v="182"/>
    <x v="1"/>
    <s v="Follow-up"/>
    <s v="Routine"/>
    <x v="0"/>
    <s v="Cardiology A"/>
    <s v="Riverside Clinic"/>
    <n v="15"/>
    <n v="44"/>
    <x v="3"/>
  </r>
  <r>
    <s v="APT01950"/>
    <d v="2025-07-27T00:00:00"/>
    <x v="87"/>
    <x v="4"/>
    <s v="New"/>
    <s v="Routine"/>
    <x v="0"/>
    <s v="Orthopaedics B"/>
    <s v="Royal South Hospital"/>
    <n v="30"/>
    <n v="16"/>
    <x v="0"/>
  </r>
  <r>
    <s v="APT01951"/>
    <d v="2026-02-28T00:00:00"/>
    <x v="221"/>
    <x v="3"/>
    <s v="Follow-up"/>
    <s v="Routine"/>
    <x v="0"/>
    <s v="Neurology A"/>
    <s v="Royal South Hospital"/>
    <n v="15"/>
    <n v="44"/>
    <x v="3"/>
  </r>
  <r>
    <s v="APT01952"/>
    <d v="2025-11-08T00:00:00"/>
    <x v="101"/>
    <x v="3"/>
    <s v="Follow-up"/>
    <s v="Routine"/>
    <x v="0"/>
    <s v="Neurology A"/>
    <s v="Royal South Hospital"/>
    <n v="15"/>
    <n v="9"/>
    <x v="2"/>
  </r>
  <r>
    <s v="APT01953"/>
    <d v="2025-04-27T00:00:00"/>
    <x v="269"/>
    <x v="2"/>
    <s v="Follow-up"/>
    <s v="Routine"/>
    <x v="0"/>
    <s v="Gastro B"/>
    <s v="Royal South Hospital"/>
    <n v="15"/>
    <n v="23"/>
    <x v="0"/>
  </r>
  <r>
    <s v="APT01954"/>
    <d v="2025-09-17T00:00:00"/>
    <x v="323"/>
    <x v="3"/>
    <s v="Follow-up"/>
    <s v="Routine"/>
    <x v="0"/>
    <s v="Neurology B"/>
    <s v="Royal South Hospital"/>
    <n v="15"/>
    <n v="54"/>
    <x v="3"/>
  </r>
  <r>
    <s v="APT01955"/>
    <d v="2026-03-20T00:00:00"/>
    <x v="301"/>
    <x v="0"/>
    <s v="Follow-up"/>
    <s v="Routine"/>
    <x v="1"/>
    <s v="Dermatology B"/>
    <s v="Royal South Hospital"/>
    <n v="15"/>
    <n v="41"/>
    <x v="1"/>
  </r>
  <r>
    <s v="APT01956"/>
    <d v="2025-08-24T00:00:00"/>
    <x v="117"/>
    <x v="4"/>
    <s v="New"/>
    <s v="Routine"/>
    <x v="2"/>
    <s v="Orthopaedics B"/>
    <s v="Royal South Hospital"/>
    <n v="30"/>
    <n v="29"/>
    <x v="1"/>
  </r>
  <r>
    <s v="APT01957"/>
    <d v="2025-10-10T00:00:00"/>
    <x v="318"/>
    <x v="2"/>
    <s v="Follow-up"/>
    <s v="Routine"/>
    <x v="0"/>
    <s v="Gastro B"/>
    <s v="Royal South Hospital"/>
    <n v="15"/>
    <n v="43"/>
    <x v="3"/>
  </r>
  <r>
    <s v="APT01958"/>
    <d v="2025-10-11T00:00:00"/>
    <x v="10"/>
    <x v="1"/>
    <s v="Follow-up"/>
    <s v="Routine"/>
    <x v="0"/>
    <s v="Cardiology B"/>
    <s v="Riverside Clinic"/>
    <n v="30"/>
    <n v="33"/>
    <x v="1"/>
  </r>
  <r>
    <s v="APT01959"/>
    <d v="2025-11-27T00:00:00"/>
    <x v="287"/>
    <x v="1"/>
    <s v="Follow-up"/>
    <s v="Routine"/>
    <x v="0"/>
    <s v="Cardiology A"/>
    <s v="Royal South Hospital"/>
    <n v="15"/>
    <n v="35"/>
    <x v="1"/>
  </r>
  <r>
    <s v="APT01960"/>
    <d v="2025-06-08T00:00:00"/>
    <x v="365"/>
    <x v="3"/>
    <s v="Follow-up"/>
    <s v="Routine"/>
    <x v="2"/>
    <s v="Neurology A"/>
    <s v="Royal South Hospital"/>
    <n v="15"/>
    <n v="46"/>
    <x v="3"/>
  </r>
  <r>
    <s v="APT01961"/>
    <d v="2026-01-31T00:00:00"/>
    <x v="261"/>
    <x v="4"/>
    <s v="Follow-up"/>
    <s v="Routine"/>
    <x v="0"/>
    <s v="Orthopaedics A"/>
    <s v="Royal South Hospital"/>
    <n v="15"/>
    <n v="21"/>
    <x v="0"/>
  </r>
  <r>
    <s v="APT01962"/>
    <d v="2026-03-26T00:00:00"/>
    <x v="301"/>
    <x v="4"/>
    <s v="Follow-up"/>
    <s v="Routine"/>
    <x v="0"/>
    <s v="Orthopaedics A"/>
    <s v="Central Outpatients"/>
    <n v="30"/>
    <n v="35"/>
    <x v="1"/>
  </r>
  <r>
    <s v="APT01963"/>
    <d v="2025-05-22T00:00:00"/>
    <x v="326"/>
    <x v="3"/>
    <s v="New"/>
    <s v="Routine"/>
    <x v="0"/>
    <s v="Neurology A"/>
    <s v="Royal South Hospital"/>
    <n v="30"/>
    <n v="29"/>
    <x v="1"/>
  </r>
  <r>
    <s v="APT01964"/>
    <d v="2026-01-23T00:00:00"/>
    <x v="270"/>
    <x v="4"/>
    <s v="Follow-up"/>
    <s v="Routine"/>
    <x v="2"/>
    <s v="Orthopaedics B"/>
    <s v="Riverside Clinic"/>
    <n v="30"/>
    <n v="6"/>
    <x v="2"/>
  </r>
  <r>
    <s v="APT01965"/>
    <d v="2026-01-23T00:00:00"/>
    <x v="195"/>
    <x v="3"/>
    <s v="Follow-up"/>
    <s v="Urgent"/>
    <x v="0"/>
    <s v="Neurology A"/>
    <s v="Royal South Hospital"/>
    <n v="15"/>
    <n v="18"/>
    <x v="0"/>
  </r>
  <r>
    <s v="APT01966"/>
    <d v="2025-12-26T00:00:00"/>
    <x v="123"/>
    <x v="0"/>
    <s v="Follow-up"/>
    <s v="Routine"/>
    <x v="1"/>
    <s v="Dermatology B"/>
    <s v="Royal South Hospital"/>
    <n v="30"/>
    <n v="63"/>
    <x v="4"/>
  </r>
  <r>
    <s v="APT01967"/>
    <d v="2025-08-13T00:00:00"/>
    <x v="4"/>
    <x v="3"/>
    <s v="New"/>
    <s v="Routine"/>
    <x v="0"/>
    <s v="Neurology B"/>
    <s v="Riverside Clinic"/>
    <n v="30"/>
    <n v="41"/>
    <x v="1"/>
  </r>
  <r>
    <s v="APT01968"/>
    <d v="2025-09-18T00:00:00"/>
    <x v="54"/>
    <x v="1"/>
    <s v="Follow-up"/>
    <s v="Urgent"/>
    <x v="0"/>
    <s v="Cardiology A"/>
    <s v="Riverside Clinic"/>
    <n v="15"/>
    <n v="11"/>
    <x v="2"/>
  </r>
  <r>
    <s v="APT01969"/>
    <d v="2026-01-31T00:00:00"/>
    <x v="249"/>
    <x v="0"/>
    <s v="Follow-up"/>
    <s v="Urgent"/>
    <x v="0"/>
    <s v="Dermatology A"/>
    <s v="Central Outpatients"/>
    <n v="15"/>
    <n v="7"/>
    <x v="2"/>
  </r>
  <r>
    <s v="APT01970"/>
    <d v="2025-05-26T00:00:00"/>
    <x v="80"/>
    <x v="2"/>
    <s v="Follow-up"/>
    <s v="Routine"/>
    <x v="0"/>
    <s v="Gastro B"/>
    <s v="Royal South Hospital"/>
    <n v="15"/>
    <n v="32"/>
    <x v="1"/>
  </r>
  <r>
    <s v="APT01971"/>
    <d v="2026-01-27T00:00:00"/>
    <x v="33"/>
    <x v="1"/>
    <s v="Follow-up"/>
    <s v="Urgent"/>
    <x v="0"/>
    <s v="Cardiology A"/>
    <s v="Royal South Hospital"/>
    <n v="30"/>
    <n v="63"/>
    <x v="4"/>
  </r>
  <r>
    <s v="APT01972"/>
    <d v="2026-03-02T00:00:00"/>
    <x v="320"/>
    <x v="4"/>
    <s v="Follow-up"/>
    <s v="Routine"/>
    <x v="0"/>
    <s v="Orthopaedics B"/>
    <s v="Central Outpatients"/>
    <n v="15"/>
    <n v="31"/>
    <x v="1"/>
  </r>
  <r>
    <s v="APT01973"/>
    <d v="2025-12-05T00:00:00"/>
    <x v="53"/>
    <x v="4"/>
    <s v="New"/>
    <s v="Routine"/>
    <x v="0"/>
    <s v="Orthopaedics B"/>
    <s v="Royal South Hospital"/>
    <n v="45"/>
    <n v="58"/>
    <x v="4"/>
  </r>
  <r>
    <s v="APT01974"/>
    <d v="2025-08-03T00:00:00"/>
    <x v="180"/>
    <x v="0"/>
    <s v="New"/>
    <s v="Routine"/>
    <x v="0"/>
    <s v="Dermatology A"/>
    <s v="Riverside Clinic"/>
    <n v="45"/>
    <n v="41"/>
    <x v="1"/>
  </r>
  <r>
    <s v="APT01975"/>
    <d v="2025-10-21T00:00:00"/>
    <x v="252"/>
    <x v="3"/>
    <s v="Follow-up"/>
    <s v="Routine"/>
    <x v="0"/>
    <s v="Neurology A"/>
    <s v="Central Outpatients"/>
    <n v="15"/>
    <n v="43"/>
    <x v="3"/>
  </r>
  <r>
    <s v="APT01976"/>
    <d v="2025-04-19T00:00:00"/>
    <x v="336"/>
    <x v="2"/>
    <s v="New"/>
    <s v="Routine"/>
    <x v="0"/>
    <s v="Gastro B"/>
    <s v="Royal South Hospital"/>
    <n v="30"/>
    <n v="10"/>
    <x v="2"/>
  </r>
  <r>
    <s v="APT01977"/>
    <d v="2026-03-06T00:00:00"/>
    <x v="183"/>
    <x v="1"/>
    <s v="Follow-up"/>
    <s v="Routine"/>
    <x v="0"/>
    <s v="Cardiology B"/>
    <s v="Riverside Clinic"/>
    <n v="15"/>
    <n v="51"/>
    <x v="3"/>
  </r>
  <r>
    <s v="APT01978"/>
    <d v="2025-08-03T00:00:00"/>
    <x v="105"/>
    <x v="0"/>
    <s v="New"/>
    <s v="Routine"/>
    <x v="0"/>
    <s v="Dermatology A"/>
    <s v="Royal South Hospital"/>
    <n v="45"/>
    <n v="28"/>
    <x v="0"/>
  </r>
  <r>
    <s v="APT01979"/>
    <d v="2025-04-21T00:00:00"/>
    <x v="92"/>
    <x v="0"/>
    <s v="New"/>
    <s v="Routine"/>
    <x v="1"/>
    <s v="Dermatology B"/>
    <s v="Royal South Hospital"/>
    <n v="45"/>
    <n v="50"/>
    <x v="3"/>
  </r>
  <r>
    <s v="APT01980"/>
    <d v="2026-01-15T00:00:00"/>
    <x v="161"/>
    <x v="0"/>
    <s v="New"/>
    <s v="Routine"/>
    <x v="2"/>
    <s v="Dermatology B"/>
    <s v="Central Outpatients"/>
    <n v="30"/>
    <n v="20"/>
    <x v="0"/>
  </r>
  <r>
    <s v="APT01981"/>
    <d v="2025-11-26T00:00:00"/>
    <x v="46"/>
    <x v="1"/>
    <s v="Follow-up"/>
    <s v="Routine"/>
    <x v="2"/>
    <s v="Cardiology A"/>
    <s v="Royal South Hospital"/>
    <n v="30"/>
    <n v="38"/>
    <x v="1"/>
  </r>
  <r>
    <s v="APT01982"/>
    <d v="2025-11-13T00:00:00"/>
    <x v="231"/>
    <x v="1"/>
    <s v="Follow-up"/>
    <s v="Urgent"/>
    <x v="0"/>
    <s v="Cardiology B"/>
    <s v="Royal South Hospital"/>
    <n v="15"/>
    <n v="41"/>
    <x v="1"/>
  </r>
  <r>
    <s v="APT01983"/>
    <d v="2025-04-20T00:00:00"/>
    <x v="210"/>
    <x v="1"/>
    <s v="Follow-up"/>
    <s v="Routine"/>
    <x v="0"/>
    <s v="Cardiology A"/>
    <s v="Riverside Clinic"/>
    <n v="30"/>
    <n v="32"/>
    <x v="1"/>
  </r>
  <r>
    <s v="APT01984"/>
    <d v="2025-12-30T00:00:00"/>
    <x v="195"/>
    <x v="4"/>
    <s v="Follow-up"/>
    <s v="Routine"/>
    <x v="2"/>
    <s v="Orthopaedics B"/>
    <s v="Royal South Hospital"/>
    <n v="15"/>
    <n v="42"/>
    <x v="1"/>
  </r>
  <r>
    <s v="APT01985"/>
    <d v="2025-11-18T00:00:00"/>
    <x v="288"/>
    <x v="1"/>
    <s v="Follow-up"/>
    <s v="Routine"/>
    <x v="0"/>
    <s v="Cardiology B"/>
    <s v="Royal South Hospital"/>
    <n v="30"/>
    <n v="30"/>
    <x v="1"/>
  </r>
  <r>
    <s v="APT01986"/>
    <d v="2026-01-14T00:00:00"/>
    <x v="13"/>
    <x v="0"/>
    <s v="New"/>
    <s v="Routine"/>
    <x v="0"/>
    <s v="Dermatology B"/>
    <s v="Royal South Hospital"/>
    <n v="30"/>
    <n v="23"/>
    <x v="0"/>
  </r>
  <r>
    <s v="APT01987"/>
    <d v="2026-01-27T00:00:00"/>
    <x v="33"/>
    <x v="2"/>
    <s v="Follow-up"/>
    <s v="Routine"/>
    <x v="0"/>
    <s v="Gastro A"/>
    <s v="Royal South Hospital"/>
    <n v="15"/>
    <n v="63"/>
    <x v="4"/>
  </r>
  <r>
    <s v="APT01988"/>
    <d v="2025-06-17T00:00:00"/>
    <x v="228"/>
    <x v="0"/>
    <s v="Follow-up"/>
    <s v="Routine"/>
    <x v="0"/>
    <s v="Dermatology B"/>
    <s v="Royal South Hospital"/>
    <n v="30"/>
    <n v="53"/>
    <x v="3"/>
  </r>
  <r>
    <s v="APT01989"/>
    <d v="2025-06-16T00:00:00"/>
    <x v="233"/>
    <x v="2"/>
    <s v="New"/>
    <s v="Routine"/>
    <x v="0"/>
    <s v="Gastro A"/>
    <s v="Central Outpatients"/>
    <n v="30"/>
    <n v="21"/>
    <x v="0"/>
  </r>
  <r>
    <s v="APT01990"/>
    <d v="2026-03-03T00:00:00"/>
    <x v="289"/>
    <x v="1"/>
    <s v="Follow-up"/>
    <s v="Routine"/>
    <x v="2"/>
    <s v="Cardiology A"/>
    <s v="Royal South Hospital"/>
    <n v="30"/>
    <n v="45"/>
    <x v="3"/>
  </r>
  <r>
    <s v="APT01991"/>
    <d v="2025-10-11T00:00:00"/>
    <x v="89"/>
    <x v="3"/>
    <s v="New"/>
    <s v="Routine"/>
    <x v="0"/>
    <s v="Neurology B"/>
    <s v="Central Outpatients"/>
    <n v="30"/>
    <n v="21"/>
    <x v="0"/>
  </r>
  <r>
    <s v="APT01992"/>
    <d v="2025-09-07T00:00:00"/>
    <x v="273"/>
    <x v="2"/>
    <s v="New"/>
    <s v="Routine"/>
    <x v="0"/>
    <s v="Gastro B"/>
    <s v="Royal South Hospital"/>
    <n v="30"/>
    <n v="13"/>
    <x v="2"/>
  </r>
  <r>
    <s v="APT01993"/>
    <d v="2025-07-14T00:00:00"/>
    <x v="125"/>
    <x v="3"/>
    <s v="Follow-up"/>
    <s v="Routine"/>
    <x v="0"/>
    <s v="Neurology A"/>
    <s v="Royal South Hospital"/>
    <n v="15"/>
    <n v="53"/>
    <x v="3"/>
  </r>
  <r>
    <s v="APT01994"/>
    <d v="2025-11-19T00:00:00"/>
    <x v="264"/>
    <x v="2"/>
    <s v="Follow-up"/>
    <s v="Routine"/>
    <x v="0"/>
    <s v="Gastro B"/>
    <s v="Central Outpatients"/>
    <n v="30"/>
    <n v="4"/>
    <x v="2"/>
  </r>
  <r>
    <s v="APT01995"/>
    <d v="2025-12-31T00:00:00"/>
    <x v="81"/>
    <x v="2"/>
    <s v="New"/>
    <s v="Urgent"/>
    <x v="0"/>
    <s v="Gastro B"/>
    <s v="Central Outpatients"/>
    <n v="30"/>
    <n v="51"/>
    <x v="3"/>
  </r>
  <r>
    <s v="APT01996"/>
    <d v="2025-04-01T00:00:00"/>
    <x v="361"/>
    <x v="0"/>
    <s v="Follow-up"/>
    <s v="Routine"/>
    <x v="2"/>
    <s v="Dermatology A"/>
    <s v="Royal South Hospital"/>
    <n v="30"/>
    <n v="30"/>
    <x v="1"/>
  </r>
  <r>
    <s v="APT01997"/>
    <d v="2025-10-19T00:00:00"/>
    <x v="303"/>
    <x v="0"/>
    <s v="New"/>
    <s v="Routine"/>
    <x v="0"/>
    <s v="Dermatology A"/>
    <s v="Royal South Hospital"/>
    <n v="30"/>
    <n v="31"/>
    <x v="1"/>
  </r>
  <r>
    <s v="APT01998"/>
    <d v="2026-03-28T00:00:00"/>
    <x v="142"/>
    <x v="2"/>
    <s v="Follow-up"/>
    <s v="Urgent"/>
    <x v="0"/>
    <s v="Gastro B"/>
    <s v="Central Outpatients"/>
    <n v="15"/>
    <n v="42"/>
    <x v="1"/>
  </r>
  <r>
    <s v="APT01999"/>
    <d v="2025-07-12T00:00:00"/>
    <x v="255"/>
    <x v="1"/>
    <s v="Follow-up"/>
    <s v="Routine"/>
    <x v="1"/>
    <s v="Cardiology B"/>
    <s v="Royal South Hospital"/>
    <n v="30"/>
    <n v="45"/>
    <x v="3"/>
  </r>
  <r>
    <s v="APT02000"/>
    <d v="2025-07-12T00:00:00"/>
    <x v="208"/>
    <x v="0"/>
    <s v="New"/>
    <s v="Urgent"/>
    <x v="0"/>
    <s v="Dermatology A"/>
    <s v="Royal South Hospital"/>
    <n v="30"/>
    <n v="20"/>
    <x v="0"/>
  </r>
  <r>
    <s v="APT02001"/>
    <d v="2026-02-14T00:00:00"/>
    <x v="320"/>
    <x v="3"/>
    <s v="Follow-up"/>
    <s v="Routine"/>
    <x v="0"/>
    <s v="Neurology B"/>
    <s v="Riverside Clinic"/>
    <n v="15"/>
    <n v="47"/>
    <x v="3"/>
  </r>
  <r>
    <s v="APT02002"/>
    <d v="2025-04-23T00:00:00"/>
    <x v="0"/>
    <x v="1"/>
    <s v="Follow-up"/>
    <s v="Routine"/>
    <x v="0"/>
    <s v="Cardiology B"/>
    <s v="Central Outpatients"/>
    <n v="15"/>
    <n v="37"/>
    <x v="1"/>
  </r>
  <r>
    <s v="APT02003"/>
    <d v="2025-08-23T00:00:00"/>
    <x v="388"/>
    <x v="1"/>
    <s v="Follow-up"/>
    <s v="Routine"/>
    <x v="1"/>
    <s v="Cardiology B"/>
    <s v="Riverside Clinic"/>
    <n v="15"/>
    <n v="12"/>
    <x v="2"/>
  </r>
  <r>
    <s v="APT02004"/>
    <d v="2025-09-14T00:00:00"/>
    <x v="57"/>
    <x v="3"/>
    <s v="New"/>
    <s v="Routine"/>
    <x v="1"/>
    <s v="Neurology B"/>
    <s v="Royal South Hospital"/>
    <n v="30"/>
    <n v="31"/>
    <x v="1"/>
  </r>
  <r>
    <s v="APT02005"/>
    <d v="2026-01-16T00:00:00"/>
    <x v="70"/>
    <x v="0"/>
    <s v="New"/>
    <s v="Urgent"/>
    <x v="0"/>
    <s v="Dermatology B"/>
    <s v="Central Outpatients"/>
    <n v="30"/>
    <n v="59"/>
    <x v="4"/>
  </r>
  <r>
    <s v="APT02006"/>
    <d v="2025-05-17T00:00:00"/>
    <x v="280"/>
    <x v="4"/>
    <s v="Follow-up"/>
    <s v="Routine"/>
    <x v="0"/>
    <s v="Orthopaedics B"/>
    <s v="Royal South Hospital"/>
    <n v="15"/>
    <n v="65"/>
    <x v="4"/>
  </r>
  <r>
    <s v="APT02007"/>
    <d v="2025-09-05T00:00:00"/>
    <x v="19"/>
    <x v="4"/>
    <s v="Follow-up"/>
    <s v="Urgent"/>
    <x v="2"/>
    <s v="Orthopaedics B"/>
    <s v="Central Outpatients"/>
    <n v="15"/>
    <n v="47"/>
    <x v="3"/>
  </r>
  <r>
    <s v="APT02008"/>
    <d v="2025-05-26T00:00:00"/>
    <x v="58"/>
    <x v="4"/>
    <s v="Follow-up"/>
    <s v="Routine"/>
    <x v="2"/>
    <s v="Orthopaedics B"/>
    <s v="Royal South Hospital"/>
    <n v="30"/>
    <n v="13"/>
    <x v="2"/>
  </r>
  <r>
    <s v="APT02009"/>
    <d v="2026-01-12T00:00:00"/>
    <x v="230"/>
    <x v="2"/>
    <s v="Follow-up"/>
    <s v="Urgent"/>
    <x v="0"/>
    <s v="Gastro B"/>
    <s v="Riverside Clinic"/>
    <n v="30"/>
    <n v="43"/>
    <x v="3"/>
  </r>
  <r>
    <s v="APT02010"/>
    <d v="2025-11-17T00:00:00"/>
    <x v="223"/>
    <x v="0"/>
    <s v="Follow-up"/>
    <s v="Urgent"/>
    <x v="2"/>
    <s v="Dermatology A"/>
    <s v="Riverside Clinic"/>
    <n v="15"/>
    <n v="50"/>
    <x v="3"/>
  </r>
  <r>
    <s v="APT02011"/>
    <d v="2025-09-28T00:00:00"/>
    <x v="96"/>
    <x v="3"/>
    <s v="New"/>
    <s v="Routine"/>
    <x v="0"/>
    <s v="Neurology A"/>
    <s v="Royal South Hospital"/>
    <n v="45"/>
    <n v="48"/>
    <x v="3"/>
  </r>
  <r>
    <s v="APT02012"/>
    <d v="2025-08-22T00:00:00"/>
    <x v="370"/>
    <x v="3"/>
    <s v="Follow-up"/>
    <s v="Urgent"/>
    <x v="0"/>
    <s v="Neurology B"/>
    <s v="Riverside Clinic"/>
    <n v="15"/>
    <n v="49"/>
    <x v="3"/>
  </r>
  <r>
    <s v="APT02013"/>
    <d v="2025-05-26T00:00:00"/>
    <x v="314"/>
    <x v="3"/>
    <s v="Follow-up"/>
    <s v="Routine"/>
    <x v="0"/>
    <s v="Neurology B"/>
    <s v="Central Outpatients"/>
    <n v="15"/>
    <n v="41"/>
    <x v="1"/>
  </r>
  <r>
    <s v="APT02014"/>
    <d v="2026-03-02T00:00:00"/>
    <x v="153"/>
    <x v="0"/>
    <s v="New"/>
    <s v="Routine"/>
    <x v="0"/>
    <s v="Dermatology B"/>
    <s v="Royal South Hospital"/>
    <n v="30"/>
    <n v="33"/>
    <x v="1"/>
  </r>
  <r>
    <s v="APT02015"/>
    <d v="2025-11-22T00:00:00"/>
    <x v="94"/>
    <x v="1"/>
    <s v="New"/>
    <s v="Routine"/>
    <x v="0"/>
    <s v="Cardiology B"/>
    <s v="Royal South Hospital"/>
    <n v="30"/>
    <n v="24"/>
    <x v="0"/>
  </r>
  <r>
    <s v="APT02016"/>
    <d v="2025-07-26T00:00:00"/>
    <x v="393"/>
    <x v="1"/>
    <s v="Follow-up"/>
    <s v="Routine"/>
    <x v="0"/>
    <s v="Cardiology A"/>
    <s v="Royal South Hospital"/>
    <n v="30"/>
    <n v="2"/>
    <x v="2"/>
  </r>
  <r>
    <s v="APT02017"/>
    <d v="2025-08-29T00:00:00"/>
    <x v="294"/>
    <x v="1"/>
    <s v="Follow-up"/>
    <s v="Routine"/>
    <x v="0"/>
    <s v="Cardiology B"/>
    <s v="Riverside Clinic"/>
    <n v="15"/>
    <n v="41"/>
    <x v="1"/>
  </r>
  <r>
    <s v="APT02018"/>
    <d v="2025-12-21T00:00:00"/>
    <x v="60"/>
    <x v="1"/>
    <s v="Follow-up"/>
    <s v="Routine"/>
    <x v="0"/>
    <s v="Cardiology A"/>
    <s v="Riverside Clinic"/>
    <n v="30"/>
    <n v="38"/>
    <x v="1"/>
  </r>
  <r>
    <s v="APT02019"/>
    <d v="2025-12-18T00:00:00"/>
    <x v="53"/>
    <x v="4"/>
    <s v="New"/>
    <s v="Routine"/>
    <x v="0"/>
    <s v="Orthopaedics A"/>
    <s v="Royal South Hospital"/>
    <n v="30"/>
    <n v="45"/>
    <x v="3"/>
  </r>
  <r>
    <s v="APT02020"/>
    <d v="2025-09-15T00:00:00"/>
    <x v="297"/>
    <x v="1"/>
    <s v="Follow-up"/>
    <s v="Routine"/>
    <x v="1"/>
    <s v="Cardiology B"/>
    <s v="Royal South Hospital"/>
    <n v="15"/>
    <n v="10"/>
    <x v="2"/>
  </r>
  <r>
    <s v="APT02021"/>
    <d v="2025-07-20T00:00:00"/>
    <x v="388"/>
    <x v="3"/>
    <s v="New"/>
    <s v="Routine"/>
    <x v="2"/>
    <s v="Neurology B"/>
    <s v="Riverside Clinic"/>
    <n v="30"/>
    <n v="46"/>
    <x v="3"/>
  </r>
  <r>
    <s v="APT02022"/>
    <d v="2025-11-27T00:00:00"/>
    <x v="13"/>
    <x v="4"/>
    <s v="New"/>
    <s v="Routine"/>
    <x v="0"/>
    <s v="Orthopaedics B"/>
    <s v="Royal South Hospital"/>
    <n v="30"/>
    <n v="71"/>
    <x v="4"/>
  </r>
  <r>
    <s v="APT02023"/>
    <d v="2025-11-26T00:00:00"/>
    <x v="287"/>
    <x v="0"/>
    <s v="Follow-up"/>
    <s v="Routine"/>
    <x v="1"/>
    <s v="Dermatology A"/>
    <s v="Royal South Hospital"/>
    <n v="30"/>
    <n v="36"/>
    <x v="1"/>
  </r>
  <r>
    <s v="APT02024"/>
    <d v="2025-11-05T00:00:00"/>
    <x v="78"/>
    <x v="2"/>
    <s v="Follow-up"/>
    <s v="Urgent"/>
    <x v="0"/>
    <s v="Gastro A"/>
    <s v="Royal South Hospital"/>
    <n v="15"/>
    <n v="33"/>
    <x v="1"/>
  </r>
  <r>
    <s v="APT02025"/>
    <d v="2025-04-27T00:00:00"/>
    <x v="34"/>
    <x v="3"/>
    <s v="Follow-up"/>
    <s v="Urgent"/>
    <x v="0"/>
    <s v="Neurology B"/>
    <s v="Riverside Clinic"/>
    <n v="15"/>
    <n v="40"/>
    <x v="1"/>
  </r>
  <r>
    <s v="APT02026"/>
    <d v="2025-09-20T00:00:00"/>
    <x v="179"/>
    <x v="0"/>
    <s v="Follow-up"/>
    <s v="Urgent"/>
    <x v="0"/>
    <s v="Dermatology A"/>
    <s v="Central Outpatients"/>
    <n v="15"/>
    <n v="71"/>
    <x v="4"/>
  </r>
  <r>
    <s v="APT02027"/>
    <d v="2025-11-10T00:00:00"/>
    <x v="25"/>
    <x v="2"/>
    <s v="Follow-up"/>
    <s v="Routine"/>
    <x v="0"/>
    <s v="Gastro B"/>
    <s v="Riverside Clinic"/>
    <n v="15"/>
    <n v="16"/>
    <x v="0"/>
  </r>
  <r>
    <s v="APT02028"/>
    <d v="2026-03-12T00:00:00"/>
    <x v="239"/>
    <x v="4"/>
    <s v="New"/>
    <s v="Routine"/>
    <x v="1"/>
    <s v="Orthopaedics A"/>
    <s v="Royal South Hospital"/>
    <n v="45"/>
    <n v="38"/>
    <x v="1"/>
  </r>
  <r>
    <s v="APT02029"/>
    <d v="2025-10-09T00:00:00"/>
    <x v="85"/>
    <x v="3"/>
    <s v="New"/>
    <s v="Urgent"/>
    <x v="0"/>
    <s v="Neurology A"/>
    <s v="Central Outpatients"/>
    <n v="45"/>
    <n v="20"/>
    <x v="0"/>
  </r>
  <r>
    <s v="APT02030"/>
    <d v="2025-08-03T00:00:00"/>
    <x v="313"/>
    <x v="4"/>
    <s v="Follow-up"/>
    <s v="Routine"/>
    <x v="0"/>
    <s v="Orthopaedics B"/>
    <s v="Royal South Hospital"/>
    <n v="15"/>
    <n v="25"/>
    <x v="0"/>
  </r>
  <r>
    <s v="APT02031"/>
    <d v="2025-10-20T00:00:00"/>
    <x v="264"/>
    <x v="4"/>
    <s v="Follow-up"/>
    <s v="Routine"/>
    <x v="0"/>
    <s v="Orthopaedics B"/>
    <s v="Central Outpatients"/>
    <n v="15"/>
    <n v="34"/>
    <x v="1"/>
  </r>
  <r>
    <s v="APT02032"/>
    <d v="2025-06-04T00:00:00"/>
    <x v="65"/>
    <x v="0"/>
    <s v="New"/>
    <s v="Routine"/>
    <x v="0"/>
    <s v="Dermatology A"/>
    <s v="Royal South Hospital"/>
    <n v="30"/>
    <n v="59"/>
    <x v="4"/>
  </r>
  <r>
    <s v="APT02033"/>
    <d v="2025-05-04T00:00:00"/>
    <x v="47"/>
    <x v="3"/>
    <s v="New"/>
    <s v="Routine"/>
    <x v="0"/>
    <s v="Neurology B"/>
    <s v="Central Outpatients"/>
    <n v="30"/>
    <n v="67"/>
    <x v="4"/>
  </r>
  <r>
    <s v="APT02034"/>
    <d v="2025-12-03T00:00:00"/>
    <x v="63"/>
    <x v="3"/>
    <s v="New"/>
    <s v="Routine"/>
    <x v="0"/>
    <s v="Neurology A"/>
    <s v="Central Outpatients"/>
    <n v="30"/>
    <n v="43"/>
    <x v="3"/>
  </r>
  <r>
    <s v="APT02035"/>
    <d v="2026-03-25T00:00:00"/>
    <x v="11"/>
    <x v="3"/>
    <s v="New"/>
    <s v="Routine"/>
    <x v="0"/>
    <s v="Neurology B"/>
    <s v="Central Outpatients"/>
    <n v="45"/>
    <n v="28"/>
    <x v="0"/>
  </r>
  <r>
    <s v="APT02036"/>
    <d v="2026-02-02T00:00:00"/>
    <x v="11"/>
    <x v="3"/>
    <s v="Follow-up"/>
    <s v="Routine"/>
    <x v="0"/>
    <s v="Neurology B"/>
    <s v="Royal South Hospital"/>
    <n v="30"/>
    <n v="79"/>
    <x v="4"/>
  </r>
  <r>
    <s v="APT02037"/>
    <d v="2025-10-30T00:00:00"/>
    <x v="25"/>
    <x v="3"/>
    <s v="New"/>
    <s v="Routine"/>
    <x v="0"/>
    <s v="Neurology B"/>
    <s v="Central Outpatients"/>
    <n v="45"/>
    <n v="27"/>
    <x v="0"/>
  </r>
  <r>
    <s v="APT02038"/>
    <d v="2025-04-15T00:00:00"/>
    <x v="115"/>
    <x v="4"/>
    <s v="Follow-up"/>
    <s v="Routine"/>
    <x v="0"/>
    <s v="Orthopaedics A"/>
    <s v="Riverside Clinic"/>
    <n v="30"/>
    <n v="24"/>
    <x v="0"/>
  </r>
  <r>
    <s v="APT02039"/>
    <d v="2026-03-26T00:00:00"/>
    <x v="256"/>
    <x v="0"/>
    <s v="Follow-up"/>
    <s v="Routine"/>
    <x v="0"/>
    <s v="Dermatology A"/>
    <s v="Royal South Hospital"/>
    <n v="30"/>
    <n v="3"/>
    <x v="2"/>
  </r>
  <r>
    <s v="APT02040"/>
    <d v="2025-09-11T00:00:00"/>
    <x v="323"/>
    <x v="3"/>
    <s v="Follow-up"/>
    <s v="Routine"/>
    <x v="0"/>
    <s v="Neurology B"/>
    <s v="Royal South Hospital"/>
    <n v="30"/>
    <n v="60"/>
    <x v="4"/>
  </r>
  <r>
    <s v="APT02041"/>
    <d v="2025-07-15T00:00:00"/>
    <x v="125"/>
    <x v="0"/>
    <s v="Follow-up"/>
    <s v="Routine"/>
    <x v="0"/>
    <s v="Dermatology B"/>
    <s v="Riverside Clinic"/>
    <n v="15"/>
    <n v="52"/>
    <x v="3"/>
  </r>
  <r>
    <s v="APT02042"/>
    <d v="2026-02-19T00:00:00"/>
    <x v="151"/>
    <x v="2"/>
    <s v="New"/>
    <s v="Routine"/>
    <x v="0"/>
    <s v="Gastro A"/>
    <s v="Central Outpatients"/>
    <n v="45"/>
    <n v="78"/>
    <x v="4"/>
  </r>
  <r>
    <s v="APT02043"/>
    <d v="2025-12-28T00:00:00"/>
    <x v="223"/>
    <x v="4"/>
    <s v="New"/>
    <s v="Routine"/>
    <x v="1"/>
    <s v="Orthopaedics B"/>
    <s v="Central Outpatients"/>
    <n v="30"/>
    <n v="9"/>
    <x v="2"/>
  </r>
  <r>
    <s v="APT02044"/>
    <d v="2025-12-29T00:00:00"/>
    <x v="262"/>
    <x v="4"/>
    <s v="New"/>
    <s v="Routine"/>
    <x v="0"/>
    <s v="Orthopaedics A"/>
    <s v="Royal South Hospital"/>
    <n v="30"/>
    <n v="61"/>
    <x v="4"/>
  </r>
  <r>
    <s v="APT02045"/>
    <d v="2025-07-11T00:00:00"/>
    <x v="111"/>
    <x v="2"/>
    <s v="New"/>
    <s v="Routine"/>
    <x v="1"/>
    <s v="Gastro A"/>
    <s v="Riverside Clinic"/>
    <n v="45"/>
    <n v="36"/>
    <x v="1"/>
  </r>
  <r>
    <s v="APT02046"/>
    <d v="2026-03-28T00:00:00"/>
    <x v="356"/>
    <x v="2"/>
    <s v="New"/>
    <s v="Urgent"/>
    <x v="0"/>
    <s v="Gastro B"/>
    <s v="Royal South Hospital"/>
    <n v="45"/>
    <n v="49"/>
    <x v="3"/>
  </r>
  <r>
    <s v="APT02047"/>
    <d v="2025-09-12T00:00:00"/>
    <x v="73"/>
    <x v="0"/>
    <s v="New"/>
    <s v="Routine"/>
    <x v="0"/>
    <s v="Dermatology A"/>
    <s v="Royal South Hospital"/>
    <n v="45"/>
    <n v="5"/>
    <x v="2"/>
  </r>
  <r>
    <s v="APT02048"/>
    <d v="2025-10-11T00:00:00"/>
    <x v="169"/>
    <x v="1"/>
    <s v="New"/>
    <s v="Routine"/>
    <x v="0"/>
    <s v="Cardiology B"/>
    <s v="Central Outpatients"/>
    <n v="30"/>
    <n v="61"/>
    <x v="4"/>
  </r>
  <r>
    <s v="APT02049"/>
    <d v="2025-12-30T00:00:00"/>
    <x v="224"/>
    <x v="0"/>
    <s v="New"/>
    <s v="Urgent"/>
    <x v="0"/>
    <s v="Dermatology B"/>
    <s v="Riverside Clinic"/>
    <n v="30"/>
    <n v="49"/>
    <x v="3"/>
  </r>
  <r>
    <s v="APT02050"/>
    <d v="2025-11-27T00:00:00"/>
    <x v="68"/>
    <x v="4"/>
    <s v="Follow-up"/>
    <s v="Routine"/>
    <x v="0"/>
    <s v="Orthopaedics B"/>
    <s v="Central Outpatients"/>
    <n v="15"/>
    <n v="34"/>
    <x v="1"/>
  </r>
  <r>
    <s v="APT02051"/>
    <d v="2025-06-02T00:00:00"/>
    <x v="380"/>
    <x v="0"/>
    <s v="New"/>
    <s v="Routine"/>
    <x v="0"/>
    <s v="Dermatology A"/>
    <s v="Riverside Clinic"/>
    <n v="30"/>
    <n v="46"/>
    <x v="3"/>
  </r>
  <r>
    <s v="APT02052"/>
    <d v="2025-07-20T00:00:00"/>
    <x v="238"/>
    <x v="4"/>
    <s v="New"/>
    <s v="Routine"/>
    <x v="0"/>
    <s v="Orthopaedics A"/>
    <s v="Royal South Hospital"/>
    <n v="45"/>
    <n v="21"/>
    <x v="0"/>
  </r>
  <r>
    <s v="APT02053"/>
    <d v="2025-08-10T00:00:00"/>
    <x v="141"/>
    <x v="0"/>
    <s v="Follow-up"/>
    <s v="Routine"/>
    <x v="0"/>
    <s v="Dermatology A"/>
    <s v="Riverside Clinic"/>
    <n v="30"/>
    <n v="24"/>
    <x v="0"/>
  </r>
  <r>
    <s v="APT02054"/>
    <d v="2026-03-11T00:00:00"/>
    <x v="253"/>
    <x v="3"/>
    <s v="New"/>
    <s v="Routine"/>
    <x v="0"/>
    <s v="Neurology A"/>
    <s v="Royal South Hospital"/>
    <n v="30"/>
    <n v="26"/>
    <x v="0"/>
  </r>
  <r>
    <s v="APT02055"/>
    <d v="2025-12-17T00:00:00"/>
    <x v="312"/>
    <x v="2"/>
    <s v="Follow-up"/>
    <s v="Routine"/>
    <x v="1"/>
    <s v="Gastro B"/>
    <s v="Central Outpatients"/>
    <n v="15"/>
    <n v="2"/>
    <x v="2"/>
  </r>
  <r>
    <s v="APT02056"/>
    <d v="2025-08-12T00:00:00"/>
    <x v="75"/>
    <x v="3"/>
    <s v="Follow-up"/>
    <s v="Routine"/>
    <x v="2"/>
    <s v="Neurology A"/>
    <s v="Central Outpatients"/>
    <n v="15"/>
    <n v="50"/>
    <x v="3"/>
  </r>
  <r>
    <s v="APT02057"/>
    <d v="2025-12-24T00:00:00"/>
    <x v="84"/>
    <x v="3"/>
    <s v="Follow-up"/>
    <s v="Routine"/>
    <x v="0"/>
    <s v="Neurology A"/>
    <s v="Central Outpatients"/>
    <n v="30"/>
    <n v="56"/>
    <x v="3"/>
  </r>
  <r>
    <s v="APT02058"/>
    <d v="2025-12-25T00:00:00"/>
    <x v="7"/>
    <x v="3"/>
    <s v="New"/>
    <s v="Routine"/>
    <x v="0"/>
    <s v="Neurology B"/>
    <s v="Central Outpatients"/>
    <n v="30"/>
    <n v="22"/>
    <x v="0"/>
  </r>
  <r>
    <s v="APT02059"/>
    <d v="2025-08-22T00:00:00"/>
    <x v="363"/>
    <x v="4"/>
    <s v="Follow-up"/>
    <s v="Routine"/>
    <x v="0"/>
    <s v="Orthopaedics B"/>
    <s v="Riverside Clinic"/>
    <n v="15"/>
    <n v="41"/>
    <x v="1"/>
  </r>
  <r>
    <s v="APT02060"/>
    <d v="2025-08-25T00:00:00"/>
    <x v="156"/>
    <x v="2"/>
    <s v="Follow-up"/>
    <s v="Urgent"/>
    <x v="2"/>
    <s v="Gastro A"/>
    <s v="Royal South Hospital"/>
    <n v="15"/>
    <n v="30"/>
    <x v="1"/>
  </r>
  <r>
    <s v="APT02061"/>
    <d v="2026-02-20T00:00:00"/>
    <x v="260"/>
    <x v="1"/>
    <s v="New"/>
    <s v="Routine"/>
    <x v="0"/>
    <s v="Cardiology A"/>
    <s v="Central Outpatients"/>
    <n v="30"/>
    <n v="40"/>
    <x v="1"/>
  </r>
  <r>
    <s v="APT02062"/>
    <d v="2025-10-22T00:00:00"/>
    <x v="64"/>
    <x v="0"/>
    <s v="New"/>
    <s v="Routine"/>
    <x v="0"/>
    <s v="Dermatology B"/>
    <s v="Royal South Hospital"/>
    <n v="30"/>
    <n v="23"/>
    <x v="0"/>
  </r>
  <r>
    <s v="APT02063"/>
    <d v="2025-05-25T00:00:00"/>
    <x v="155"/>
    <x v="3"/>
    <s v="New"/>
    <s v="Routine"/>
    <x v="2"/>
    <s v="Neurology B"/>
    <s v="Central Outpatients"/>
    <n v="30"/>
    <n v="19"/>
    <x v="0"/>
  </r>
  <r>
    <s v="APT02064"/>
    <d v="2025-12-19T00:00:00"/>
    <x v="195"/>
    <x v="2"/>
    <s v="Follow-up"/>
    <s v="Routine"/>
    <x v="0"/>
    <s v="Gastro B"/>
    <s v="Royal South Hospital"/>
    <n v="15"/>
    <n v="53"/>
    <x v="3"/>
  </r>
  <r>
    <s v="APT02065"/>
    <d v="2025-11-01T00:00:00"/>
    <x v="306"/>
    <x v="2"/>
    <s v="New"/>
    <s v="Routine"/>
    <x v="0"/>
    <s v="Gastro A"/>
    <s v="Central Outpatients"/>
    <n v="30"/>
    <n v="33"/>
    <x v="1"/>
  </r>
  <r>
    <s v="APT02066"/>
    <d v="2025-10-03T00:00:00"/>
    <x v="217"/>
    <x v="2"/>
    <s v="New"/>
    <s v="Routine"/>
    <x v="2"/>
    <s v="Gastro A"/>
    <s v="Riverside Clinic"/>
    <n v="30"/>
    <n v="71"/>
    <x v="4"/>
  </r>
  <r>
    <s v="APT02067"/>
    <d v="2025-12-20T00:00:00"/>
    <x v="15"/>
    <x v="0"/>
    <s v="Follow-up"/>
    <s v="Routine"/>
    <x v="2"/>
    <s v="Dermatology A"/>
    <s v="Central Outpatients"/>
    <n v="30"/>
    <n v="35"/>
    <x v="1"/>
  </r>
  <r>
    <s v="APT02068"/>
    <d v="2026-02-25T00:00:00"/>
    <x v="162"/>
    <x v="4"/>
    <s v="Follow-up"/>
    <s v="Urgent"/>
    <x v="0"/>
    <s v="Orthopaedics A"/>
    <s v="Royal South Hospital"/>
    <n v="15"/>
    <n v="18"/>
    <x v="0"/>
  </r>
  <r>
    <s v="APT02069"/>
    <d v="2025-07-30T00:00:00"/>
    <x v="297"/>
    <x v="3"/>
    <s v="New"/>
    <s v="Urgent"/>
    <x v="0"/>
    <s v="Neurology A"/>
    <s v="Riverside Clinic"/>
    <n v="30"/>
    <n v="57"/>
    <x v="4"/>
  </r>
  <r>
    <s v="APT02070"/>
    <d v="2025-08-31T00:00:00"/>
    <x v="276"/>
    <x v="3"/>
    <s v="New"/>
    <s v="Routine"/>
    <x v="0"/>
    <s v="Neurology A"/>
    <s v="Central Outpatients"/>
    <n v="30"/>
    <n v="46"/>
    <x v="3"/>
  </r>
  <r>
    <s v="APT02071"/>
    <d v="2025-06-08T00:00:00"/>
    <x v="133"/>
    <x v="3"/>
    <s v="New"/>
    <s v="Routine"/>
    <x v="0"/>
    <s v="Neurology B"/>
    <s v="Royal South Hospital"/>
    <n v="45"/>
    <n v="48"/>
    <x v="3"/>
  </r>
  <r>
    <s v="APT02072"/>
    <d v="2025-11-22T00:00:00"/>
    <x v="150"/>
    <x v="4"/>
    <s v="Follow-up"/>
    <s v="Routine"/>
    <x v="0"/>
    <s v="Orthopaedics B"/>
    <s v="Royal South Hospital"/>
    <n v="30"/>
    <n v="56"/>
    <x v="3"/>
  </r>
  <r>
    <s v="APT02073"/>
    <d v="2025-08-25T00:00:00"/>
    <x v="73"/>
    <x v="2"/>
    <s v="Follow-up"/>
    <s v="Routine"/>
    <x v="0"/>
    <s v="Gastro B"/>
    <s v="Royal South Hospital"/>
    <n v="30"/>
    <n v="23"/>
    <x v="0"/>
  </r>
  <r>
    <s v="APT02074"/>
    <d v="2025-08-03T00:00:00"/>
    <x v="388"/>
    <x v="4"/>
    <s v="Follow-up"/>
    <s v="Urgent"/>
    <x v="0"/>
    <s v="Orthopaedics B"/>
    <s v="Riverside Clinic"/>
    <n v="15"/>
    <n v="32"/>
    <x v="1"/>
  </r>
  <r>
    <s v="APT02075"/>
    <d v="2025-12-10T00:00:00"/>
    <x v="205"/>
    <x v="1"/>
    <s v="New"/>
    <s v="Routine"/>
    <x v="0"/>
    <s v="Cardiology A"/>
    <s v="Riverside Clinic"/>
    <n v="45"/>
    <n v="31"/>
    <x v="1"/>
  </r>
  <r>
    <s v="APT02076"/>
    <d v="2025-08-27T00:00:00"/>
    <x v="218"/>
    <x v="3"/>
    <s v="New"/>
    <s v="Routine"/>
    <x v="2"/>
    <s v="Neurology B"/>
    <s v="Riverside Clinic"/>
    <n v="30"/>
    <n v="11"/>
    <x v="2"/>
  </r>
  <r>
    <s v="APT02077"/>
    <d v="2025-09-17T00:00:00"/>
    <x v="285"/>
    <x v="3"/>
    <s v="New"/>
    <s v="Routine"/>
    <x v="1"/>
    <s v="Neurology A"/>
    <s v="Royal South Hospital"/>
    <n v="45"/>
    <n v="30"/>
    <x v="1"/>
  </r>
  <r>
    <s v="APT02078"/>
    <d v="2025-09-08T00:00:00"/>
    <x v="129"/>
    <x v="2"/>
    <s v="New"/>
    <s v="Routine"/>
    <x v="0"/>
    <s v="Gastro B"/>
    <s v="Royal South Hospital"/>
    <n v="45"/>
    <n v="59"/>
    <x v="4"/>
  </r>
  <r>
    <s v="APT02079"/>
    <d v="2025-07-04T00:00:00"/>
    <x v="87"/>
    <x v="0"/>
    <s v="Follow-up"/>
    <s v="Routine"/>
    <x v="0"/>
    <s v="Dermatology B"/>
    <s v="Central Outpatients"/>
    <n v="15"/>
    <n v="39"/>
    <x v="1"/>
  </r>
  <r>
    <s v="APT02080"/>
    <d v="2025-05-16T00:00:00"/>
    <x v="335"/>
    <x v="2"/>
    <s v="Follow-up"/>
    <s v="Routine"/>
    <x v="0"/>
    <s v="Gastro A"/>
    <s v="Riverside Clinic"/>
    <n v="30"/>
    <n v="10"/>
    <x v="2"/>
  </r>
  <r>
    <s v="APT02081"/>
    <d v="2026-01-27T00:00:00"/>
    <x v="18"/>
    <x v="0"/>
    <s v="New"/>
    <s v="Routine"/>
    <x v="0"/>
    <s v="Dermatology A"/>
    <s v="Royal South Hospital"/>
    <n v="45"/>
    <n v="6"/>
    <x v="2"/>
  </r>
  <r>
    <s v="APT02082"/>
    <d v="2025-05-04T00:00:00"/>
    <x v="233"/>
    <x v="4"/>
    <s v="Follow-up"/>
    <s v="Routine"/>
    <x v="0"/>
    <s v="Orthopaedics A"/>
    <s v="Royal South Hospital"/>
    <n v="30"/>
    <n v="64"/>
    <x v="4"/>
  </r>
  <r>
    <s v="APT02083"/>
    <d v="2025-07-28T00:00:00"/>
    <x v="321"/>
    <x v="0"/>
    <s v="New"/>
    <s v="Routine"/>
    <x v="0"/>
    <s v="Dermatology A"/>
    <s v="Royal South Hospital"/>
    <n v="30"/>
    <n v="33"/>
    <x v="1"/>
  </r>
  <r>
    <s v="APT02084"/>
    <d v="2025-11-29T00:00:00"/>
    <x v="396"/>
    <x v="1"/>
    <s v="Follow-up"/>
    <s v="Routine"/>
    <x v="0"/>
    <s v="Cardiology A"/>
    <s v="Central Outpatients"/>
    <n v="15"/>
    <n v="23"/>
    <x v="0"/>
  </r>
  <r>
    <s v="APT02085"/>
    <d v="2025-05-18T00:00:00"/>
    <x v="143"/>
    <x v="2"/>
    <s v="New"/>
    <s v="Routine"/>
    <x v="0"/>
    <s v="Gastro A"/>
    <s v="Riverside Clinic"/>
    <n v="30"/>
    <n v="30"/>
    <x v="1"/>
  </r>
  <r>
    <s v="APT02086"/>
    <d v="2025-11-25T00:00:00"/>
    <x v="252"/>
    <x v="0"/>
    <s v="Follow-up"/>
    <s v="Urgent"/>
    <x v="0"/>
    <s v="Dermatology B"/>
    <s v="Riverside Clinic"/>
    <n v="30"/>
    <n v="8"/>
    <x v="2"/>
  </r>
  <r>
    <s v="APT02087"/>
    <d v="2025-12-23T00:00:00"/>
    <x v="261"/>
    <x v="1"/>
    <s v="New"/>
    <s v="Routine"/>
    <x v="2"/>
    <s v="Cardiology A"/>
    <s v="Riverside Clinic"/>
    <n v="30"/>
    <n v="60"/>
    <x v="4"/>
  </r>
  <r>
    <s v="APT02088"/>
    <d v="2025-11-28T00:00:00"/>
    <x v="199"/>
    <x v="2"/>
    <s v="Follow-up"/>
    <s v="Routine"/>
    <x v="0"/>
    <s v="Gastro B"/>
    <s v="Central Outpatients"/>
    <n v="15"/>
    <n v="27"/>
    <x v="0"/>
  </r>
  <r>
    <s v="APT02089"/>
    <d v="2025-07-21T00:00:00"/>
    <x v="245"/>
    <x v="2"/>
    <s v="Follow-up"/>
    <s v="Routine"/>
    <x v="0"/>
    <s v="Gastro A"/>
    <s v="Royal South Hospital"/>
    <n v="15"/>
    <n v="59"/>
    <x v="4"/>
  </r>
  <r>
    <s v="APT02090"/>
    <d v="2025-04-08T00:00:00"/>
    <x v="103"/>
    <x v="1"/>
    <s v="Follow-up"/>
    <s v="Routine"/>
    <x v="0"/>
    <s v="Cardiology B"/>
    <s v="Royal South Hospital"/>
    <n v="15"/>
    <n v="35"/>
    <x v="1"/>
  </r>
  <r>
    <s v="APT02091"/>
    <d v="2026-02-17T00:00:00"/>
    <x v="181"/>
    <x v="2"/>
    <s v="Follow-up"/>
    <s v="Routine"/>
    <x v="2"/>
    <s v="Gastro B"/>
    <s v="Royal South Hospital"/>
    <n v="15"/>
    <n v="60"/>
    <x v="4"/>
  </r>
  <r>
    <s v="APT02092"/>
    <d v="2025-07-28T00:00:00"/>
    <x v="125"/>
    <x v="2"/>
    <s v="New"/>
    <s v="Routine"/>
    <x v="0"/>
    <s v="Gastro B"/>
    <s v="Central Outpatients"/>
    <n v="45"/>
    <n v="39"/>
    <x v="1"/>
  </r>
  <r>
    <s v="APT02093"/>
    <d v="2026-01-19T00:00:00"/>
    <x v="189"/>
    <x v="4"/>
    <s v="Follow-up"/>
    <s v="Routine"/>
    <x v="0"/>
    <s v="Orthopaedics A"/>
    <s v="Riverside Clinic"/>
    <n v="15"/>
    <n v="50"/>
    <x v="3"/>
  </r>
  <r>
    <s v="APT02094"/>
    <d v="2025-06-12T00:00:00"/>
    <x v="296"/>
    <x v="0"/>
    <s v="New"/>
    <s v="Routine"/>
    <x v="0"/>
    <s v="Dermatology A"/>
    <s v="Riverside Clinic"/>
    <n v="30"/>
    <n v="47"/>
    <x v="3"/>
  </r>
  <r>
    <s v="APT02095"/>
    <d v="2025-05-30T00:00:00"/>
    <x v="259"/>
    <x v="0"/>
    <s v="Follow-up"/>
    <s v="Routine"/>
    <x v="0"/>
    <s v="Dermatology A"/>
    <s v="Central Outpatients"/>
    <n v="15"/>
    <n v="46"/>
    <x v="3"/>
  </r>
  <r>
    <s v="APT02096"/>
    <d v="2026-01-09T00:00:00"/>
    <x v="74"/>
    <x v="4"/>
    <s v="New"/>
    <s v="Routine"/>
    <x v="0"/>
    <s v="Orthopaedics B"/>
    <s v="Royal South Hospital"/>
    <n v="30"/>
    <n v="41"/>
    <x v="1"/>
  </r>
  <r>
    <s v="APT02097"/>
    <d v="2026-03-09T00:00:00"/>
    <x v="295"/>
    <x v="2"/>
    <s v="New"/>
    <s v="Urgent"/>
    <x v="2"/>
    <s v="Gastro B"/>
    <s v="Royal South Hospital"/>
    <n v="30"/>
    <n v="30"/>
    <x v="1"/>
  </r>
  <r>
    <s v="APT02098"/>
    <d v="2026-02-08T00:00:00"/>
    <x v="181"/>
    <x v="1"/>
    <s v="Follow-up"/>
    <s v="Urgent"/>
    <x v="0"/>
    <s v="Cardiology B"/>
    <s v="Riverside Clinic"/>
    <n v="30"/>
    <n v="69"/>
    <x v="4"/>
  </r>
  <r>
    <s v="APT02099"/>
    <d v="2025-12-30T00:00:00"/>
    <x v="150"/>
    <x v="4"/>
    <s v="New"/>
    <s v="Routine"/>
    <x v="0"/>
    <s v="Orthopaedics B"/>
    <s v="Central Outpatients"/>
    <n v="30"/>
    <n v="18"/>
    <x v="0"/>
  </r>
  <r>
    <s v="APT02100"/>
    <d v="2025-06-29T00:00:00"/>
    <x v="116"/>
    <x v="1"/>
    <s v="Follow-up"/>
    <s v="Routine"/>
    <x v="0"/>
    <s v="Cardiology A"/>
    <s v="Royal South Hospital"/>
    <n v="15"/>
    <n v="35"/>
    <x v="1"/>
  </r>
  <r>
    <s v="APT02101"/>
    <d v="2026-02-27T00:00:00"/>
    <x v="241"/>
    <x v="4"/>
    <s v="New"/>
    <s v="Routine"/>
    <x v="0"/>
    <s v="Orthopaedics A"/>
    <s v="Royal South Hospital"/>
    <n v="30"/>
    <n v="35"/>
    <x v="1"/>
  </r>
  <r>
    <s v="APT02102"/>
    <d v="2025-11-30T00:00:00"/>
    <x v="50"/>
    <x v="3"/>
    <s v="Follow-up"/>
    <s v="Urgent"/>
    <x v="0"/>
    <s v="Neurology A"/>
    <s v="Central Outpatients"/>
    <n v="30"/>
    <n v="42"/>
    <x v="1"/>
  </r>
  <r>
    <s v="APT02103"/>
    <d v="2025-06-02T00:00:00"/>
    <x v="130"/>
    <x v="4"/>
    <s v="Follow-up"/>
    <s v="Routine"/>
    <x v="0"/>
    <s v="Orthopaedics A"/>
    <s v="Riverside Clinic"/>
    <n v="15"/>
    <n v="27"/>
    <x v="0"/>
  </r>
  <r>
    <s v="APT02104"/>
    <d v="2025-05-18T00:00:00"/>
    <x v="80"/>
    <x v="4"/>
    <s v="Follow-up"/>
    <s v="Routine"/>
    <x v="1"/>
    <s v="Orthopaedics B"/>
    <s v="Riverside Clinic"/>
    <n v="30"/>
    <n v="40"/>
    <x v="1"/>
  </r>
  <r>
    <s v="APT02105"/>
    <d v="2026-02-12T00:00:00"/>
    <x v="162"/>
    <x v="0"/>
    <s v="New"/>
    <s v="Routine"/>
    <x v="0"/>
    <s v="Dermatology A"/>
    <s v="Royal South Hospital"/>
    <n v="30"/>
    <n v="31"/>
    <x v="1"/>
  </r>
  <r>
    <s v="APT02106"/>
    <d v="2025-07-10T00:00:00"/>
    <x v="178"/>
    <x v="4"/>
    <s v="New"/>
    <s v="Routine"/>
    <x v="1"/>
    <s v="Orthopaedics B"/>
    <s v="Royal South Hospital"/>
    <n v="30"/>
    <n v="6"/>
    <x v="2"/>
  </r>
  <r>
    <s v="APT02107"/>
    <d v="2026-01-04T00:00:00"/>
    <x v="203"/>
    <x v="0"/>
    <s v="New"/>
    <s v="Routine"/>
    <x v="2"/>
    <s v="Dermatology A"/>
    <s v="Royal South Hospital"/>
    <n v="30"/>
    <n v="35"/>
    <x v="1"/>
  </r>
  <r>
    <s v="APT02108"/>
    <d v="2025-05-21T00:00:00"/>
    <x v="91"/>
    <x v="3"/>
    <s v="New"/>
    <s v="Routine"/>
    <x v="0"/>
    <s v="Neurology A"/>
    <s v="Royal South Hospital"/>
    <n v="45"/>
    <n v="15"/>
    <x v="0"/>
  </r>
  <r>
    <s v="APT02109"/>
    <d v="2025-07-12T00:00:00"/>
    <x v="259"/>
    <x v="2"/>
    <s v="Follow-up"/>
    <s v="Routine"/>
    <x v="0"/>
    <s v="Gastro A"/>
    <s v="Central Outpatients"/>
    <n v="15"/>
    <n v="3"/>
    <x v="2"/>
  </r>
  <r>
    <s v="APT02110"/>
    <d v="2025-07-13T00:00:00"/>
    <x v="196"/>
    <x v="1"/>
    <s v="New"/>
    <s v="Urgent"/>
    <x v="2"/>
    <s v="Cardiology B"/>
    <s v="Riverside Clinic"/>
    <n v="30"/>
    <n v="37"/>
    <x v="1"/>
  </r>
  <r>
    <s v="APT02111"/>
    <d v="2025-07-12T00:00:00"/>
    <x v="193"/>
    <x v="1"/>
    <s v="New"/>
    <s v="Routine"/>
    <x v="1"/>
    <s v="Cardiology B"/>
    <s v="Central Outpatients"/>
    <n v="30"/>
    <n v="43"/>
    <x v="3"/>
  </r>
  <r>
    <s v="APT02112"/>
    <d v="2025-12-02T00:00:00"/>
    <x v="63"/>
    <x v="1"/>
    <s v="New"/>
    <s v="Urgent"/>
    <x v="0"/>
    <s v="Cardiology B"/>
    <s v="Royal South Hospital"/>
    <n v="30"/>
    <n v="44"/>
    <x v="3"/>
  </r>
  <r>
    <s v="APT02113"/>
    <d v="2026-02-27T00:00:00"/>
    <x v="221"/>
    <x v="1"/>
    <s v="Follow-up"/>
    <s v="Routine"/>
    <x v="2"/>
    <s v="Cardiology B"/>
    <s v="Royal South Hospital"/>
    <n v="30"/>
    <n v="45"/>
    <x v="3"/>
  </r>
  <r>
    <s v="APT02114"/>
    <d v="2026-02-26T00:00:00"/>
    <x v="262"/>
    <x v="0"/>
    <s v="New"/>
    <s v="Urgent"/>
    <x v="0"/>
    <s v="Dermatology B"/>
    <s v="Riverside Clinic"/>
    <n v="30"/>
    <n v="2"/>
    <x v="2"/>
  </r>
  <r>
    <s v="APT02115"/>
    <d v="2025-12-26T00:00:00"/>
    <x v="79"/>
    <x v="4"/>
    <s v="New"/>
    <s v="Routine"/>
    <x v="0"/>
    <s v="Orthopaedics A"/>
    <s v="Royal South Hospital"/>
    <n v="30"/>
    <n v="10"/>
    <x v="2"/>
  </r>
  <r>
    <s v="APT02116"/>
    <d v="2025-06-13T00:00:00"/>
    <x v="298"/>
    <x v="2"/>
    <s v="Follow-up"/>
    <s v="Routine"/>
    <x v="0"/>
    <s v="Gastro A"/>
    <s v="Royal South Hospital"/>
    <n v="15"/>
    <n v="70"/>
    <x v="4"/>
  </r>
  <r>
    <s v="APT02117"/>
    <d v="2026-03-16T00:00:00"/>
    <x v="260"/>
    <x v="4"/>
    <s v="New"/>
    <s v="Routine"/>
    <x v="0"/>
    <s v="Orthopaedics A"/>
    <s v="Royal South Hospital"/>
    <n v="45"/>
    <n v="16"/>
    <x v="0"/>
  </r>
  <r>
    <s v="APT02118"/>
    <d v="2025-10-15T00:00:00"/>
    <x v="202"/>
    <x v="4"/>
    <s v="Follow-up"/>
    <s v="Urgent"/>
    <x v="0"/>
    <s v="Orthopaedics A"/>
    <s v="Royal South Hospital"/>
    <n v="30"/>
    <n v="45"/>
    <x v="3"/>
  </r>
  <r>
    <s v="APT02119"/>
    <d v="2025-10-16T00:00:00"/>
    <x v="300"/>
    <x v="3"/>
    <s v="New"/>
    <s v="Routine"/>
    <x v="0"/>
    <s v="Neurology A"/>
    <s v="Royal South Hospital"/>
    <n v="30"/>
    <n v="22"/>
    <x v="0"/>
  </r>
  <r>
    <s v="APT02120"/>
    <d v="2025-12-12T00:00:00"/>
    <x v="150"/>
    <x v="0"/>
    <s v="Follow-up"/>
    <s v="Routine"/>
    <x v="0"/>
    <s v="Dermatology B"/>
    <s v="Royal South Hospital"/>
    <n v="15"/>
    <n v="36"/>
    <x v="1"/>
  </r>
  <r>
    <s v="APT02121"/>
    <d v="2026-01-05T00:00:00"/>
    <x v="60"/>
    <x v="4"/>
    <s v="Follow-up"/>
    <s v="Routine"/>
    <x v="1"/>
    <s v="Orthopaedics A"/>
    <s v="Central Outpatients"/>
    <n v="15"/>
    <n v="23"/>
    <x v="0"/>
  </r>
  <r>
    <s v="APT02122"/>
    <d v="2026-03-13T00:00:00"/>
    <x v="309"/>
    <x v="3"/>
    <s v="Follow-up"/>
    <s v="Routine"/>
    <x v="0"/>
    <s v="Neurology A"/>
    <s v="Royal South Hospital"/>
    <n v="15"/>
    <n v="45"/>
    <x v="3"/>
  </r>
  <r>
    <s v="APT02123"/>
    <d v="2025-10-29T00:00:00"/>
    <x v="197"/>
    <x v="3"/>
    <s v="Follow-up"/>
    <s v="Routine"/>
    <x v="0"/>
    <s v="Neurology A"/>
    <s v="Riverside Clinic"/>
    <n v="15"/>
    <n v="37"/>
    <x v="1"/>
  </r>
  <r>
    <s v="APT02124"/>
    <d v="2025-11-09T00:00:00"/>
    <x v="197"/>
    <x v="4"/>
    <s v="Follow-up"/>
    <s v="Routine"/>
    <x v="0"/>
    <s v="Orthopaedics A"/>
    <s v="Riverside Clinic"/>
    <n v="15"/>
    <n v="26"/>
    <x v="0"/>
  </r>
  <r>
    <s v="APT02125"/>
    <d v="2025-12-28T00:00:00"/>
    <x v="366"/>
    <x v="2"/>
    <s v="Follow-up"/>
    <s v="Routine"/>
    <x v="0"/>
    <s v="Gastro B"/>
    <s v="Riverside Clinic"/>
    <n v="15"/>
    <n v="16"/>
    <x v="0"/>
  </r>
  <r>
    <s v="APT02126"/>
    <d v="2025-07-02T00:00:00"/>
    <x v="238"/>
    <x v="2"/>
    <s v="Follow-up"/>
    <s v="Routine"/>
    <x v="0"/>
    <s v="Gastro B"/>
    <s v="Riverside Clinic"/>
    <n v="15"/>
    <n v="39"/>
    <x v="1"/>
  </r>
  <r>
    <s v="APT02127"/>
    <d v="2025-07-22T00:00:00"/>
    <x v="311"/>
    <x v="4"/>
    <s v="Follow-up"/>
    <s v="Routine"/>
    <x v="0"/>
    <s v="Orthopaedics B"/>
    <s v="Royal South Hospital"/>
    <n v="15"/>
    <n v="13"/>
    <x v="2"/>
  </r>
  <r>
    <s v="APT02128"/>
    <d v="2025-11-14T00:00:00"/>
    <x v="14"/>
    <x v="2"/>
    <s v="Follow-up"/>
    <s v="Routine"/>
    <x v="0"/>
    <s v="Gastro A"/>
    <s v="Royal South Hospital"/>
    <n v="15"/>
    <n v="42"/>
    <x v="1"/>
  </r>
  <r>
    <s v="APT02129"/>
    <d v="2025-04-24T00:00:00"/>
    <x v="259"/>
    <x v="4"/>
    <s v="Follow-up"/>
    <s v="Routine"/>
    <x v="2"/>
    <s v="Orthopaedics B"/>
    <s v="Riverside Clinic"/>
    <n v="30"/>
    <n v="82"/>
    <x v="4"/>
  </r>
  <r>
    <s v="APT02130"/>
    <d v="2025-07-26T00:00:00"/>
    <x v="4"/>
    <x v="1"/>
    <s v="New"/>
    <s v="Routine"/>
    <x v="0"/>
    <s v="Cardiology A"/>
    <s v="Central Outpatients"/>
    <n v="30"/>
    <n v="59"/>
    <x v="4"/>
  </r>
  <r>
    <s v="APT02131"/>
    <d v="2025-12-18T00:00:00"/>
    <x v="12"/>
    <x v="1"/>
    <s v="New"/>
    <s v="Routine"/>
    <x v="0"/>
    <s v="Cardiology A"/>
    <s v="Royal South Hospital"/>
    <n v="30"/>
    <n v="47"/>
    <x v="3"/>
  </r>
  <r>
    <s v="APT02132"/>
    <d v="2026-03-22T00:00:00"/>
    <x v="394"/>
    <x v="2"/>
    <s v="New"/>
    <s v="Routine"/>
    <x v="1"/>
    <s v="Gastro B"/>
    <s v="Royal South Hospital"/>
    <n v="30"/>
    <n v="33"/>
    <x v="1"/>
  </r>
  <r>
    <s v="APT02133"/>
    <d v="2025-10-07T00:00:00"/>
    <x v="294"/>
    <x v="1"/>
    <s v="New"/>
    <s v="Routine"/>
    <x v="0"/>
    <s v="Cardiology B"/>
    <s v="Central Outpatients"/>
    <n v="30"/>
    <n v="2"/>
    <x v="2"/>
  </r>
  <r>
    <s v="APT02134"/>
    <d v="2025-08-24T00:00:00"/>
    <x v="388"/>
    <x v="4"/>
    <s v="New"/>
    <s v="Routine"/>
    <x v="0"/>
    <s v="Orthopaedics A"/>
    <s v="Riverside Clinic"/>
    <n v="45"/>
    <n v="11"/>
    <x v="2"/>
  </r>
  <r>
    <s v="APT02135"/>
    <d v="2025-09-08T00:00:00"/>
    <x v="191"/>
    <x v="1"/>
    <s v="New"/>
    <s v="Routine"/>
    <x v="0"/>
    <s v="Cardiology A"/>
    <s v="Riverside Clinic"/>
    <n v="30"/>
    <n v="58"/>
    <x v="4"/>
  </r>
  <r>
    <s v="APT02136"/>
    <d v="2025-12-06T00:00:00"/>
    <x v="14"/>
    <x v="3"/>
    <s v="Follow-up"/>
    <s v="Routine"/>
    <x v="0"/>
    <s v="Neurology B"/>
    <s v="Riverside Clinic"/>
    <n v="15"/>
    <n v="20"/>
    <x v="0"/>
  </r>
  <r>
    <s v="APT02137"/>
    <d v="2025-10-16T00:00:00"/>
    <x v="300"/>
    <x v="0"/>
    <s v="Follow-up"/>
    <s v="Routine"/>
    <x v="0"/>
    <s v="Dermatology A"/>
    <s v="Central Outpatients"/>
    <n v="15"/>
    <n v="22"/>
    <x v="0"/>
  </r>
  <r>
    <s v="APT02138"/>
    <d v="2025-04-09T00:00:00"/>
    <x v="9"/>
    <x v="4"/>
    <s v="Follow-up"/>
    <s v="Routine"/>
    <x v="1"/>
    <s v="Orthopaedics A"/>
    <s v="Riverside Clinic"/>
    <n v="15"/>
    <n v="32"/>
    <x v="1"/>
  </r>
  <r>
    <s v="APT02139"/>
    <d v="2025-10-14T00:00:00"/>
    <x v="85"/>
    <x v="0"/>
    <s v="Follow-up"/>
    <s v="Urgent"/>
    <x v="0"/>
    <s v="Dermatology B"/>
    <s v="Riverside Clinic"/>
    <n v="15"/>
    <n v="15"/>
    <x v="0"/>
  </r>
  <r>
    <s v="APT02140"/>
    <d v="2025-08-24T00:00:00"/>
    <x v="125"/>
    <x v="1"/>
    <s v="New"/>
    <s v="Routine"/>
    <x v="1"/>
    <s v="Cardiology A"/>
    <s v="Central Outpatients"/>
    <n v="30"/>
    <n v="12"/>
    <x v="2"/>
  </r>
  <r>
    <s v="APT02141"/>
    <d v="2025-12-12T00:00:00"/>
    <x v="63"/>
    <x v="1"/>
    <s v="New"/>
    <s v="Routine"/>
    <x v="0"/>
    <s v="Cardiology A"/>
    <s v="Royal South Hospital"/>
    <n v="30"/>
    <n v="34"/>
    <x v="1"/>
  </r>
  <r>
    <s v="APT02142"/>
    <d v="2026-02-13T00:00:00"/>
    <x v="293"/>
    <x v="2"/>
    <s v="Follow-up"/>
    <s v="Routine"/>
    <x v="0"/>
    <s v="Gastro A"/>
    <s v="Central Outpatients"/>
    <n v="15"/>
    <n v="18"/>
    <x v="0"/>
  </r>
  <r>
    <s v="APT02143"/>
    <d v="2026-03-17T00:00:00"/>
    <x v="109"/>
    <x v="4"/>
    <s v="Follow-up"/>
    <s v="Routine"/>
    <x v="0"/>
    <s v="Orthopaedics A"/>
    <s v="Central Outpatients"/>
    <n v="15"/>
    <n v="21"/>
    <x v="0"/>
  </r>
  <r>
    <s v="APT02144"/>
    <d v="2025-11-09T00:00:00"/>
    <x v="202"/>
    <x v="4"/>
    <s v="Follow-up"/>
    <s v="Routine"/>
    <x v="0"/>
    <s v="Orthopaedics A"/>
    <s v="Riverside Clinic"/>
    <n v="30"/>
    <n v="20"/>
    <x v="0"/>
  </r>
  <r>
    <s v="APT02145"/>
    <d v="2025-08-10T00:00:00"/>
    <x v="4"/>
    <x v="0"/>
    <s v="Follow-up"/>
    <s v="Urgent"/>
    <x v="0"/>
    <s v="Dermatology B"/>
    <s v="Royal South Hospital"/>
    <n v="30"/>
    <n v="44"/>
    <x v="3"/>
  </r>
  <r>
    <s v="APT02146"/>
    <d v="2025-09-09T00:00:00"/>
    <x v="294"/>
    <x v="2"/>
    <s v="Follow-up"/>
    <s v="Routine"/>
    <x v="0"/>
    <s v="Gastro A"/>
    <s v="Riverside Clinic"/>
    <n v="30"/>
    <n v="30"/>
    <x v="1"/>
  </r>
  <r>
    <s v="APT02147"/>
    <d v="2025-06-04T00:00:00"/>
    <x v="158"/>
    <x v="1"/>
    <s v="Follow-up"/>
    <s v="Routine"/>
    <x v="0"/>
    <s v="Cardiology A"/>
    <s v="Royal South Hospital"/>
    <n v="30"/>
    <n v="31"/>
    <x v="1"/>
  </r>
  <r>
    <s v="APT02148"/>
    <d v="2026-03-07T00:00:00"/>
    <x v="272"/>
    <x v="2"/>
    <s v="Follow-up"/>
    <s v="Routine"/>
    <x v="0"/>
    <s v="Gastro B"/>
    <s v="Riverside Clinic"/>
    <n v="15"/>
    <n v="45"/>
    <x v="3"/>
  </r>
  <r>
    <s v="APT02149"/>
    <d v="2026-02-03T00:00:00"/>
    <x v="36"/>
    <x v="2"/>
    <s v="Follow-up"/>
    <s v="Urgent"/>
    <x v="0"/>
    <s v="Gastro A"/>
    <s v="Royal South Hospital"/>
    <n v="15"/>
    <n v="32"/>
    <x v="1"/>
  </r>
  <r>
    <s v="APT02150"/>
    <d v="2026-02-05T00:00:00"/>
    <x v="250"/>
    <x v="0"/>
    <s v="New"/>
    <s v="Routine"/>
    <x v="0"/>
    <s v="Dermatology B"/>
    <s v="Central Outpatients"/>
    <n v="30"/>
    <n v="29"/>
    <x v="1"/>
  </r>
  <r>
    <s v="APT02151"/>
    <d v="2025-07-29T00:00:00"/>
    <x v="360"/>
    <x v="3"/>
    <s v="New"/>
    <s v="Routine"/>
    <x v="0"/>
    <s v="Neurology A"/>
    <s v="Central Outpatients"/>
    <n v="30"/>
    <n v="43"/>
    <x v="3"/>
  </r>
  <r>
    <s v="APT02152"/>
    <d v="2025-07-27T00:00:00"/>
    <x v="206"/>
    <x v="4"/>
    <s v="New"/>
    <s v="Urgent"/>
    <x v="0"/>
    <s v="Orthopaedics A"/>
    <s v="Royal South Hospital"/>
    <n v="30"/>
    <n v="47"/>
    <x v="3"/>
  </r>
  <r>
    <s v="APT02153"/>
    <d v="2026-02-06T00:00:00"/>
    <x v="189"/>
    <x v="1"/>
    <s v="Follow-up"/>
    <s v="Urgent"/>
    <x v="0"/>
    <s v="Cardiology B"/>
    <s v="Riverside Clinic"/>
    <n v="30"/>
    <n v="32"/>
    <x v="1"/>
  </r>
  <r>
    <s v="APT02154"/>
    <d v="2025-10-16T00:00:00"/>
    <x v="265"/>
    <x v="0"/>
    <s v="Follow-up"/>
    <s v="Routine"/>
    <x v="0"/>
    <s v="Dermatology A"/>
    <s v="Central Outpatients"/>
    <n v="15"/>
    <n v="36"/>
    <x v="1"/>
  </r>
  <r>
    <s v="APT02155"/>
    <d v="2025-12-13T00:00:00"/>
    <x v="246"/>
    <x v="1"/>
    <s v="New"/>
    <s v="Routine"/>
    <x v="0"/>
    <s v="Cardiology A"/>
    <s v="Royal South Hospital"/>
    <n v="30"/>
    <n v="20"/>
    <x v="0"/>
  </r>
  <r>
    <s v="APT02156"/>
    <d v="2025-09-26T00:00:00"/>
    <x v="57"/>
    <x v="1"/>
    <s v="New"/>
    <s v="Routine"/>
    <x v="0"/>
    <s v="Cardiology B"/>
    <s v="Royal South Hospital"/>
    <n v="45"/>
    <n v="19"/>
    <x v="0"/>
  </r>
  <r>
    <s v="APT02157"/>
    <d v="2025-09-09T00:00:00"/>
    <x v="354"/>
    <x v="1"/>
    <s v="Follow-up"/>
    <s v="Urgent"/>
    <x v="0"/>
    <s v="Cardiology A"/>
    <s v="Royal South Hospital"/>
    <n v="15"/>
    <n v="48"/>
    <x v="3"/>
  </r>
  <r>
    <s v="APT02158"/>
    <d v="2025-11-17T00:00:00"/>
    <x v="334"/>
    <x v="3"/>
    <s v="New"/>
    <s v="Routine"/>
    <x v="0"/>
    <s v="Neurology A"/>
    <s v="Central Outpatients"/>
    <n v="30"/>
    <n v="43"/>
    <x v="3"/>
  </r>
  <r>
    <s v="APT02159"/>
    <d v="2026-01-21T00:00:00"/>
    <x v="327"/>
    <x v="1"/>
    <s v="Follow-up"/>
    <s v="Routine"/>
    <x v="2"/>
    <s v="Cardiology A"/>
    <s v="Royal South Hospital"/>
    <n v="30"/>
    <n v="43"/>
    <x v="3"/>
  </r>
  <r>
    <s v="APT02160"/>
    <d v="2025-07-31T00:00:00"/>
    <x v="329"/>
    <x v="3"/>
    <s v="New"/>
    <s v="Routine"/>
    <x v="1"/>
    <s v="Neurology A"/>
    <s v="Royal South Hospital"/>
    <n v="30"/>
    <n v="40"/>
    <x v="1"/>
  </r>
  <r>
    <s v="APT02161"/>
    <d v="2026-01-20T00:00:00"/>
    <x v="230"/>
    <x v="4"/>
    <s v="New"/>
    <s v="Routine"/>
    <x v="0"/>
    <s v="Orthopaedics A"/>
    <s v="Royal South Hospital"/>
    <n v="45"/>
    <n v="35"/>
    <x v="1"/>
  </r>
  <r>
    <s v="APT02162"/>
    <d v="2025-06-28T00:00:00"/>
    <x v="355"/>
    <x v="4"/>
    <s v="New"/>
    <s v="Routine"/>
    <x v="0"/>
    <s v="Orthopaedics A"/>
    <s v="Royal South Hospital"/>
    <n v="30"/>
    <n v="47"/>
    <x v="3"/>
  </r>
  <r>
    <s v="APT02163"/>
    <d v="2025-08-25T00:00:00"/>
    <x v="57"/>
    <x v="3"/>
    <s v="New"/>
    <s v="Routine"/>
    <x v="0"/>
    <s v="Neurology A"/>
    <s v="Royal South Hospital"/>
    <n v="30"/>
    <n v="51"/>
    <x v="3"/>
  </r>
  <r>
    <s v="APT02164"/>
    <d v="2026-02-27T00:00:00"/>
    <x v="239"/>
    <x v="1"/>
    <s v="New"/>
    <s v="Routine"/>
    <x v="0"/>
    <s v="Cardiology A"/>
    <s v="Riverside Clinic"/>
    <n v="45"/>
    <n v="51"/>
    <x v="3"/>
  </r>
  <r>
    <s v="APT02165"/>
    <d v="2026-03-14T00:00:00"/>
    <x v="52"/>
    <x v="1"/>
    <s v="New"/>
    <s v="Routine"/>
    <x v="0"/>
    <s v="Cardiology A"/>
    <s v="Royal South Hospital"/>
    <n v="30"/>
    <n v="33"/>
    <x v="1"/>
  </r>
  <r>
    <s v="APT02166"/>
    <d v="2026-03-03T00:00:00"/>
    <x v="220"/>
    <x v="0"/>
    <s v="New"/>
    <s v="Urgent"/>
    <x v="0"/>
    <s v="Dermatology B"/>
    <s v="Central Outpatients"/>
    <n v="30"/>
    <n v="59"/>
    <x v="4"/>
  </r>
  <r>
    <s v="APT02167"/>
    <d v="2025-07-25T00:00:00"/>
    <x v="175"/>
    <x v="4"/>
    <s v="New"/>
    <s v="Routine"/>
    <x v="0"/>
    <s v="Orthopaedics B"/>
    <s v="Riverside Clinic"/>
    <n v="30"/>
    <n v="39"/>
    <x v="1"/>
  </r>
  <r>
    <s v="APT02168"/>
    <d v="2026-02-01T00:00:00"/>
    <x v="35"/>
    <x v="4"/>
    <s v="Follow-up"/>
    <s v="Routine"/>
    <x v="0"/>
    <s v="Orthopaedics A"/>
    <s v="Central Outpatients"/>
    <n v="30"/>
    <n v="46"/>
    <x v="3"/>
  </r>
  <r>
    <s v="APT02169"/>
    <d v="2026-03-07T00:00:00"/>
    <x v="52"/>
    <x v="0"/>
    <s v="New"/>
    <s v="Urgent"/>
    <x v="0"/>
    <s v="Dermatology A"/>
    <s v="Royal South Hospital"/>
    <n v="30"/>
    <n v="40"/>
    <x v="1"/>
  </r>
  <r>
    <s v="APT02170"/>
    <d v="2026-03-23T00:00:00"/>
    <x v="220"/>
    <x v="0"/>
    <s v="New"/>
    <s v="Routine"/>
    <x v="0"/>
    <s v="Dermatology B"/>
    <s v="Riverside Clinic"/>
    <n v="30"/>
    <n v="39"/>
    <x v="1"/>
  </r>
  <r>
    <s v="APT02171"/>
    <d v="2025-04-08T00:00:00"/>
    <x v="336"/>
    <x v="2"/>
    <s v="New"/>
    <s v="Urgent"/>
    <x v="1"/>
    <s v="Gastro A"/>
    <s v="Central Outpatients"/>
    <n v="30"/>
    <n v="21"/>
    <x v="0"/>
  </r>
  <r>
    <s v="APT02172"/>
    <d v="2025-12-28T00:00:00"/>
    <x v="1"/>
    <x v="0"/>
    <s v="Follow-up"/>
    <s v="Routine"/>
    <x v="2"/>
    <s v="Dermatology A"/>
    <s v="Riverside Clinic"/>
    <n v="30"/>
    <n v="47"/>
    <x v="3"/>
  </r>
  <r>
    <s v="APT02173"/>
    <d v="2026-03-29T00:00:00"/>
    <x v="397"/>
    <x v="4"/>
    <s v="Follow-up"/>
    <s v="Routine"/>
    <x v="0"/>
    <s v="Orthopaedics B"/>
    <s v="Royal South Hospital"/>
    <n v="15"/>
    <n v="86"/>
    <x v="4"/>
  </r>
  <r>
    <s v="APT02174"/>
    <d v="2026-01-04T00:00:00"/>
    <x v="53"/>
    <x v="0"/>
    <s v="Follow-up"/>
    <s v="Routine"/>
    <x v="0"/>
    <s v="Dermatology A"/>
    <s v="Royal South Hospital"/>
    <n v="30"/>
    <n v="28"/>
    <x v="0"/>
  </r>
  <r>
    <s v="APT02175"/>
    <d v="2025-06-24T00:00:00"/>
    <x v="382"/>
    <x v="0"/>
    <s v="Follow-up"/>
    <s v="Routine"/>
    <x v="1"/>
    <s v="Dermatology A"/>
    <s v="Riverside Clinic"/>
    <n v="15"/>
    <n v="36"/>
    <x v="1"/>
  </r>
  <r>
    <s v="APT02176"/>
    <d v="2026-01-03T00:00:00"/>
    <x v="270"/>
    <x v="2"/>
    <s v="New"/>
    <s v="Routine"/>
    <x v="0"/>
    <s v="Gastro B"/>
    <s v="Royal South Hospital"/>
    <n v="30"/>
    <n v="26"/>
    <x v="0"/>
  </r>
  <r>
    <s v="APT02177"/>
    <d v="2025-05-09T00:00:00"/>
    <x v="31"/>
    <x v="1"/>
    <s v="Follow-up"/>
    <s v="Routine"/>
    <x v="0"/>
    <s v="Cardiology A"/>
    <s v="Central Outpatients"/>
    <n v="15"/>
    <n v="26"/>
    <x v="0"/>
  </r>
  <r>
    <s v="APT02178"/>
    <d v="2025-09-22T00:00:00"/>
    <x v="264"/>
    <x v="0"/>
    <s v="New"/>
    <s v="Routine"/>
    <x v="0"/>
    <s v="Dermatology A"/>
    <s v="Central Outpatients"/>
    <n v="30"/>
    <n v="62"/>
    <x v="4"/>
  </r>
  <r>
    <s v="APT02179"/>
    <d v="2025-11-14T00:00:00"/>
    <x v="207"/>
    <x v="4"/>
    <s v="Follow-up"/>
    <s v="Routine"/>
    <x v="0"/>
    <s v="Orthopaedics A"/>
    <s v="Riverside Clinic"/>
    <n v="15"/>
    <n v="22"/>
    <x v="0"/>
  </r>
  <r>
    <s v="APT02180"/>
    <d v="2025-09-14T00:00:00"/>
    <x v="370"/>
    <x v="1"/>
    <s v="New"/>
    <s v="Routine"/>
    <x v="0"/>
    <s v="Cardiology B"/>
    <s v="Central Outpatients"/>
    <n v="45"/>
    <n v="26"/>
    <x v="0"/>
  </r>
  <r>
    <s v="APT02181"/>
    <d v="2025-12-11T00:00:00"/>
    <x v="324"/>
    <x v="2"/>
    <s v="New"/>
    <s v="Routine"/>
    <x v="0"/>
    <s v="Gastro B"/>
    <s v="Riverside Clinic"/>
    <n v="30"/>
    <n v="6"/>
    <x v="2"/>
  </r>
  <r>
    <s v="APT02182"/>
    <d v="2025-06-27T00:00:00"/>
    <x v="380"/>
    <x v="2"/>
    <s v="Follow-up"/>
    <s v="Routine"/>
    <x v="0"/>
    <s v="Gastro B"/>
    <s v="Royal South Hospital"/>
    <n v="15"/>
    <n v="21"/>
    <x v="0"/>
  </r>
  <r>
    <s v="APT02183"/>
    <d v="2025-11-07T00:00:00"/>
    <x v="59"/>
    <x v="1"/>
    <s v="Follow-up"/>
    <s v="Routine"/>
    <x v="0"/>
    <s v="Cardiology A"/>
    <s v="Royal South Hospital"/>
    <n v="30"/>
    <n v="4"/>
    <x v="2"/>
  </r>
  <r>
    <s v="APT02184"/>
    <d v="2025-11-21T00:00:00"/>
    <x v="223"/>
    <x v="1"/>
    <s v="Follow-up"/>
    <s v="Routine"/>
    <x v="2"/>
    <s v="Cardiology B"/>
    <s v="Central Outpatients"/>
    <n v="15"/>
    <n v="46"/>
    <x v="3"/>
  </r>
  <r>
    <s v="APT02185"/>
    <d v="2025-11-17T00:00:00"/>
    <x v="195"/>
    <x v="0"/>
    <s v="New"/>
    <s v="Routine"/>
    <x v="0"/>
    <s v="Dermatology A"/>
    <s v="Royal South Hospital"/>
    <n v="30"/>
    <n v="85"/>
    <x v="4"/>
  </r>
  <r>
    <s v="APT02186"/>
    <d v="2025-07-15T00:00:00"/>
    <x v="87"/>
    <x v="1"/>
    <s v="New"/>
    <s v="Routine"/>
    <x v="0"/>
    <s v="Cardiology A"/>
    <s v="Central Outpatients"/>
    <n v="30"/>
    <n v="28"/>
    <x v="0"/>
  </r>
  <r>
    <s v="APT02187"/>
    <d v="2025-07-21T00:00:00"/>
    <x v="200"/>
    <x v="0"/>
    <s v="New"/>
    <s v="Routine"/>
    <x v="0"/>
    <s v="Dermatology B"/>
    <s v="Royal South Hospital"/>
    <n v="30"/>
    <n v="4"/>
    <x v="2"/>
  </r>
  <r>
    <s v="APT02188"/>
    <d v="2025-07-03T00:00:00"/>
    <x v="372"/>
    <x v="4"/>
    <s v="Follow-up"/>
    <s v="Routine"/>
    <x v="0"/>
    <s v="Orthopaedics A"/>
    <s v="Royal South Hospital"/>
    <n v="15"/>
    <n v="51"/>
    <x v="3"/>
  </r>
  <r>
    <s v="APT02189"/>
    <d v="2025-09-16T00:00:00"/>
    <x v="144"/>
    <x v="3"/>
    <s v="Follow-up"/>
    <s v="Routine"/>
    <x v="0"/>
    <s v="Neurology A"/>
    <s v="Riverside Clinic"/>
    <n v="15"/>
    <n v="21"/>
    <x v="0"/>
  </r>
  <r>
    <s v="APT02190"/>
    <d v="2025-10-31T00:00:00"/>
    <x v="128"/>
    <x v="4"/>
    <s v="New"/>
    <s v="Routine"/>
    <x v="0"/>
    <s v="Orthopaedics A"/>
    <s v="Central Outpatients"/>
    <n v="30"/>
    <n v="58"/>
    <x v="4"/>
  </r>
  <r>
    <s v="APT02191"/>
    <d v="2025-08-10T00:00:00"/>
    <x v="139"/>
    <x v="2"/>
    <s v="Follow-up"/>
    <s v="Routine"/>
    <x v="0"/>
    <s v="Gastro B"/>
    <s v="Central Outpatients"/>
    <n v="30"/>
    <n v="29"/>
    <x v="1"/>
  </r>
  <r>
    <s v="APT02192"/>
    <d v="2025-08-28T00:00:00"/>
    <x v="273"/>
    <x v="3"/>
    <s v="New"/>
    <s v="Routine"/>
    <x v="0"/>
    <s v="Neurology B"/>
    <s v="Royal South Hospital"/>
    <n v="30"/>
    <n v="23"/>
    <x v="0"/>
  </r>
  <r>
    <s v="APT02193"/>
    <d v="2025-07-14T00:00:00"/>
    <x v="355"/>
    <x v="3"/>
    <s v="Follow-up"/>
    <s v="Routine"/>
    <x v="2"/>
    <s v="Neurology B"/>
    <s v="Royal South Hospital"/>
    <n v="15"/>
    <n v="31"/>
    <x v="1"/>
  </r>
  <r>
    <s v="APT02194"/>
    <d v="2025-06-19T00:00:00"/>
    <x v="391"/>
    <x v="1"/>
    <s v="Follow-up"/>
    <s v="Routine"/>
    <x v="2"/>
    <s v="Cardiology B"/>
    <s v="Riverside Clinic"/>
    <n v="15"/>
    <n v="48"/>
    <x v="3"/>
  </r>
  <r>
    <s v="APT02195"/>
    <d v="2025-11-26T00:00:00"/>
    <x v="14"/>
    <x v="0"/>
    <s v="Follow-up"/>
    <s v="Routine"/>
    <x v="0"/>
    <s v="Dermatology A"/>
    <s v="Central Outpatients"/>
    <n v="15"/>
    <n v="30"/>
    <x v="1"/>
  </r>
  <r>
    <s v="APT02196"/>
    <d v="2026-01-23T00:00:00"/>
    <x v="84"/>
    <x v="2"/>
    <s v="New"/>
    <s v="Routine"/>
    <x v="0"/>
    <s v="Gastro A"/>
    <s v="Royal South Hospital"/>
    <n v="45"/>
    <n v="26"/>
    <x v="0"/>
  </r>
  <r>
    <s v="APT02197"/>
    <d v="2025-07-15T00:00:00"/>
    <x v="167"/>
    <x v="4"/>
    <s v="New"/>
    <s v="Routine"/>
    <x v="0"/>
    <s v="Orthopaedics B"/>
    <s v="Riverside Clinic"/>
    <n v="30"/>
    <n v="31"/>
    <x v="1"/>
  </r>
  <r>
    <s v="APT02198"/>
    <d v="2026-02-08T00:00:00"/>
    <x v="81"/>
    <x v="2"/>
    <s v="New"/>
    <s v="Routine"/>
    <x v="2"/>
    <s v="Gastro A"/>
    <s v="Royal South Hospital"/>
    <n v="30"/>
    <n v="12"/>
    <x v="2"/>
  </r>
  <r>
    <s v="APT02199"/>
    <d v="2025-10-25T00:00:00"/>
    <x v="207"/>
    <x v="0"/>
    <s v="Follow-up"/>
    <s v="Routine"/>
    <x v="1"/>
    <s v="Dermatology B"/>
    <s v="Riverside Clinic"/>
    <n v="15"/>
    <n v="42"/>
    <x v="1"/>
  </r>
  <r>
    <s v="APT02200"/>
    <d v="2025-06-01T00:00:00"/>
    <x v="170"/>
    <x v="4"/>
    <s v="Follow-up"/>
    <s v="Routine"/>
    <x v="0"/>
    <s v="Orthopaedics A"/>
    <s v="Royal South Hospital"/>
    <n v="30"/>
    <n v="2"/>
    <x v="2"/>
  </r>
  <r>
    <s v="APT02201"/>
    <d v="2025-08-12T00:00:00"/>
    <x v="139"/>
    <x v="1"/>
    <s v="New"/>
    <s v="Routine"/>
    <x v="2"/>
    <s v="Cardiology A"/>
    <s v="Central Outpatients"/>
    <n v="30"/>
    <n v="27"/>
    <x v="0"/>
  </r>
  <r>
    <s v="APT02202"/>
    <d v="2025-04-03T00:00:00"/>
    <x v="284"/>
    <x v="4"/>
    <s v="Follow-up"/>
    <s v="Urgent"/>
    <x v="0"/>
    <s v="Orthopaedics A"/>
    <s v="Royal South Hospital"/>
    <n v="15"/>
    <n v="48"/>
    <x v="3"/>
  </r>
  <r>
    <s v="APT02203"/>
    <d v="2025-04-15T00:00:00"/>
    <x v="242"/>
    <x v="4"/>
    <s v="Follow-up"/>
    <s v="Routine"/>
    <x v="0"/>
    <s v="Orthopaedics B"/>
    <s v="Riverside Clinic"/>
    <n v="30"/>
    <n v="40"/>
    <x v="1"/>
  </r>
  <r>
    <s v="APT02204"/>
    <d v="2025-08-01T00:00:00"/>
    <x v="93"/>
    <x v="4"/>
    <s v="Follow-up"/>
    <s v="Routine"/>
    <x v="0"/>
    <s v="Orthopaedics A"/>
    <s v="Riverside Clinic"/>
    <n v="15"/>
    <n v="45"/>
    <x v="3"/>
  </r>
  <r>
    <s v="APT02205"/>
    <d v="2025-09-13T00:00:00"/>
    <x v="276"/>
    <x v="4"/>
    <s v="Follow-up"/>
    <s v="Routine"/>
    <x v="0"/>
    <s v="Orthopaedics A"/>
    <s v="Royal South Hospital"/>
    <n v="15"/>
    <n v="33"/>
    <x v="1"/>
  </r>
  <r>
    <s v="APT02206"/>
    <d v="2026-01-16T00:00:00"/>
    <x v="83"/>
    <x v="1"/>
    <s v="Follow-up"/>
    <s v="Routine"/>
    <x v="0"/>
    <s v="Cardiology B"/>
    <s v="Royal South Hospital"/>
    <n v="15"/>
    <n v="56"/>
    <x v="3"/>
  </r>
  <r>
    <s v="APT02207"/>
    <d v="2025-05-19T00:00:00"/>
    <x v="17"/>
    <x v="3"/>
    <s v="New"/>
    <s v="Routine"/>
    <x v="0"/>
    <s v="Neurology B"/>
    <s v="Riverside Clinic"/>
    <n v="30"/>
    <n v="51"/>
    <x v="3"/>
  </r>
  <r>
    <s v="APT02208"/>
    <d v="2026-01-31T00:00:00"/>
    <x v="162"/>
    <x v="4"/>
    <s v="New"/>
    <s v="Urgent"/>
    <x v="1"/>
    <s v="Orthopaedics B"/>
    <s v="Riverside Clinic"/>
    <n v="30"/>
    <n v="43"/>
    <x v="3"/>
  </r>
  <r>
    <s v="APT02209"/>
    <d v="2025-06-25T00:00:00"/>
    <x v="167"/>
    <x v="3"/>
    <s v="Follow-up"/>
    <s v="Routine"/>
    <x v="2"/>
    <s v="Neurology B"/>
    <s v="Riverside Clinic"/>
    <n v="15"/>
    <n v="51"/>
    <x v="3"/>
  </r>
  <r>
    <s v="APT02210"/>
    <d v="2025-05-21T00:00:00"/>
    <x v="304"/>
    <x v="0"/>
    <s v="Follow-up"/>
    <s v="Routine"/>
    <x v="0"/>
    <s v="Dermatology A"/>
    <s v="Riverside Clinic"/>
    <n v="15"/>
    <n v="48"/>
    <x v="3"/>
  </r>
  <r>
    <s v="APT02211"/>
    <d v="2025-12-11T00:00:00"/>
    <x v="100"/>
    <x v="1"/>
    <s v="Follow-up"/>
    <s v="Routine"/>
    <x v="0"/>
    <s v="Cardiology B"/>
    <s v="Royal South Hospital"/>
    <n v="15"/>
    <n v="27"/>
    <x v="0"/>
  </r>
  <r>
    <s v="APT02212"/>
    <d v="2026-01-07T00:00:00"/>
    <x v="150"/>
    <x v="0"/>
    <s v="New"/>
    <s v="Urgent"/>
    <x v="0"/>
    <s v="Dermatology A"/>
    <s v="Central Outpatients"/>
    <n v="30"/>
    <n v="10"/>
    <x v="2"/>
  </r>
  <r>
    <s v="APT02213"/>
    <d v="2025-11-07T00:00:00"/>
    <x v="312"/>
    <x v="2"/>
    <s v="New"/>
    <s v="Routine"/>
    <x v="0"/>
    <s v="Gastro B"/>
    <s v="Royal South Hospital"/>
    <n v="30"/>
    <n v="42"/>
    <x v="1"/>
  </r>
  <r>
    <s v="APT02214"/>
    <d v="2025-05-13T00:00:00"/>
    <x v="349"/>
    <x v="2"/>
    <s v="Follow-up"/>
    <s v="Routine"/>
    <x v="1"/>
    <s v="Gastro A"/>
    <s v="Riverside Clinic"/>
    <n v="15"/>
    <n v="44"/>
    <x v="3"/>
  </r>
  <r>
    <s v="APT02215"/>
    <d v="2025-05-12T00:00:00"/>
    <x v="158"/>
    <x v="4"/>
    <s v="Follow-up"/>
    <s v="Urgent"/>
    <x v="0"/>
    <s v="Orthopaedics B"/>
    <s v="Central Outpatients"/>
    <n v="15"/>
    <n v="54"/>
    <x v="3"/>
  </r>
  <r>
    <s v="APT02216"/>
    <d v="2025-08-20T00:00:00"/>
    <x v="218"/>
    <x v="4"/>
    <s v="New"/>
    <s v="Routine"/>
    <x v="0"/>
    <s v="Orthopaedics A"/>
    <s v="Central Outpatients"/>
    <n v="30"/>
    <n v="18"/>
    <x v="0"/>
  </r>
  <r>
    <s v="APT02217"/>
    <d v="2025-09-12T00:00:00"/>
    <x v="149"/>
    <x v="3"/>
    <s v="New"/>
    <s v="Routine"/>
    <x v="1"/>
    <s v="Neurology A"/>
    <s v="Royal South Hospital"/>
    <n v="30"/>
    <n v="18"/>
    <x v="0"/>
  </r>
  <r>
    <s v="APT02218"/>
    <d v="2026-03-30T00:00:00"/>
    <x v="398"/>
    <x v="0"/>
    <s v="Follow-up"/>
    <s v="Routine"/>
    <x v="0"/>
    <s v="Dermatology B"/>
    <s v="Royal South Hospital"/>
    <n v="15"/>
    <n v="43"/>
    <x v="3"/>
  </r>
  <r>
    <s v="APT02219"/>
    <d v="2025-07-14T00:00:00"/>
    <x v="111"/>
    <x v="2"/>
    <s v="Follow-up"/>
    <s v="Routine"/>
    <x v="0"/>
    <s v="Gastro B"/>
    <s v="Riverside Clinic"/>
    <n v="15"/>
    <n v="33"/>
    <x v="1"/>
  </r>
  <r>
    <s v="APT02220"/>
    <d v="2025-06-10T00:00:00"/>
    <x v="248"/>
    <x v="0"/>
    <s v="Follow-up"/>
    <s v="Routine"/>
    <x v="0"/>
    <s v="Dermatology A"/>
    <s v="Royal South Hospital"/>
    <n v="15"/>
    <n v="2"/>
    <x v="2"/>
  </r>
  <r>
    <s v="APT02221"/>
    <d v="2026-03-11T00:00:00"/>
    <x v="272"/>
    <x v="0"/>
    <s v="Follow-up"/>
    <s v="Routine"/>
    <x v="0"/>
    <s v="Dermatology A"/>
    <s v="Riverside Clinic"/>
    <n v="15"/>
    <n v="41"/>
    <x v="1"/>
  </r>
  <r>
    <s v="APT02222"/>
    <d v="2025-05-27T00:00:00"/>
    <x v="229"/>
    <x v="1"/>
    <s v="Follow-up"/>
    <s v="Routine"/>
    <x v="2"/>
    <s v="Cardiology B"/>
    <s v="Riverside Clinic"/>
    <n v="15"/>
    <n v="2"/>
    <x v="2"/>
  </r>
  <r>
    <s v="APT02223"/>
    <d v="2025-04-10T00:00:00"/>
    <x v="346"/>
    <x v="0"/>
    <s v="New"/>
    <s v="Urgent"/>
    <x v="0"/>
    <s v="Dermatology B"/>
    <s v="Royal South Hospital"/>
    <n v="30"/>
    <n v="17"/>
    <x v="0"/>
  </r>
  <r>
    <s v="APT02224"/>
    <d v="2025-09-01T00:00:00"/>
    <x v="90"/>
    <x v="0"/>
    <s v="Follow-up"/>
    <s v="Routine"/>
    <x v="0"/>
    <s v="Dermatology B"/>
    <s v="Royal South Hospital"/>
    <n v="15"/>
    <n v="59"/>
    <x v="4"/>
  </r>
  <r>
    <s v="APT02225"/>
    <d v="2025-08-24T00:00:00"/>
    <x v="90"/>
    <x v="2"/>
    <s v="Follow-up"/>
    <s v="Routine"/>
    <x v="0"/>
    <s v="Gastro A"/>
    <s v="Riverside Clinic"/>
    <n v="15"/>
    <n v="67"/>
    <x v="4"/>
  </r>
  <r>
    <s v="APT02226"/>
    <d v="2025-11-12T00:00:00"/>
    <x v="20"/>
    <x v="1"/>
    <s v="Follow-up"/>
    <s v="Routine"/>
    <x v="0"/>
    <s v="Cardiology A"/>
    <s v="Central Outpatients"/>
    <n v="30"/>
    <n v="13"/>
    <x v="2"/>
  </r>
  <r>
    <s v="APT02227"/>
    <d v="2026-02-14T00:00:00"/>
    <x v="162"/>
    <x v="0"/>
    <s v="Follow-up"/>
    <s v="Routine"/>
    <x v="0"/>
    <s v="Dermatology B"/>
    <s v="Royal South Hospital"/>
    <n v="15"/>
    <n v="29"/>
    <x v="1"/>
  </r>
  <r>
    <s v="APT02228"/>
    <d v="2026-03-06T00:00:00"/>
    <x v="340"/>
    <x v="1"/>
    <s v="Follow-up"/>
    <s v="Routine"/>
    <x v="0"/>
    <s v="Cardiology B"/>
    <s v="Royal South Hospital"/>
    <n v="15"/>
    <n v="35"/>
    <x v="1"/>
  </r>
  <r>
    <s v="APT02229"/>
    <d v="2025-07-15T00:00:00"/>
    <x v="273"/>
    <x v="3"/>
    <s v="Follow-up"/>
    <s v="Routine"/>
    <x v="0"/>
    <s v="Neurology B"/>
    <s v="Royal South Hospital"/>
    <n v="30"/>
    <n v="67"/>
    <x v="4"/>
  </r>
  <r>
    <s v="APT02230"/>
    <d v="2026-03-24T00:00:00"/>
    <x v="239"/>
    <x v="2"/>
    <s v="New"/>
    <s v="Routine"/>
    <x v="0"/>
    <s v="Gastro B"/>
    <s v="Riverside Clinic"/>
    <n v="30"/>
    <n v="26"/>
    <x v="0"/>
  </r>
  <r>
    <s v="APT02231"/>
    <d v="2025-11-17T00:00:00"/>
    <x v="217"/>
    <x v="0"/>
    <s v="Follow-up"/>
    <s v="Routine"/>
    <x v="0"/>
    <s v="Dermatology A"/>
    <s v="Riverside Clinic"/>
    <n v="15"/>
    <n v="26"/>
    <x v="0"/>
  </r>
  <r>
    <s v="APT02232"/>
    <d v="2025-04-26T00:00:00"/>
    <x v="80"/>
    <x v="1"/>
    <s v="New"/>
    <s v="Routine"/>
    <x v="0"/>
    <s v="Cardiology B"/>
    <s v="Central Outpatients"/>
    <n v="30"/>
    <n v="62"/>
    <x v="4"/>
  </r>
  <r>
    <s v="APT02233"/>
    <d v="2026-03-08T00:00:00"/>
    <x v="132"/>
    <x v="4"/>
    <s v="New"/>
    <s v="Routine"/>
    <x v="0"/>
    <s v="Orthopaedics A"/>
    <s v="Central Outpatients"/>
    <n v="45"/>
    <n v="28"/>
    <x v="0"/>
  </r>
  <r>
    <s v="APT02234"/>
    <d v="2025-05-21T00:00:00"/>
    <x v="233"/>
    <x v="2"/>
    <s v="Follow-up"/>
    <s v="Routine"/>
    <x v="0"/>
    <s v="Gastro A"/>
    <s v="Riverside Clinic"/>
    <n v="15"/>
    <n v="47"/>
    <x v="3"/>
  </r>
  <r>
    <s v="APT02235"/>
    <d v="2025-11-01T00:00:00"/>
    <x v="32"/>
    <x v="3"/>
    <s v="Follow-up"/>
    <s v="Routine"/>
    <x v="0"/>
    <s v="Neurology B"/>
    <s v="Central Outpatients"/>
    <n v="30"/>
    <n v="8"/>
    <x v="2"/>
  </r>
  <r>
    <s v="APT02236"/>
    <d v="2026-01-13T00:00:00"/>
    <x v="1"/>
    <x v="2"/>
    <s v="Follow-up"/>
    <s v="Routine"/>
    <x v="0"/>
    <s v="Gastro B"/>
    <s v="Royal South Hospital"/>
    <n v="30"/>
    <n v="31"/>
    <x v="1"/>
  </r>
  <r>
    <s v="APT02237"/>
    <d v="2025-06-30T00:00:00"/>
    <x v="158"/>
    <x v="4"/>
    <s v="Follow-up"/>
    <s v="Routine"/>
    <x v="0"/>
    <s v="Orthopaedics B"/>
    <s v="Riverside Clinic"/>
    <n v="15"/>
    <n v="5"/>
    <x v="2"/>
  </r>
  <r>
    <s v="APT02238"/>
    <d v="2025-07-08T00:00:00"/>
    <x v="365"/>
    <x v="4"/>
    <s v="Follow-up"/>
    <s v="Urgent"/>
    <x v="0"/>
    <s v="Orthopaedics A"/>
    <s v="Riverside Clinic"/>
    <n v="30"/>
    <n v="16"/>
    <x v="0"/>
  </r>
  <r>
    <s v="APT02239"/>
    <d v="2025-09-21T00:00:00"/>
    <x v="323"/>
    <x v="0"/>
    <s v="New"/>
    <s v="Routine"/>
    <x v="0"/>
    <s v="Dermatology B"/>
    <s v="Riverside Clinic"/>
    <n v="45"/>
    <n v="50"/>
    <x v="3"/>
  </r>
  <r>
    <s v="APT02240"/>
    <d v="2026-02-17T00:00:00"/>
    <x v="76"/>
    <x v="3"/>
    <s v="Follow-up"/>
    <s v="Routine"/>
    <x v="0"/>
    <s v="Neurology A"/>
    <s v="Riverside Clinic"/>
    <n v="15"/>
    <n v="34"/>
    <x v="1"/>
  </r>
  <r>
    <s v="APT02241"/>
    <d v="2025-06-21T00:00:00"/>
    <x v="22"/>
    <x v="0"/>
    <s v="Follow-up"/>
    <s v="Routine"/>
    <x v="0"/>
    <s v="Dermatology A"/>
    <s v="Royal South Hospital"/>
    <n v="15"/>
    <n v="29"/>
    <x v="1"/>
  </r>
  <r>
    <s v="APT02242"/>
    <d v="2025-11-28T00:00:00"/>
    <x v="312"/>
    <x v="3"/>
    <s v="New"/>
    <s v="Routine"/>
    <x v="0"/>
    <s v="Neurology B"/>
    <s v="Central Outpatients"/>
    <n v="30"/>
    <n v="21"/>
    <x v="0"/>
  </r>
  <r>
    <s v="APT02243"/>
    <d v="2025-09-12T00:00:00"/>
    <x v="268"/>
    <x v="0"/>
    <s v="Follow-up"/>
    <s v="Routine"/>
    <x v="0"/>
    <s v="Dermatology B"/>
    <s v="Central Outpatients"/>
    <n v="15"/>
    <n v="31"/>
    <x v="1"/>
  </r>
  <r>
    <s v="APT02244"/>
    <d v="2025-05-11T00:00:00"/>
    <x v="326"/>
    <x v="1"/>
    <s v="Follow-up"/>
    <s v="Urgent"/>
    <x v="0"/>
    <s v="Cardiology A"/>
    <s v="Central Outpatients"/>
    <n v="30"/>
    <n v="40"/>
    <x v="1"/>
  </r>
  <r>
    <s v="APT02245"/>
    <d v="2025-12-15T00:00:00"/>
    <x v="51"/>
    <x v="4"/>
    <s v="New"/>
    <s v="Routine"/>
    <x v="0"/>
    <s v="Orthopaedics A"/>
    <s v="Royal South Hospital"/>
    <n v="30"/>
    <n v="52"/>
    <x v="3"/>
  </r>
  <r>
    <s v="APT02246"/>
    <d v="2026-01-29T00:00:00"/>
    <x v="165"/>
    <x v="4"/>
    <s v="Follow-up"/>
    <s v="Routine"/>
    <x v="0"/>
    <s v="Orthopaedics A"/>
    <s v="Central Outpatients"/>
    <n v="30"/>
    <n v="2"/>
    <x v="2"/>
  </r>
  <r>
    <s v="APT02247"/>
    <d v="2025-10-27T00:00:00"/>
    <x v="308"/>
    <x v="0"/>
    <s v="New"/>
    <s v="Routine"/>
    <x v="1"/>
    <s v="Dermatology B"/>
    <s v="Central Outpatients"/>
    <n v="30"/>
    <n v="20"/>
    <x v="0"/>
  </r>
  <r>
    <s v="APT02248"/>
    <d v="2025-06-04T00:00:00"/>
    <x v="209"/>
    <x v="4"/>
    <s v="New"/>
    <s v="Routine"/>
    <x v="0"/>
    <s v="Orthopaedics A"/>
    <s v="Riverside Clinic"/>
    <n v="30"/>
    <n v="37"/>
    <x v="1"/>
  </r>
  <r>
    <s v="APT02249"/>
    <d v="2025-05-27T00:00:00"/>
    <x v="130"/>
    <x v="0"/>
    <s v="New"/>
    <s v="Routine"/>
    <x v="2"/>
    <s v="Dermatology A"/>
    <s v="Royal South Hospital"/>
    <n v="30"/>
    <n v="33"/>
    <x v="1"/>
  </r>
  <r>
    <s v="APT02250"/>
    <d v="2025-09-02T00:00:00"/>
    <x v="108"/>
    <x v="2"/>
    <s v="New"/>
    <s v="Routine"/>
    <x v="0"/>
    <s v="Gastro A"/>
    <s v="Central Outpatients"/>
    <n v="45"/>
    <n v="42"/>
    <x v="1"/>
  </r>
  <r>
    <s v="APT02251"/>
    <d v="2025-10-02T00:00:00"/>
    <x v="323"/>
    <x v="4"/>
    <s v="New"/>
    <s v="Routine"/>
    <x v="1"/>
    <s v="Orthopaedics B"/>
    <s v="Riverside Clinic"/>
    <n v="30"/>
    <n v="39"/>
    <x v="1"/>
  </r>
  <r>
    <s v="APT02252"/>
    <d v="2025-10-18T00:00:00"/>
    <x v="308"/>
    <x v="0"/>
    <s v="Follow-up"/>
    <s v="Routine"/>
    <x v="1"/>
    <s v="Dermatology A"/>
    <s v="Riverside Clinic"/>
    <n v="15"/>
    <n v="29"/>
    <x v="1"/>
  </r>
  <r>
    <s v="APT02253"/>
    <d v="2025-06-28T00:00:00"/>
    <x v="152"/>
    <x v="2"/>
    <s v="New"/>
    <s v="Routine"/>
    <x v="0"/>
    <s v="Gastro A"/>
    <s v="Central Outpatients"/>
    <n v="45"/>
    <n v="25"/>
    <x v="0"/>
  </r>
  <r>
    <s v="APT02254"/>
    <d v="2025-09-30T00:00:00"/>
    <x v="90"/>
    <x v="3"/>
    <s v="Follow-up"/>
    <s v="Routine"/>
    <x v="0"/>
    <s v="Neurology A"/>
    <s v="Royal South Hospital"/>
    <n v="15"/>
    <n v="30"/>
    <x v="1"/>
  </r>
  <r>
    <s v="APT02255"/>
    <d v="2025-07-17T00:00:00"/>
    <x v="360"/>
    <x v="1"/>
    <s v="Follow-up"/>
    <s v="Routine"/>
    <x v="0"/>
    <s v="Cardiology A"/>
    <s v="Riverside Clinic"/>
    <n v="15"/>
    <n v="55"/>
    <x v="3"/>
  </r>
  <r>
    <s v="APT02256"/>
    <d v="2025-12-06T00:00:00"/>
    <x v="166"/>
    <x v="2"/>
    <s v="New"/>
    <s v="Urgent"/>
    <x v="0"/>
    <s v="Gastro B"/>
    <s v="Royal South Hospital"/>
    <n v="30"/>
    <n v="21"/>
    <x v="0"/>
  </r>
  <r>
    <s v="APT02257"/>
    <d v="2026-01-15T00:00:00"/>
    <x v="224"/>
    <x v="0"/>
    <s v="New"/>
    <s v="Routine"/>
    <x v="0"/>
    <s v="Dermatology B"/>
    <s v="Royal South Hospital"/>
    <n v="30"/>
    <n v="33"/>
    <x v="1"/>
  </r>
  <r>
    <s v="APT02258"/>
    <d v="2025-11-24T00:00:00"/>
    <x v="287"/>
    <x v="3"/>
    <s v="Follow-up"/>
    <s v="Routine"/>
    <x v="2"/>
    <s v="Neurology B"/>
    <s v="Royal South Hospital"/>
    <n v="15"/>
    <n v="38"/>
    <x v="1"/>
  </r>
  <r>
    <s v="APT02259"/>
    <d v="2025-04-01T00:00:00"/>
    <x v="170"/>
    <x v="1"/>
    <s v="Follow-up"/>
    <s v="Routine"/>
    <x v="0"/>
    <s v="Cardiology A"/>
    <s v="Royal South Hospital"/>
    <n v="15"/>
    <n v="63"/>
    <x v="4"/>
  </r>
  <r>
    <s v="APT02260"/>
    <d v="2026-03-28T00:00:00"/>
    <x v="183"/>
    <x v="0"/>
    <s v="Follow-up"/>
    <s v="Urgent"/>
    <x v="2"/>
    <s v="Dermatology A"/>
    <s v="Royal South Hospital"/>
    <n v="15"/>
    <n v="29"/>
    <x v="1"/>
  </r>
  <r>
    <s v="APT02261"/>
    <d v="2025-04-09T00:00:00"/>
    <x v="69"/>
    <x v="3"/>
    <s v="New"/>
    <s v="Routine"/>
    <x v="1"/>
    <s v="Neurology B"/>
    <s v="Royal South Hospital"/>
    <n v="30"/>
    <n v="52"/>
    <x v="3"/>
  </r>
  <r>
    <s v="APT02262"/>
    <d v="2026-03-30T00:00:00"/>
    <x v="383"/>
    <x v="1"/>
    <s v="Follow-up"/>
    <s v="Urgent"/>
    <x v="1"/>
    <s v="Cardiology B"/>
    <s v="Royal South Hospital"/>
    <n v="15"/>
    <n v="57"/>
    <x v="4"/>
  </r>
  <r>
    <s v="APT02263"/>
    <d v="2025-04-12T00:00:00"/>
    <x v="182"/>
    <x v="2"/>
    <s v="Follow-up"/>
    <s v="Routine"/>
    <x v="0"/>
    <s v="Gastro B"/>
    <s v="Riverside Clinic"/>
    <n v="30"/>
    <n v="33"/>
    <x v="1"/>
  </r>
  <r>
    <s v="APT02264"/>
    <d v="2025-10-05T00:00:00"/>
    <x v="191"/>
    <x v="3"/>
    <s v="Follow-up"/>
    <s v="Urgent"/>
    <x v="0"/>
    <s v="Neurology B"/>
    <s v="Royal South Hospital"/>
    <n v="15"/>
    <n v="31"/>
    <x v="1"/>
  </r>
  <r>
    <s v="APT02265"/>
    <d v="2025-05-09T00:00:00"/>
    <x v="72"/>
    <x v="4"/>
    <s v="New"/>
    <s v="Routine"/>
    <x v="2"/>
    <s v="Orthopaedics A"/>
    <s v="Royal South Hospital"/>
    <n v="45"/>
    <n v="29"/>
    <x v="1"/>
  </r>
  <r>
    <s v="APT02266"/>
    <d v="2025-05-05T00:00:00"/>
    <x v="31"/>
    <x v="1"/>
    <s v="Follow-up"/>
    <s v="Routine"/>
    <x v="0"/>
    <s v="Cardiology B"/>
    <s v="Royal South Hospital"/>
    <n v="15"/>
    <n v="30"/>
    <x v="1"/>
  </r>
  <r>
    <s v="APT02267"/>
    <d v="2025-12-05T00:00:00"/>
    <x v="15"/>
    <x v="4"/>
    <s v="New"/>
    <s v="Routine"/>
    <x v="0"/>
    <s v="Orthopaedics B"/>
    <s v="Royal South Hospital"/>
    <n v="30"/>
    <n v="50"/>
    <x v="3"/>
  </r>
  <r>
    <s v="APT02268"/>
    <d v="2025-12-21T00:00:00"/>
    <x v="270"/>
    <x v="3"/>
    <s v="Follow-up"/>
    <s v="Routine"/>
    <x v="0"/>
    <s v="Neurology B"/>
    <s v="Royal South Hospital"/>
    <n v="30"/>
    <n v="39"/>
    <x v="1"/>
  </r>
  <r>
    <s v="APT02269"/>
    <d v="2025-05-14T00:00:00"/>
    <x v="244"/>
    <x v="0"/>
    <s v="Follow-up"/>
    <s v="Urgent"/>
    <x v="0"/>
    <s v="Dermatology A"/>
    <s v="Central Outpatients"/>
    <n v="15"/>
    <n v="39"/>
    <x v="1"/>
  </r>
  <r>
    <s v="APT02270"/>
    <d v="2026-03-22T00:00:00"/>
    <x v="132"/>
    <x v="4"/>
    <s v="Follow-up"/>
    <s v="Routine"/>
    <x v="2"/>
    <s v="Orthopaedics B"/>
    <s v="Riverside Clinic"/>
    <n v="15"/>
    <n v="14"/>
    <x v="2"/>
  </r>
  <r>
    <s v="APT02271"/>
    <d v="2025-07-26T00:00:00"/>
    <x v="87"/>
    <x v="3"/>
    <s v="New"/>
    <s v="Routine"/>
    <x v="0"/>
    <s v="Neurology A"/>
    <s v="Royal South Hospital"/>
    <n v="30"/>
    <n v="17"/>
    <x v="0"/>
  </r>
  <r>
    <s v="APT02272"/>
    <d v="2025-07-25T00:00:00"/>
    <x v="319"/>
    <x v="3"/>
    <s v="Follow-up"/>
    <s v="Routine"/>
    <x v="0"/>
    <s v="Neurology A"/>
    <s v="Riverside Clinic"/>
    <n v="15"/>
    <n v="73"/>
    <x v="4"/>
  </r>
  <r>
    <s v="APT02273"/>
    <d v="2025-07-18T00:00:00"/>
    <x v="146"/>
    <x v="2"/>
    <s v="New"/>
    <s v="Routine"/>
    <x v="0"/>
    <s v="Gastro B"/>
    <s v="Royal South Hospital"/>
    <n v="30"/>
    <n v="31"/>
    <x v="1"/>
  </r>
  <r>
    <s v="APT02274"/>
    <d v="2025-09-15T00:00:00"/>
    <x v="319"/>
    <x v="3"/>
    <s v="Follow-up"/>
    <s v="Routine"/>
    <x v="0"/>
    <s v="Neurology B"/>
    <s v="Riverside Clinic"/>
    <n v="15"/>
    <n v="21"/>
    <x v="0"/>
  </r>
  <r>
    <s v="APT02275"/>
    <d v="2025-06-04T00:00:00"/>
    <x v="116"/>
    <x v="4"/>
    <s v="Follow-up"/>
    <s v="Routine"/>
    <x v="0"/>
    <s v="Orthopaedics B"/>
    <s v="Central Outpatients"/>
    <n v="30"/>
    <n v="60"/>
    <x v="4"/>
  </r>
  <r>
    <s v="APT02276"/>
    <d v="2025-09-02T00:00:00"/>
    <x v="227"/>
    <x v="2"/>
    <s v="Follow-up"/>
    <s v="Urgent"/>
    <x v="0"/>
    <s v="Gastro B"/>
    <s v="Royal South Hospital"/>
    <n v="30"/>
    <n v="40"/>
    <x v="1"/>
  </r>
  <r>
    <s v="APT02277"/>
    <d v="2025-06-16T00:00:00"/>
    <x v="8"/>
    <x v="4"/>
    <s v="Follow-up"/>
    <s v="Urgent"/>
    <x v="0"/>
    <s v="Orthopaedics B"/>
    <s v="Royal South Hospital"/>
    <n v="15"/>
    <n v="45"/>
    <x v="3"/>
  </r>
  <r>
    <s v="APT02278"/>
    <d v="2025-04-19T00:00:00"/>
    <x v="284"/>
    <x v="3"/>
    <s v="Follow-up"/>
    <s v="Routine"/>
    <x v="0"/>
    <s v="Neurology B"/>
    <s v="Riverside Clinic"/>
    <n v="30"/>
    <n v="32"/>
    <x v="1"/>
  </r>
  <r>
    <s v="APT02279"/>
    <d v="2025-08-13T00:00:00"/>
    <x v="37"/>
    <x v="4"/>
    <s v="Follow-up"/>
    <s v="Routine"/>
    <x v="0"/>
    <s v="Orthopaedics A"/>
    <s v="Royal South Hospital"/>
    <n v="15"/>
    <n v="29"/>
    <x v="1"/>
  </r>
  <r>
    <s v="APT02280"/>
    <d v="2025-12-01T00:00:00"/>
    <x v="287"/>
    <x v="4"/>
    <s v="Follow-up"/>
    <s v="Urgent"/>
    <x v="0"/>
    <s v="Orthopaedics A"/>
    <s v="Royal South Hospital"/>
    <n v="15"/>
    <n v="31"/>
    <x v="1"/>
  </r>
  <r>
    <s v="APT02281"/>
    <d v="2026-01-03T00:00:00"/>
    <x v="366"/>
    <x v="1"/>
    <s v="Follow-up"/>
    <s v="Urgent"/>
    <x v="0"/>
    <s v="Cardiology A"/>
    <s v="Riverside Clinic"/>
    <n v="15"/>
    <n v="10"/>
    <x v="2"/>
  </r>
  <r>
    <s v="APT02282"/>
    <d v="2025-08-07T00:00:00"/>
    <x v="329"/>
    <x v="1"/>
    <s v="Follow-up"/>
    <s v="Routine"/>
    <x v="1"/>
    <s v="Cardiology B"/>
    <s v="Riverside Clinic"/>
    <n v="15"/>
    <n v="33"/>
    <x v="1"/>
  </r>
  <r>
    <s v="APT02283"/>
    <d v="2025-07-27T00:00:00"/>
    <x v="125"/>
    <x v="2"/>
    <s v="Follow-up"/>
    <s v="Routine"/>
    <x v="2"/>
    <s v="Gastro B"/>
    <s v="Royal South Hospital"/>
    <n v="15"/>
    <n v="40"/>
    <x v="1"/>
  </r>
  <r>
    <s v="APT02284"/>
    <d v="2026-01-12T00:00:00"/>
    <x v="243"/>
    <x v="2"/>
    <s v="Follow-up"/>
    <s v="Routine"/>
    <x v="0"/>
    <s v="Gastro B"/>
    <s v="Central Outpatients"/>
    <n v="30"/>
    <n v="68"/>
    <x v="4"/>
  </r>
  <r>
    <s v="APT02285"/>
    <d v="2025-12-04T00:00:00"/>
    <x v="341"/>
    <x v="2"/>
    <s v="New"/>
    <s v="Routine"/>
    <x v="0"/>
    <s v="Gastro A"/>
    <s v="Royal South Hospital"/>
    <n v="30"/>
    <n v="36"/>
    <x v="1"/>
  </r>
  <r>
    <s v="APT02286"/>
    <d v="2026-01-28T00:00:00"/>
    <x v="213"/>
    <x v="4"/>
    <s v="Follow-up"/>
    <s v="Routine"/>
    <x v="0"/>
    <s v="Orthopaedics A"/>
    <s v="Royal South Hospital"/>
    <n v="15"/>
    <n v="2"/>
    <x v="2"/>
  </r>
  <r>
    <s v="APT02287"/>
    <d v="2026-02-24T00:00:00"/>
    <x v="256"/>
    <x v="4"/>
    <s v="New"/>
    <s v="Routine"/>
    <x v="2"/>
    <s v="Orthopaedics A"/>
    <s v="Riverside Clinic"/>
    <n v="30"/>
    <n v="33"/>
    <x v="1"/>
  </r>
  <r>
    <s v="APT02288"/>
    <d v="2026-01-24T00:00:00"/>
    <x v="181"/>
    <x v="2"/>
    <s v="New"/>
    <s v="Routine"/>
    <x v="2"/>
    <s v="Gastro B"/>
    <s v="Riverside Clinic"/>
    <n v="30"/>
    <n v="84"/>
    <x v="4"/>
  </r>
  <r>
    <s v="APT02289"/>
    <d v="2026-03-07T00:00:00"/>
    <x v="183"/>
    <x v="3"/>
    <s v="Follow-up"/>
    <s v="Routine"/>
    <x v="0"/>
    <s v="Neurology A"/>
    <s v="Riverside Clinic"/>
    <n v="15"/>
    <n v="50"/>
    <x v="3"/>
  </r>
  <r>
    <s v="APT02290"/>
    <d v="2025-08-30T00:00:00"/>
    <x v="121"/>
    <x v="1"/>
    <s v="Follow-up"/>
    <s v="Routine"/>
    <x v="0"/>
    <s v="Cardiology B"/>
    <s v="Riverside Clinic"/>
    <n v="15"/>
    <n v="20"/>
    <x v="0"/>
  </r>
  <r>
    <s v="APT02291"/>
    <d v="2025-08-22T00:00:00"/>
    <x v="319"/>
    <x v="2"/>
    <s v="Follow-up"/>
    <s v="Routine"/>
    <x v="0"/>
    <s v="Gastro A"/>
    <s v="Riverside Clinic"/>
    <n v="15"/>
    <n v="45"/>
    <x v="3"/>
  </r>
  <r>
    <s v="APT02292"/>
    <d v="2025-07-27T00:00:00"/>
    <x v="41"/>
    <x v="1"/>
    <s v="Follow-up"/>
    <s v="Urgent"/>
    <x v="0"/>
    <s v="Cardiology B"/>
    <s v="Central Outpatients"/>
    <n v="15"/>
    <n v="21"/>
    <x v="0"/>
  </r>
  <r>
    <s v="APT02293"/>
    <d v="2025-06-25T00:00:00"/>
    <x v="158"/>
    <x v="2"/>
    <s v="New"/>
    <s v="Routine"/>
    <x v="2"/>
    <s v="Gastro B"/>
    <s v="Riverside Clinic"/>
    <n v="45"/>
    <n v="10"/>
    <x v="2"/>
  </r>
  <r>
    <s v="APT02294"/>
    <d v="2025-12-29T00:00:00"/>
    <x v="237"/>
    <x v="2"/>
    <s v="New"/>
    <s v="Routine"/>
    <x v="2"/>
    <s v="Gastro A"/>
    <s v="Royal South Hospital"/>
    <n v="30"/>
    <n v="28"/>
    <x v="0"/>
  </r>
  <r>
    <s v="APT02295"/>
    <d v="2025-12-17T00:00:00"/>
    <x v="154"/>
    <x v="3"/>
    <s v="New"/>
    <s v="Urgent"/>
    <x v="2"/>
    <s v="Neurology B"/>
    <s v="Riverside Clinic"/>
    <n v="30"/>
    <n v="36"/>
    <x v="1"/>
  </r>
  <r>
    <s v="APT02296"/>
    <d v="2026-01-17T00:00:00"/>
    <x v="310"/>
    <x v="3"/>
    <s v="New"/>
    <s v="Routine"/>
    <x v="0"/>
    <s v="Neurology B"/>
    <s v="Royal South Hospital"/>
    <n v="30"/>
    <n v="2"/>
    <x v="2"/>
  </r>
  <r>
    <s v="APT02297"/>
    <d v="2025-05-31T00:00:00"/>
    <x v="378"/>
    <x v="0"/>
    <s v="Follow-up"/>
    <s v="Routine"/>
    <x v="0"/>
    <s v="Dermatology B"/>
    <s v="Riverside Clinic"/>
    <n v="30"/>
    <n v="14"/>
    <x v="2"/>
  </r>
  <r>
    <s v="APT02298"/>
    <d v="2025-09-26T00:00:00"/>
    <x v="283"/>
    <x v="1"/>
    <s v="Follow-up"/>
    <s v="Urgent"/>
    <x v="2"/>
    <s v="Cardiology B"/>
    <s v="Royal South Hospital"/>
    <n v="15"/>
    <n v="35"/>
    <x v="1"/>
  </r>
  <r>
    <s v="APT02299"/>
    <d v="2025-06-20T00:00:00"/>
    <x v="174"/>
    <x v="1"/>
    <s v="Follow-up"/>
    <s v="Routine"/>
    <x v="0"/>
    <s v="Cardiology B"/>
    <s v="Royal South Hospital"/>
    <n v="15"/>
    <n v="27"/>
    <x v="0"/>
  </r>
  <r>
    <s v="APT02300"/>
    <d v="2026-02-20T00:00:00"/>
    <x v="241"/>
    <x v="4"/>
    <s v="New"/>
    <s v="Urgent"/>
    <x v="0"/>
    <s v="Orthopaedics A"/>
    <s v="Riverside Clinic"/>
    <n v="45"/>
    <n v="42"/>
    <x v="1"/>
  </r>
  <r>
    <s v="APT02301"/>
    <d v="2025-07-07T00:00:00"/>
    <x v="22"/>
    <x v="4"/>
    <s v="Follow-up"/>
    <s v="Urgent"/>
    <x v="0"/>
    <s v="Orthopaedics A"/>
    <s v="Riverside Clinic"/>
    <n v="15"/>
    <n v="13"/>
    <x v="2"/>
  </r>
  <r>
    <s v="APT02302"/>
    <d v="2025-05-23T00:00:00"/>
    <x v="17"/>
    <x v="0"/>
    <s v="New"/>
    <s v="Routine"/>
    <x v="0"/>
    <s v="Dermatology B"/>
    <s v="Royal South Hospital"/>
    <n v="30"/>
    <n v="47"/>
    <x v="3"/>
  </r>
  <r>
    <s v="APT02303"/>
    <d v="2025-10-25T00:00:00"/>
    <x v="300"/>
    <x v="0"/>
    <s v="Follow-up"/>
    <s v="Routine"/>
    <x v="0"/>
    <s v="Dermatology B"/>
    <s v="Royal South Hospital"/>
    <n v="15"/>
    <n v="13"/>
    <x v="2"/>
  </r>
  <r>
    <s v="APT02304"/>
    <d v="2026-02-14T00:00:00"/>
    <x v="239"/>
    <x v="2"/>
    <s v="Follow-up"/>
    <s v="Routine"/>
    <x v="1"/>
    <s v="Gastro A"/>
    <s v="Central Outpatients"/>
    <n v="15"/>
    <n v="64"/>
    <x v="4"/>
  </r>
  <r>
    <s v="APT02305"/>
    <d v="2026-02-28T00:00:00"/>
    <x v="274"/>
    <x v="3"/>
    <s v="New"/>
    <s v="Routine"/>
    <x v="0"/>
    <s v="Neurology B"/>
    <s v="Central Outpatients"/>
    <n v="30"/>
    <n v="4"/>
    <x v="2"/>
  </r>
  <r>
    <s v="APT02306"/>
    <d v="2025-05-05T00:00:00"/>
    <x v="269"/>
    <x v="0"/>
    <s v="Follow-up"/>
    <s v="Routine"/>
    <x v="0"/>
    <s v="Dermatology B"/>
    <s v="Royal South Hospital"/>
    <n v="30"/>
    <n v="15"/>
    <x v="0"/>
  </r>
  <r>
    <s v="APT02307"/>
    <d v="2025-07-28T00:00:00"/>
    <x v="139"/>
    <x v="1"/>
    <s v="Follow-up"/>
    <s v="Routine"/>
    <x v="0"/>
    <s v="Cardiology B"/>
    <s v="Royal South Hospital"/>
    <n v="15"/>
    <n v="42"/>
    <x v="1"/>
  </r>
  <r>
    <s v="APT02308"/>
    <d v="2025-05-26T00:00:00"/>
    <x v="296"/>
    <x v="2"/>
    <s v="New"/>
    <s v="Urgent"/>
    <x v="0"/>
    <s v="Gastro B"/>
    <s v="Royal South Hospital"/>
    <n v="45"/>
    <n v="64"/>
    <x v="4"/>
  </r>
  <r>
    <s v="APT02309"/>
    <d v="2025-07-22T00:00:00"/>
    <x v="105"/>
    <x v="0"/>
    <s v="Follow-up"/>
    <s v="Routine"/>
    <x v="0"/>
    <s v="Dermatology B"/>
    <s v="Royal South Hospital"/>
    <n v="15"/>
    <n v="40"/>
    <x v="1"/>
  </r>
  <r>
    <s v="APT02310"/>
    <d v="2025-10-12T00:00:00"/>
    <x v="25"/>
    <x v="0"/>
    <s v="Follow-up"/>
    <s v="Routine"/>
    <x v="0"/>
    <s v="Dermatology B"/>
    <s v="Royal South Hospital"/>
    <n v="15"/>
    <n v="45"/>
    <x v="3"/>
  </r>
  <r>
    <s v="APT02311"/>
    <d v="2025-07-12T00:00:00"/>
    <x v="111"/>
    <x v="1"/>
    <s v="New"/>
    <s v="Routine"/>
    <x v="0"/>
    <s v="Cardiology A"/>
    <s v="Central Outpatients"/>
    <n v="30"/>
    <n v="35"/>
    <x v="1"/>
  </r>
  <r>
    <s v="APT02312"/>
    <d v="2025-04-25T00:00:00"/>
    <x v="9"/>
    <x v="3"/>
    <s v="New"/>
    <s v="Routine"/>
    <x v="0"/>
    <s v="Neurology B"/>
    <s v="Riverside Clinic"/>
    <n v="45"/>
    <n v="16"/>
    <x v="0"/>
  </r>
  <r>
    <s v="APT02313"/>
    <d v="2025-10-03T00:00:00"/>
    <x v="85"/>
    <x v="2"/>
    <s v="Follow-up"/>
    <s v="Routine"/>
    <x v="0"/>
    <s v="Gastro A"/>
    <s v="Royal South Hospital"/>
    <n v="15"/>
    <n v="26"/>
    <x v="0"/>
  </r>
  <r>
    <s v="APT02314"/>
    <d v="2025-04-20T00:00:00"/>
    <x v="171"/>
    <x v="0"/>
    <s v="Follow-up"/>
    <s v="Routine"/>
    <x v="0"/>
    <s v="Dermatology A"/>
    <s v="Royal South Hospital"/>
    <n v="30"/>
    <n v="13"/>
    <x v="2"/>
  </r>
  <r>
    <s v="APT02315"/>
    <d v="2025-06-22T00:00:00"/>
    <x v="190"/>
    <x v="2"/>
    <s v="Follow-up"/>
    <s v="Routine"/>
    <x v="0"/>
    <s v="Gastro B"/>
    <s v="Royal South Hospital"/>
    <n v="15"/>
    <n v="11"/>
    <x v="2"/>
  </r>
  <r>
    <s v="APT02316"/>
    <d v="2025-04-01T00:00:00"/>
    <x v="103"/>
    <x v="2"/>
    <s v="Follow-up"/>
    <s v="Routine"/>
    <x v="0"/>
    <s v="Gastro B"/>
    <s v="Riverside Clinic"/>
    <n v="30"/>
    <n v="42"/>
    <x v="1"/>
  </r>
  <r>
    <s v="APT02317"/>
    <d v="2025-05-02T00:00:00"/>
    <x v="6"/>
    <x v="4"/>
    <s v="Follow-up"/>
    <s v="Routine"/>
    <x v="0"/>
    <s v="Orthopaedics A"/>
    <s v="Royal South Hospital"/>
    <n v="30"/>
    <n v="14"/>
    <x v="2"/>
  </r>
  <r>
    <s v="APT02318"/>
    <d v="2025-09-06T00:00:00"/>
    <x v="276"/>
    <x v="4"/>
    <s v="Follow-up"/>
    <s v="Routine"/>
    <x v="0"/>
    <s v="Orthopaedics A"/>
    <s v="Royal South Hospital"/>
    <n v="15"/>
    <n v="40"/>
    <x v="1"/>
  </r>
  <r>
    <s v="APT02319"/>
    <d v="2026-02-04T00:00:00"/>
    <x v="236"/>
    <x v="1"/>
    <s v="New"/>
    <s v="Routine"/>
    <x v="0"/>
    <s v="Cardiology A"/>
    <s v="Riverside Clinic"/>
    <n v="30"/>
    <n v="11"/>
    <x v="2"/>
  </r>
  <r>
    <s v="APT02320"/>
    <d v="2026-01-07T00:00:00"/>
    <x v="173"/>
    <x v="4"/>
    <s v="New"/>
    <s v="Urgent"/>
    <x v="0"/>
    <s v="Orthopaedics B"/>
    <s v="Royal South Hospital"/>
    <n v="30"/>
    <n v="40"/>
    <x v="1"/>
  </r>
  <r>
    <s v="APT02321"/>
    <d v="2025-05-06T00:00:00"/>
    <x v="343"/>
    <x v="3"/>
    <s v="Follow-up"/>
    <s v="Routine"/>
    <x v="0"/>
    <s v="Neurology A"/>
    <s v="Riverside Clinic"/>
    <n v="15"/>
    <n v="26"/>
    <x v="0"/>
  </r>
  <r>
    <s v="APT02322"/>
    <d v="2025-04-13T00:00:00"/>
    <x v="248"/>
    <x v="3"/>
    <s v="Follow-up"/>
    <s v="Routine"/>
    <x v="0"/>
    <s v="Neurology A"/>
    <s v="Central Outpatients"/>
    <n v="15"/>
    <n v="60"/>
    <x v="4"/>
  </r>
  <r>
    <s v="APT02323"/>
    <d v="2025-08-02T00:00:00"/>
    <x v="37"/>
    <x v="0"/>
    <s v="Follow-up"/>
    <s v="Routine"/>
    <x v="0"/>
    <s v="Dermatology B"/>
    <s v="Royal South Hospital"/>
    <n v="15"/>
    <n v="40"/>
    <x v="1"/>
  </r>
  <r>
    <s v="APT02324"/>
    <d v="2025-11-24T00:00:00"/>
    <x v="187"/>
    <x v="0"/>
    <s v="New"/>
    <s v="Routine"/>
    <x v="0"/>
    <s v="Dermatology B"/>
    <s v="Royal South Hospital"/>
    <n v="30"/>
    <n v="57"/>
    <x v="4"/>
  </r>
  <r>
    <s v="APT02325"/>
    <d v="2025-12-28T00:00:00"/>
    <x v="177"/>
    <x v="1"/>
    <s v="Follow-up"/>
    <s v="Routine"/>
    <x v="0"/>
    <s v="Cardiology A"/>
    <s v="Central Outpatients"/>
    <n v="15"/>
    <n v="21"/>
    <x v="0"/>
  </r>
  <r>
    <s v="APT02326"/>
    <d v="2026-01-25T00:00:00"/>
    <x v="5"/>
    <x v="4"/>
    <s v="Follow-up"/>
    <s v="Routine"/>
    <x v="0"/>
    <s v="Orthopaedics B"/>
    <s v="Royal South Hospital"/>
    <n v="15"/>
    <n v="36"/>
    <x v="1"/>
  </r>
  <r>
    <s v="APT02327"/>
    <d v="2025-08-03T00:00:00"/>
    <x v="271"/>
    <x v="3"/>
    <s v="New"/>
    <s v="Routine"/>
    <x v="0"/>
    <s v="Neurology B"/>
    <s v="Royal South Hospital"/>
    <n v="30"/>
    <n v="17"/>
    <x v="0"/>
  </r>
  <r>
    <s v="APT02328"/>
    <d v="2025-06-01T00:00:00"/>
    <x v="61"/>
    <x v="2"/>
    <s v="New"/>
    <s v="Routine"/>
    <x v="2"/>
    <s v="Gastro A"/>
    <s v="Central Outpatients"/>
    <n v="45"/>
    <n v="27"/>
    <x v="0"/>
  </r>
  <r>
    <s v="APT02329"/>
    <d v="2025-04-10T00:00:00"/>
    <x v="235"/>
    <x v="2"/>
    <s v="Follow-up"/>
    <s v="Routine"/>
    <x v="0"/>
    <s v="Gastro B"/>
    <s v="Riverside Clinic"/>
    <n v="15"/>
    <n v="30"/>
    <x v="1"/>
  </r>
  <r>
    <s v="APT02330"/>
    <d v="2025-05-24T00:00:00"/>
    <x v="378"/>
    <x v="1"/>
    <s v="Follow-up"/>
    <s v="Urgent"/>
    <x v="0"/>
    <s v="Cardiology A"/>
    <s v="Central Outpatients"/>
    <n v="15"/>
    <n v="21"/>
    <x v="0"/>
  </r>
  <r>
    <s v="APT02331"/>
    <d v="2025-04-24T00:00:00"/>
    <x v="399"/>
    <x v="1"/>
    <s v="Follow-up"/>
    <s v="Routine"/>
    <x v="0"/>
    <s v="Cardiology A"/>
    <s v="Royal South Hospital"/>
    <n v="15"/>
    <n v="13"/>
    <x v="2"/>
  </r>
  <r>
    <s v="APT02332"/>
    <d v="2026-02-08T00:00:00"/>
    <x v="224"/>
    <x v="3"/>
    <s v="New"/>
    <s v="Routine"/>
    <x v="0"/>
    <s v="Neurology A"/>
    <s v="Royal South Hospital"/>
    <n v="30"/>
    <n v="9"/>
    <x v="2"/>
  </r>
  <r>
    <s v="APT02333"/>
    <d v="2025-07-07T00:00:00"/>
    <x v="17"/>
    <x v="2"/>
    <s v="Follow-up"/>
    <s v="Urgent"/>
    <x v="2"/>
    <s v="Gastro A"/>
    <s v="Royal South Hospital"/>
    <n v="15"/>
    <n v="2"/>
    <x v="2"/>
  </r>
  <r>
    <s v="APT02334"/>
    <d v="2026-01-25T00:00:00"/>
    <x v="185"/>
    <x v="4"/>
    <s v="New"/>
    <s v="Routine"/>
    <x v="2"/>
    <s v="Orthopaedics A"/>
    <s v="Royal South Hospital"/>
    <n v="30"/>
    <n v="15"/>
    <x v="0"/>
  </r>
  <r>
    <s v="APT02335"/>
    <d v="2025-10-19T00:00:00"/>
    <x v="306"/>
    <x v="3"/>
    <s v="New"/>
    <s v="Routine"/>
    <x v="1"/>
    <s v="Neurology A"/>
    <s v="Riverside Clinic"/>
    <n v="45"/>
    <n v="46"/>
    <x v="3"/>
  </r>
  <r>
    <s v="APT02336"/>
    <d v="2025-10-14T00:00:00"/>
    <x v="240"/>
    <x v="3"/>
    <s v="Follow-up"/>
    <s v="Routine"/>
    <x v="0"/>
    <s v="Neurology A"/>
    <s v="Royal South Hospital"/>
    <n v="15"/>
    <n v="6"/>
    <x v="2"/>
  </r>
  <r>
    <s v="APT02337"/>
    <d v="2025-09-13T00:00:00"/>
    <x v="4"/>
    <x v="4"/>
    <s v="New"/>
    <s v="Urgent"/>
    <x v="2"/>
    <s v="Orthopaedics A"/>
    <s v="Royal South Hospital"/>
    <n v="45"/>
    <n v="10"/>
    <x v="2"/>
  </r>
  <r>
    <s v="APT02338"/>
    <d v="2026-01-24T00:00:00"/>
    <x v="260"/>
    <x v="1"/>
    <s v="Follow-up"/>
    <s v="Routine"/>
    <x v="0"/>
    <s v="Cardiology B"/>
    <s v="Royal South Hospital"/>
    <n v="30"/>
    <n v="67"/>
    <x v="4"/>
  </r>
  <r>
    <s v="APT02339"/>
    <d v="2025-04-16T00:00:00"/>
    <x v="115"/>
    <x v="3"/>
    <s v="Follow-up"/>
    <s v="Routine"/>
    <x v="1"/>
    <s v="Neurology A"/>
    <s v="Royal South Hospital"/>
    <n v="15"/>
    <n v="23"/>
    <x v="0"/>
  </r>
  <r>
    <s v="APT02340"/>
    <d v="2025-05-04T00:00:00"/>
    <x v="155"/>
    <x v="3"/>
    <s v="New"/>
    <s v="Urgent"/>
    <x v="0"/>
    <s v="Neurology B"/>
    <s v="Royal South Hospital"/>
    <n v="30"/>
    <n v="40"/>
    <x v="1"/>
  </r>
  <r>
    <s v="APT02341"/>
    <d v="2025-09-02T00:00:00"/>
    <x v="316"/>
    <x v="0"/>
    <s v="New"/>
    <s v="Routine"/>
    <x v="2"/>
    <s v="Dermatology A"/>
    <s v="Riverside Clinic"/>
    <n v="30"/>
    <n v="46"/>
    <x v="3"/>
  </r>
  <r>
    <s v="APT02342"/>
    <d v="2025-08-22T00:00:00"/>
    <x v="144"/>
    <x v="1"/>
    <s v="Follow-up"/>
    <s v="Routine"/>
    <x v="0"/>
    <s v="Cardiology B"/>
    <s v="Royal South Hospital"/>
    <n v="15"/>
    <n v="46"/>
    <x v="3"/>
  </r>
  <r>
    <s v="APT02343"/>
    <d v="2025-10-16T00:00:00"/>
    <x v="48"/>
    <x v="1"/>
    <s v="New"/>
    <s v="Routine"/>
    <x v="0"/>
    <s v="Cardiology A"/>
    <s v="Riverside Clinic"/>
    <n v="30"/>
    <n v="7"/>
    <x v="2"/>
  </r>
  <r>
    <s v="APT02344"/>
    <d v="2025-12-25T00:00:00"/>
    <x v="15"/>
    <x v="1"/>
    <s v="New"/>
    <s v="Routine"/>
    <x v="2"/>
    <s v="Cardiology A"/>
    <s v="Royal South Hospital"/>
    <n v="30"/>
    <n v="30"/>
    <x v="1"/>
  </r>
  <r>
    <s v="APT02345"/>
    <d v="2025-10-31T00:00:00"/>
    <x v="191"/>
    <x v="2"/>
    <s v="Follow-up"/>
    <s v="Routine"/>
    <x v="0"/>
    <s v="Gastro A"/>
    <s v="Royal South Hospital"/>
    <n v="15"/>
    <n v="5"/>
    <x v="2"/>
  </r>
  <r>
    <s v="APT02346"/>
    <d v="2025-07-03T00:00:00"/>
    <x v="273"/>
    <x v="1"/>
    <s v="New"/>
    <s v="Urgent"/>
    <x v="2"/>
    <s v="Cardiology A"/>
    <s v="Central Outpatients"/>
    <n v="30"/>
    <n v="79"/>
    <x v="4"/>
  </r>
  <r>
    <s v="APT02347"/>
    <d v="2025-07-29T00:00:00"/>
    <x v="311"/>
    <x v="3"/>
    <s v="Follow-up"/>
    <s v="Routine"/>
    <x v="0"/>
    <s v="Neurology B"/>
    <s v="Central Outpatients"/>
    <n v="15"/>
    <n v="6"/>
    <x v="2"/>
  </r>
  <r>
    <s v="APT02348"/>
    <d v="2025-12-30T00:00:00"/>
    <x v="63"/>
    <x v="1"/>
    <s v="Follow-up"/>
    <s v="Routine"/>
    <x v="0"/>
    <s v="Cardiology A"/>
    <s v="Royal South Hospital"/>
    <n v="15"/>
    <n v="16"/>
    <x v="0"/>
  </r>
  <r>
    <s v="APT02349"/>
    <d v="2025-06-13T00:00:00"/>
    <x v="130"/>
    <x v="1"/>
    <s v="New"/>
    <s v="Routine"/>
    <x v="0"/>
    <s v="Cardiology A"/>
    <s v="Royal South Hospital"/>
    <n v="30"/>
    <n v="16"/>
    <x v="0"/>
  </r>
  <r>
    <s v="APT02350"/>
    <d v="2025-10-01T00:00:00"/>
    <x v="294"/>
    <x v="0"/>
    <s v="Follow-up"/>
    <s v="Routine"/>
    <x v="0"/>
    <s v="Dermatology B"/>
    <s v="Central Outpatients"/>
    <n v="15"/>
    <n v="8"/>
    <x v="2"/>
  </r>
  <r>
    <s v="APT02351"/>
    <d v="2025-10-14T00:00:00"/>
    <x v="168"/>
    <x v="1"/>
    <s v="Follow-up"/>
    <s v="Urgent"/>
    <x v="0"/>
    <s v="Cardiology B"/>
    <s v="Riverside Clinic"/>
    <n v="15"/>
    <n v="59"/>
    <x v="4"/>
  </r>
  <r>
    <s v="APT02352"/>
    <d v="2025-12-30T00:00:00"/>
    <x v="148"/>
    <x v="4"/>
    <s v="Follow-up"/>
    <s v="Routine"/>
    <x v="0"/>
    <s v="Orthopaedics B"/>
    <s v="Royal South Hospital"/>
    <n v="30"/>
    <n v="78"/>
    <x v="4"/>
  </r>
  <r>
    <s v="APT02353"/>
    <d v="2025-12-17T00:00:00"/>
    <x v="390"/>
    <x v="0"/>
    <s v="New"/>
    <s v="Routine"/>
    <x v="0"/>
    <s v="Dermatology B"/>
    <s v="Royal South Hospital"/>
    <n v="30"/>
    <n v="26"/>
    <x v="0"/>
  </r>
  <r>
    <s v="APT02354"/>
    <d v="2025-09-17T00:00:00"/>
    <x v="342"/>
    <x v="0"/>
    <s v="Follow-up"/>
    <s v="Urgent"/>
    <x v="0"/>
    <s v="Dermatology B"/>
    <s v="Royal South Hospital"/>
    <n v="15"/>
    <n v="11"/>
    <x v="2"/>
  </r>
  <r>
    <s v="APT02355"/>
    <d v="2025-07-22T00:00:00"/>
    <x v="365"/>
    <x v="1"/>
    <s v="New"/>
    <s v="Urgent"/>
    <x v="0"/>
    <s v="Cardiology A"/>
    <s v="Central Outpatients"/>
    <n v="45"/>
    <n v="2"/>
    <x v="2"/>
  </r>
  <r>
    <s v="APT02356"/>
    <d v="2025-08-12T00:00:00"/>
    <x v="37"/>
    <x v="0"/>
    <s v="Follow-up"/>
    <s v="Routine"/>
    <x v="1"/>
    <s v="Dermatology A"/>
    <s v="Riverside Clinic"/>
    <n v="30"/>
    <n v="30"/>
    <x v="1"/>
  </r>
  <r>
    <s v="APT02357"/>
    <d v="2025-08-28T00:00:00"/>
    <x v="137"/>
    <x v="3"/>
    <s v="New"/>
    <s v="Routine"/>
    <x v="1"/>
    <s v="Neurology B"/>
    <s v="Royal South Hospital"/>
    <n v="30"/>
    <n v="29"/>
    <x v="1"/>
  </r>
  <r>
    <s v="APT02358"/>
    <d v="2025-06-19T00:00:00"/>
    <x v="286"/>
    <x v="4"/>
    <s v="Follow-up"/>
    <s v="Routine"/>
    <x v="0"/>
    <s v="Orthopaedics B"/>
    <s v="Royal South Hospital"/>
    <n v="15"/>
    <n v="23"/>
    <x v="0"/>
  </r>
  <r>
    <s v="APT02359"/>
    <d v="2025-11-14T00:00:00"/>
    <x v="396"/>
    <x v="0"/>
    <s v="New"/>
    <s v="Routine"/>
    <x v="0"/>
    <s v="Dermatology B"/>
    <s v="Royal South Hospital"/>
    <n v="30"/>
    <n v="38"/>
    <x v="1"/>
  </r>
  <r>
    <s v="APT02360"/>
    <d v="2025-06-15T00:00:00"/>
    <x v="145"/>
    <x v="3"/>
    <s v="Follow-up"/>
    <s v="Routine"/>
    <x v="0"/>
    <s v="Neurology B"/>
    <s v="Riverside Clinic"/>
    <n v="15"/>
    <n v="42"/>
    <x v="1"/>
  </r>
  <r>
    <s v="APT02361"/>
    <d v="2025-11-23T00:00:00"/>
    <x v="246"/>
    <x v="2"/>
    <s v="Follow-up"/>
    <s v="Urgent"/>
    <x v="0"/>
    <s v="Gastro B"/>
    <s v="Central Outpatients"/>
    <n v="30"/>
    <n v="40"/>
    <x v="1"/>
  </r>
  <r>
    <s v="APT02362"/>
    <d v="2025-12-30T00:00:00"/>
    <x v="60"/>
    <x v="4"/>
    <s v="Follow-up"/>
    <s v="Routine"/>
    <x v="1"/>
    <s v="Orthopaedics A"/>
    <s v="Riverside Clinic"/>
    <n v="30"/>
    <n v="29"/>
    <x v="1"/>
  </r>
  <r>
    <s v="APT02363"/>
    <d v="2026-03-17T00:00:00"/>
    <x v="260"/>
    <x v="2"/>
    <s v="New"/>
    <s v="Routine"/>
    <x v="0"/>
    <s v="Gastro B"/>
    <s v="Riverside Clinic"/>
    <n v="30"/>
    <n v="15"/>
    <x v="0"/>
  </r>
  <r>
    <s v="APT02364"/>
    <d v="2025-05-14T00:00:00"/>
    <x v="130"/>
    <x v="0"/>
    <s v="New"/>
    <s v="Routine"/>
    <x v="0"/>
    <s v="Dermatology B"/>
    <s v="Royal South Hospital"/>
    <n v="30"/>
    <n v="46"/>
    <x v="3"/>
  </r>
  <r>
    <s v="APT02365"/>
    <d v="2026-01-02T00:00:00"/>
    <x v="13"/>
    <x v="3"/>
    <s v="Follow-up"/>
    <s v="Routine"/>
    <x v="0"/>
    <s v="Neurology A"/>
    <s v="Riverside Clinic"/>
    <n v="15"/>
    <n v="35"/>
    <x v="1"/>
  </r>
  <r>
    <s v="APT02366"/>
    <d v="2025-05-02T00:00:00"/>
    <x v="62"/>
    <x v="4"/>
    <s v="Follow-up"/>
    <s v="Routine"/>
    <x v="0"/>
    <s v="Orthopaedics B"/>
    <s v="Royal South Hospital"/>
    <n v="15"/>
    <n v="50"/>
    <x v="3"/>
  </r>
  <r>
    <s v="APT02367"/>
    <d v="2025-08-01T00:00:00"/>
    <x v="121"/>
    <x v="2"/>
    <s v="Follow-up"/>
    <s v="Routine"/>
    <x v="1"/>
    <s v="Gastro A"/>
    <s v="Royal South Hospital"/>
    <n v="15"/>
    <n v="49"/>
    <x v="3"/>
  </r>
  <r>
    <s v="APT02368"/>
    <d v="2025-06-04T00:00:00"/>
    <x v="155"/>
    <x v="4"/>
    <s v="New"/>
    <s v="Routine"/>
    <x v="0"/>
    <s v="Orthopaedics A"/>
    <s v="Royal South Hospital"/>
    <n v="30"/>
    <n v="9"/>
    <x v="2"/>
  </r>
  <r>
    <s v="APT02369"/>
    <d v="2025-05-30T00:00:00"/>
    <x v="58"/>
    <x v="4"/>
    <s v="Follow-up"/>
    <s v="Routine"/>
    <x v="0"/>
    <s v="Orthopaedics A"/>
    <s v="Central Outpatients"/>
    <n v="30"/>
    <n v="9"/>
    <x v="2"/>
  </r>
  <r>
    <s v="APT02370"/>
    <d v="2025-06-03T00:00:00"/>
    <x v="136"/>
    <x v="1"/>
    <s v="New"/>
    <s v="Routine"/>
    <x v="0"/>
    <s v="Cardiology B"/>
    <s v="Royal South Hospital"/>
    <n v="30"/>
    <n v="21"/>
    <x v="0"/>
  </r>
  <r>
    <s v="APT02371"/>
    <d v="2025-04-16T00:00:00"/>
    <x v="361"/>
    <x v="4"/>
    <s v="New"/>
    <s v="Routine"/>
    <x v="0"/>
    <s v="Orthopaedics B"/>
    <s v="Royal South Hospital"/>
    <n v="45"/>
    <n v="15"/>
    <x v="0"/>
  </r>
  <r>
    <s v="APT02372"/>
    <d v="2026-01-25T00:00:00"/>
    <x v="131"/>
    <x v="3"/>
    <s v="New"/>
    <s v="Routine"/>
    <x v="0"/>
    <s v="Neurology B"/>
    <s v="Central Outpatients"/>
    <n v="30"/>
    <n v="48"/>
    <x v="3"/>
  </r>
  <r>
    <s v="APT02373"/>
    <d v="2025-04-23T00:00:00"/>
    <x v="170"/>
    <x v="2"/>
    <s v="Follow-up"/>
    <s v="Routine"/>
    <x v="0"/>
    <s v="Gastro A"/>
    <s v="Central Outpatients"/>
    <n v="15"/>
    <n v="41"/>
    <x v="1"/>
  </r>
  <r>
    <s v="APT02374"/>
    <d v="2025-08-24T00:00:00"/>
    <x v="285"/>
    <x v="2"/>
    <s v="Follow-up"/>
    <s v="Routine"/>
    <x v="0"/>
    <s v="Gastro B"/>
    <s v="Royal South Hospital"/>
    <n v="15"/>
    <n v="54"/>
    <x v="3"/>
  </r>
  <r>
    <s v="APT02375"/>
    <d v="2025-12-11T00:00:00"/>
    <x v="154"/>
    <x v="4"/>
    <s v="Follow-up"/>
    <s v="Routine"/>
    <x v="0"/>
    <s v="Orthopaedics A"/>
    <s v="Royal South Hospital"/>
    <n v="15"/>
    <n v="42"/>
    <x v="1"/>
  </r>
  <r>
    <s v="APT02376"/>
    <d v="2026-03-27T00:00:00"/>
    <x v="315"/>
    <x v="3"/>
    <s v="New"/>
    <s v="Routine"/>
    <x v="0"/>
    <s v="Neurology A"/>
    <s v="Central Outpatients"/>
    <n v="30"/>
    <n v="38"/>
    <x v="1"/>
  </r>
  <r>
    <s v="APT02377"/>
    <d v="2026-02-05T00:00:00"/>
    <x v="320"/>
    <x v="2"/>
    <s v="New"/>
    <s v="Routine"/>
    <x v="1"/>
    <s v="Gastro A"/>
    <s v="Royal South Hospital"/>
    <n v="45"/>
    <n v="56"/>
    <x v="3"/>
  </r>
  <r>
    <s v="APT02378"/>
    <d v="2025-05-20T00:00:00"/>
    <x v="279"/>
    <x v="1"/>
    <s v="Follow-up"/>
    <s v="Routine"/>
    <x v="0"/>
    <s v="Cardiology A"/>
    <s v="Unknown"/>
    <n v="15"/>
    <n v="43"/>
    <x v="3"/>
  </r>
  <r>
    <s v="APT02379"/>
    <d v="2026-03-26T00:00:00"/>
    <x v="220"/>
    <x v="2"/>
    <s v="Follow-up"/>
    <s v="Urgent"/>
    <x v="0"/>
    <s v="Gastro B"/>
    <s v="Royal South Hospital"/>
    <n v="15"/>
    <n v="36"/>
    <x v="1"/>
  </r>
  <r>
    <s v="APT02380"/>
    <d v="2025-11-24T00:00:00"/>
    <x v="15"/>
    <x v="4"/>
    <s v="New"/>
    <s v="Routine"/>
    <x v="0"/>
    <s v="Orthopaedics B"/>
    <s v="Royal South Hospital"/>
    <n v="30"/>
    <n v="61"/>
    <x v="4"/>
  </r>
  <r>
    <s v="APT02381"/>
    <d v="2025-06-05T00:00:00"/>
    <x v="286"/>
    <x v="3"/>
    <s v="New"/>
    <s v="Routine"/>
    <x v="0"/>
    <s v="Neurology A"/>
    <s v="Riverside Clinic"/>
    <n v="30"/>
    <n v="37"/>
    <x v="1"/>
  </r>
  <r>
    <s v="APT02382"/>
    <d v="2025-09-11T00:00:00"/>
    <x v="370"/>
    <x v="1"/>
    <s v="Follow-up"/>
    <s v="Routine"/>
    <x v="1"/>
    <s v="Cardiology A"/>
    <s v="Central Outpatients"/>
    <n v="15"/>
    <n v="29"/>
    <x v="1"/>
  </r>
  <r>
    <s v="APT02383"/>
    <d v="2026-03-01T00:00:00"/>
    <x v="357"/>
    <x v="4"/>
    <s v="Follow-up"/>
    <s v="Routine"/>
    <x v="1"/>
    <s v="Orthopaedics A"/>
    <s v="Royal South Hospital"/>
    <n v="15"/>
    <n v="19"/>
    <x v="0"/>
  </r>
  <r>
    <s v="APT02384"/>
    <d v="2025-08-22T00:00:00"/>
    <x v="369"/>
    <x v="4"/>
    <s v="Follow-up"/>
    <s v="Routine"/>
    <x v="2"/>
    <s v="Orthopaedics A"/>
    <s v="Central Outpatients"/>
    <n v="15"/>
    <n v="47"/>
    <x v="3"/>
  </r>
  <r>
    <s v="APT02385"/>
    <d v="2025-06-06T00:00:00"/>
    <x v="65"/>
    <x v="2"/>
    <s v="New"/>
    <s v="Urgent"/>
    <x v="0"/>
    <s v="Gastro B"/>
    <s v="Riverside Clinic"/>
    <n v="45"/>
    <n v="57"/>
    <x v="4"/>
  </r>
  <r>
    <s v="APT02386"/>
    <d v="2026-02-13T00:00:00"/>
    <x v="35"/>
    <x v="1"/>
    <s v="Follow-up"/>
    <s v="Routine"/>
    <x v="0"/>
    <s v="Cardiology A"/>
    <s v="Riverside Clinic"/>
    <n v="15"/>
    <n v="34"/>
    <x v="1"/>
  </r>
  <r>
    <s v="APT02387"/>
    <d v="2026-03-13T00:00:00"/>
    <x v="400"/>
    <x v="2"/>
    <s v="New"/>
    <s v="Routine"/>
    <x v="1"/>
    <s v="Gastro A"/>
    <s v="Royal South Hospital"/>
    <n v="30"/>
    <n v="58"/>
    <x v="4"/>
  </r>
  <r>
    <s v="APT02388"/>
    <d v="2026-03-22T00:00:00"/>
    <x v="214"/>
    <x v="1"/>
    <s v="Follow-up"/>
    <s v="Routine"/>
    <x v="0"/>
    <s v="Cardiology A"/>
    <s v="Royal South Hospital"/>
    <n v="30"/>
    <n v="2"/>
    <x v="2"/>
  </r>
  <r>
    <s v="APT02389"/>
    <d v="2026-03-14T00:00:00"/>
    <x v="289"/>
    <x v="0"/>
    <s v="New"/>
    <s v="Routine"/>
    <x v="0"/>
    <s v="Dermatology B"/>
    <s v="Riverside Clinic"/>
    <n v="30"/>
    <n v="34"/>
    <x v="1"/>
  </r>
  <r>
    <s v="APT02390"/>
    <d v="2026-02-12T00:00:00"/>
    <x v="148"/>
    <x v="3"/>
    <s v="New"/>
    <s v="Urgent"/>
    <x v="0"/>
    <s v="Neurology B"/>
    <s v="Riverside Clinic"/>
    <n v="30"/>
    <n v="34"/>
    <x v="1"/>
  </r>
  <r>
    <s v="APT02391"/>
    <d v="2025-09-13T00:00:00"/>
    <x v="188"/>
    <x v="4"/>
    <s v="Follow-up"/>
    <s v="Routine"/>
    <x v="0"/>
    <s v="Orthopaedics B"/>
    <s v="Royal South Hospital"/>
    <n v="15"/>
    <n v="21"/>
    <x v="0"/>
  </r>
  <r>
    <s v="APT02392"/>
    <d v="2025-06-09T00:00:00"/>
    <x v="147"/>
    <x v="0"/>
    <s v="New"/>
    <s v="Routine"/>
    <x v="0"/>
    <s v="Dermatology B"/>
    <s v="Royal South Hospital"/>
    <n v="30"/>
    <n v="77"/>
    <x v="4"/>
  </r>
  <r>
    <s v="APT02393"/>
    <d v="2025-11-11T00:00:00"/>
    <x v="350"/>
    <x v="4"/>
    <s v="New"/>
    <s v="Urgent"/>
    <x v="2"/>
    <s v="Orthopaedics A"/>
    <s v="Royal South Hospital"/>
    <n v="30"/>
    <n v="33"/>
    <x v="1"/>
  </r>
  <r>
    <s v="APT02394"/>
    <d v="2025-06-20T00:00:00"/>
    <x v="174"/>
    <x v="4"/>
    <s v="Follow-up"/>
    <s v="Urgent"/>
    <x v="0"/>
    <s v="Orthopaedics A"/>
    <s v="Royal South Hospital"/>
    <n v="15"/>
    <n v="27"/>
    <x v="0"/>
  </r>
  <r>
    <s v="APT02395"/>
    <d v="2025-09-20T00:00:00"/>
    <x v="102"/>
    <x v="1"/>
    <s v="Follow-up"/>
    <s v="Routine"/>
    <x v="0"/>
    <s v="Cardiology A"/>
    <s v="Royal South Hospital"/>
    <n v="15"/>
    <n v="35"/>
    <x v="1"/>
  </r>
  <r>
    <s v="APT02396"/>
    <d v="2025-11-25T00:00:00"/>
    <x v="67"/>
    <x v="0"/>
    <s v="Follow-up"/>
    <s v="Routine"/>
    <x v="2"/>
    <s v="Dermatology B"/>
    <s v="Royal South Hospital"/>
    <n v="15"/>
    <n v="2"/>
    <x v="2"/>
  </r>
  <r>
    <s v="APT02397"/>
    <d v="2026-03-11T00:00:00"/>
    <x v="260"/>
    <x v="3"/>
    <s v="New"/>
    <s v="Routine"/>
    <x v="0"/>
    <s v="Neurology A"/>
    <s v="Royal South Hospital"/>
    <n v="45"/>
    <n v="21"/>
    <x v="0"/>
  </r>
  <r>
    <s v="APT02398"/>
    <d v="2025-07-15T00:00:00"/>
    <x v="125"/>
    <x v="4"/>
    <s v="New"/>
    <s v="Urgent"/>
    <x v="0"/>
    <s v="Orthopaedics A"/>
    <s v="Central Outpatients"/>
    <n v="45"/>
    <n v="52"/>
    <x v="3"/>
  </r>
  <r>
    <s v="APT02399"/>
    <d v="2025-07-01T00:00:00"/>
    <x v="365"/>
    <x v="0"/>
    <s v="Follow-up"/>
    <s v="Routine"/>
    <x v="0"/>
    <s v="Dermatology A"/>
    <s v="Central Outpatients"/>
    <n v="15"/>
    <n v="23"/>
    <x v="0"/>
  </r>
  <r>
    <s v="APT02400"/>
    <d v="2025-12-24T00:00:00"/>
    <x v="366"/>
    <x v="3"/>
    <s v="Follow-up"/>
    <s v="Routine"/>
    <x v="0"/>
    <s v="Neurology A"/>
    <s v="Royal South Hospital"/>
    <n v="15"/>
    <n v="20"/>
    <x v="0"/>
  </r>
  <r>
    <s v="APT02401"/>
    <d v="2025-04-03T00:00:00"/>
    <x v="69"/>
    <x v="3"/>
    <s v="New"/>
    <s v="Routine"/>
    <x v="0"/>
    <s v="Neurology A"/>
    <s v="Royal South Hospital"/>
    <n v="45"/>
    <n v="58"/>
    <x v="4"/>
  </r>
  <r>
    <s v="APT02402"/>
    <d v="2025-10-24T00:00:00"/>
    <x v="396"/>
    <x v="3"/>
    <s v="Follow-up"/>
    <s v="Routine"/>
    <x v="0"/>
    <s v="Neurology A"/>
    <s v="Royal South Hospital"/>
    <n v="30"/>
    <n v="59"/>
    <x v="4"/>
  </r>
  <r>
    <s v="APT02403"/>
    <d v="2025-12-28T00:00:00"/>
    <x v="195"/>
    <x v="3"/>
    <s v="Follow-up"/>
    <s v="Routine"/>
    <x v="0"/>
    <s v="Neurology B"/>
    <s v="Royal South Hospital"/>
    <n v="15"/>
    <n v="44"/>
    <x v="3"/>
  </r>
  <r>
    <s v="APT02404"/>
    <d v="2025-10-18T00:00:00"/>
    <x v="10"/>
    <x v="1"/>
    <s v="New"/>
    <s v="Routine"/>
    <x v="0"/>
    <s v="Cardiology A"/>
    <s v="Central Outpatients"/>
    <n v="45"/>
    <n v="26"/>
    <x v="0"/>
  </r>
  <r>
    <s v="APT02405"/>
    <d v="2025-08-18T00:00:00"/>
    <x v="73"/>
    <x v="1"/>
    <s v="Follow-up"/>
    <s v="Routine"/>
    <x v="0"/>
    <s v="Cardiology A"/>
    <s v="Royal South Hospital"/>
    <n v="30"/>
    <n v="30"/>
    <x v="1"/>
  </r>
  <r>
    <s v="APT02406"/>
    <d v="2026-01-27T00:00:00"/>
    <x v="173"/>
    <x v="1"/>
    <s v="Follow-up"/>
    <s v="Routine"/>
    <x v="0"/>
    <s v="Cardiology A"/>
    <s v="Central Outpatients"/>
    <n v="15"/>
    <n v="20"/>
    <x v="0"/>
  </r>
  <r>
    <s v="APT02407"/>
    <d v="2025-08-14T00:00:00"/>
    <x v="105"/>
    <x v="4"/>
    <s v="New"/>
    <s v="Routine"/>
    <x v="0"/>
    <s v="Orthopaedics A"/>
    <s v="Royal South Hospital"/>
    <n v="45"/>
    <n v="17"/>
    <x v="0"/>
  </r>
  <r>
    <s v="APT02408"/>
    <d v="2025-12-15T00:00:00"/>
    <x v="68"/>
    <x v="4"/>
    <s v="Follow-up"/>
    <s v="Routine"/>
    <x v="0"/>
    <s v="Orthopaedics B"/>
    <s v="Central Outpatients"/>
    <n v="15"/>
    <n v="16"/>
    <x v="0"/>
  </r>
  <r>
    <s v="APT02409"/>
    <d v="2025-09-16T00:00:00"/>
    <x v="294"/>
    <x v="4"/>
    <s v="New"/>
    <s v="Routine"/>
    <x v="0"/>
    <s v="Orthopaedics A"/>
    <s v="Riverside Clinic"/>
    <n v="30"/>
    <n v="23"/>
    <x v="0"/>
  </r>
  <r>
    <s v="APT02410"/>
    <d v="2025-04-10T00:00:00"/>
    <x v="375"/>
    <x v="1"/>
    <s v="New"/>
    <s v="Routine"/>
    <x v="2"/>
    <s v="Cardiology A"/>
    <s v="Riverside Clinic"/>
    <n v="45"/>
    <n v="16"/>
    <x v="0"/>
  </r>
  <r>
    <s v="APT02411"/>
    <d v="2025-10-11T00:00:00"/>
    <x v="285"/>
    <x v="2"/>
    <s v="Follow-up"/>
    <s v="Routine"/>
    <x v="0"/>
    <s v="Gastro B"/>
    <s v="Central Outpatients"/>
    <n v="15"/>
    <n v="6"/>
    <x v="2"/>
  </r>
  <r>
    <s v="APT02412"/>
    <d v="2025-04-19T00:00:00"/>
    <x v="333"/>
    <x v="1"/>
    <s v="Follow-up"/>
    <s v="Routine"/>
    <x v="0"/>
    <s v="Cardiology B"/>
    <s v="Royal South Hospital"/>
    <n v="15"/>
    <n v="38"/>
    <x v="1"/>
  </r>
  <r>
    <s v="APT02413"/>
    <d v="2026-03-05T00:00:00"/>
    <x v="221"/>
    <x v="0"/>
    <s v="New"/>
    <s v="Routine"/>
    <x v="0"/>
    <s v="Dermatology B"/>
    <s v="Royal South Hospital"/>
    <n v="30"/>
    <n v="39"/>
    <x v="1"/>
  </r>
  <r>
    <s v="APT02414"/>
    <d v="2025-11-05T00:00:00"/>
    <x v="341"/>
    <x v="0"/>
    <s v="Follow-up"/>
    <s v="Routine"/>
    <x v="0"/>
    <s v="Dermatology A"/>
    <s v="Royal South Hospital"/>
    <n v="15"/>
    <n v="65"/>
    <x v="4"/>
  </r>
  <r>
    <s v="APT02415"/>
    <d v="2025-08-14T00:00:00"/>
    <x v="125"/>
    <x v="4"/>
    <s v="Follow-up"/>
    <s v="Routine"/>
    <x v="0"/>
    <s v="Orthopaedics B"/>
    <s v="Central Outpatients"/>
    <n v="15"/>
    <n v="22"/>
    <x v="0"/>
  </r>
  <r>
    <s v="APT02416"/>
    <d v="2025-09-24T00:00:00"/>
    <x v="122"/>
    <x v="1"/>
    <s v="Follow-up"/>
    <s v="Routine"/>
    <x v="0"/>
    <s v="Cardiology B"/>
    <s v="Central Outpatients"/>
    <n v="15"/>
    <n v="40"/>
    <x v="1"/>
  </r>
  <r>
    <s v="APT02417"/>
    <d v="2025-11-12T00:00:00"/>
    <x v="396"/>
    <x v="3"/>
    <s v="Follow-up"/>
    <s v="Routine"/>
    <x v="0"/>
    <s v="Neurology B"/>
    <s v="Royal South Hospital"/>
    <n v="15"/>
    <n v="40"/>
    <x v="1"/>
  </r>
  <r>
    <s v="APT02418"/>
    <d v="2025-07-04T00:00:00"/>
    <x v="116"/>
    <x v="4"/>
    <s v="Follow-up"/>
    <s v="Routine"/>
    <x v="0"/>
    <s v="Orthopaedics B"/>
    <s v="Riverside Clinic"/>
    <n v="15"/>
    <n v="30"/>
    <x v="1"/>
  </r>
  <r>
    <s v="APT02419"/>
    <d v="2025-07-14T00:00:00"/>
    <x v="105"/>
    <x v="3"/>
    <s v="New"/>
    <s v="Routine"/>
    <x v="1"/>
    <s v="Neurology B"/>
    <s v="Royal South Hospital"/>
    <n v="30"/>
    <n v="48"/>
    <x v="3"/>
  </r>
  <r>
    <s v="APT02420"/>
    <d v="2025-08-31T00:00:00"/>
    <x v="316"/>
    <x v="1"/>
    <s v="Follow-up"/>
    <s v="Routine"/>
    <x v="2"/>
    <s v="Cardiology A"/>
    <s v="Royal South Hospital"/>
    <n v="15"/>
    <n v="48"/>
    <x v="3"/>
  </r>
  <r>
    <s v="APT02421"/>
    <d v="2025-07-04T00:00:00"/>
    <x v="66"/>
    <x v="4"/>
    <s v="Follow-up"/>
    <s v="Routine"/>
    <x v="2"/>
    <s v="Orthopaedics A"/>
    <s v="Riverside Clinic"/>
    <n v="30"/>
    <n v="40"/>
    <x v="1"/>
  </r>
  <r>
    <s v="APT02422"/>
    <d v="2026-01-01T00:00:00"/>
    <x v="165"/>
    <x v="3"/>
    <s v="Follow-up"/>
    <s v="Routine"/>
    <x v="0"/>
    <s v="Neurology B"/>
    <s v="Royal South Hospital"/>
    <n v="30"/>
    <n v="30"/>
    <x v="1"/>
  </r>
  <r>
    <s v="APT02423"/>
    <d v="2025-05-08T00:00:00"/>
    <x v="91"/>
    <x v="2"/>
    <s v="New"/>
    <s v="Urgent"/>
    <x v="0"/>
    <s v="Gastro A"/>
    <s v="Royal South Hospital"/>
    <n v="30"/>
    <n v="28"/>
    <x v="0"/>
  </r>
  <r>
    <s v="APT02424"/>
    <d v="2026-01-26T00:00:00"/>
    <x v="51"/>
    <x v="3"/>
    <s v="New"/>
    <s v="Routine"/>
    <x v="0"/>
    <s v="Neurology B"/>
    <s v="Riverside Clinic"/>
    <n v="30"/>
    <n v="10"/>
    <x v="2"/>
  </r>
  <r>
    <s v="APT02425"/>
    <d v="2025-08-05T00:00:00"/>
    <x v="147"/>
    <x v="4"/>
    <s v="New"/>
    <s v="Routine"/>
    <x v="0"/>
    <s v="Orthopaedics B"/>
    <s v="Riverside Clinic"/>
    <n v="30"/>
    <n v="20"/>
    <x v="0"/>
  </r>
  <r>
    <s v="APT02426"/>
    <d v="2025-10-22T00:00:00"/>
    <x v="64"/>
    <x v="2"/>
    <s v="Follow-up"/>
    <s v="Routine"/>
    <x v="1"/>
    <s v="Gastro A"/>
    <s v="Riverside Clinic"/>
    <n v="15"/>
    <n v="23"/>
    <x v="0"/>
  </r>
  <r>
    <s v="APT02427"/>
    <d v="2025-05-28T00:00:00"/>
    <x v="127"/>
    <x v="2"/>
    <s v="Follow-up"/>
    <s v="Routine"/>
    <x v="0"/>
    <s v="Gastro B"/>
    <s v="Royal South Hospital"/>
    <n v="15"/>
    <n v="14"/>
    <x v="2"/>
  </r>
  <r>
    <s v="APT02428"/>
    <d v="2025-08-19T00:00:00"/>
    <x v="149"/>
    <x v="2"/>
    <s v="Follow-up"/>
    <s v="Routine"/>
    <x v="0"/>
    <s v="Gastro B"/>
    <s v="Royal South Hospital"/>
    <n v="15"/>
    <n v="42"/>
    <x v="1"/>
  </r>
  <r>
    <s v="APT02429"/>
    <d v="2025-12-31T00:00:00"/>
    <x v="40"/>
    <x v="1"/>
    <s v="Follow-up"/>
    <s v="Routine"/>
    <x v="0"/>
    <s v="Cardiology A"/>
    <s v="Riverside Clinic"/>
    <n v="15"/>
    <n v="56"/>
    <x v="3"/>
  </r>
  <r>
    <s v="APT02430"/>
    <d v="2025-07-08T00:00:00"/>
    <x v="133"/>
    <x v="4"/>
    <s v="New"/>
    <s v="Routine"/>
    <x v="2"/>
    <s v="Orthopaedics B"/>
    <s v="Central Outpatients"/>
    <n v="30"/>
    <n v="18"/>
    <x v="0"/>
  </r>
  <r>
    <s v="APT02431"/>
    <d v="2025-05-19T00:00:00"/>
    <x v="61"/>
    <x v="1"/>
    <s v="New"/>
    <s v="Urgent"/>
    <x v="0"/>
    <s v="Cardiology A"/>
    <s v="Royal South Hospital"/>
    <n v="30"/>
    <n v="40"/>
    <x v="1"/>
  </r>
  <r>
    <s v="APT02432"/>
    <d v="2025-10-07T00:00:00"/>
    <x v="48"/>
    <x v="0"/>
    <s v="Follow-up"/>
    <s v="Routine"/>
    <x v="0"/>
    <s v="Dermatology A"/>
    <s v="Central Outpatients"/>
    <n v="15"/>
    <n v="16"/>
    <x v="0"/>
  </r>
  <r>
    <s v="APT02433"/>
    <d v="2025-05-30T00:00:00"/>
    <x v="61"/>
    <x v="0"/>
    <s v="Follow-up"/>
    <s v="Routine"/>
    <x v="0"/>
    <s v="Dermatology A"/>
    <s v="Central Outpatients"/>
    <n v="15"/>
    <n v="29"/>
    <x v="1"/>
  </r>
  <r>
    <s v="APT02434"/>
    <d v="2025-07-24T00:00:00"/>
    <x v="167"/>
    <x v="0"/>
    <s v="Follow-up"/>
    <s v="Routine"/>
    <x v="0"/>
    <s v="Dermatology B"/>
    <s v="Central Outpatients"/>
    <n v="15"/>
    <n v="22"/>
    <x v="0"/>
  </r>
  <r>
    <s v="APT02435"/>
    <d v="2025-09-11T00:00:00"/>
    <x v="184"/>
    <x v="2"/>
    <s v="New"/>
    <s v="Urgent"/>
    <x v="0"/>
    <s v="Gastro A"/>
    <s v="Riverside Clinic"/>
    <n v="30"/>
    <n v="45"/>
    <x v="3"/>
  </r>
  <r>
    <s v="APT02436"/>
    <d v="2025-10-23T00:00:00"/>
    <x v="64"/>
    <x v="3"/>
    <s v="New"/>
    <s v="Routine"/>
    <x v="0"/>
    <s v="Neurology A"/>
    <s v="Royal South Hospital"/>
    <n v="30"/>
    <n v="22"/>
    <x v="0"/>
  </r>
  <r>
    <s v="APT02437"/>
    <d v="2025-11-19T00:00:00"/>
    <x v="50"/>
    <x v="0"/>
    <s v="Follow-up"/>
    <s v="Routine"/>
    <x v="0"/>
    <s v="Dermatology A"/>
    <s v="Riverside Clinic"/>
    <n v="15"/>
    <n v="53"/>
    <x v="3"/>
  </r>
  <r>
    <s v="APT02438"/>
    <d v="2025-12-03T00:00:00"/>
    <x v="246"/>
    <x v="1"/>
    <s v="New"/>
    <s v="Routine"/>
    <x v="0"/>
    <s v="Cardiology B"/>
    <s v="Royal South Hospital"/>
    <n v="30"/>
    <n v="30"/>
    <x v="1"/>
  </r>
  <r>
    <s v="APT02439"/>
    <d v="2026-02-02T00:00:00"/>
    <x v="40"/>
    <x v="4"/>
    <s v="New"/>
    <s v="Routine"/>
    <x v="0"/>
    <s v="Orthopaedics B"/>
    <s v="Royal South Hospital"/>
    <n v="30"/>
    <n v="23"/>
    <x v="0"/>
  </r>
  <r>
    <s v="APT02440"/>
    <d v="2025-04-25T00:00:00"/>
    <x v="399"/>
    <x v="4"/>
    <s v="Follow-up"/>
    <s v="Routine"/>
    <x v="0"/>
    <s v="Orthopaedics B"/>
    <s v="Royal South Hospital"/>
    <n v="30"/>
    <n v="12"/>
    <x v="2"/>
  </r>
  <r>
    <s v="APT02441"/>
    <d v="2025-08-10T00:00:00"/>
    <x v="245"/>
    <x v="2"/>
    <s v="Follow-up"/>
    <s v="Routine"/>
    <x v="0"/>
    <s v="Gastro B"/>
    <s v="Royal South Hospital"/>
    <n v="15"/>
    <n v="39"/>
    <x v="1"/>
  </r>
  <r>
    <s v="APT02442"/>
    <d v="2025-04-01T00:00:00"/>
    <x v="210"/>
    <x v="0"/>
    <s v="Follow-up"/>
    <s v="Routine"/>
    <x v="0"/>
    <s v="Dermatology B"/>
    <s v="Riverside Clinic"/>
    <n v="15"/>
    <n v="51"/>
    <x v="3"/>
  </r>
  <r>
    <s v="APT02443"/>
    <d v="2025-04-04T00:00:00"/>
    <x v="103"/>
    <x v="1"/>
    <s v="Follow-up"/>
    <s v="Routine"/>
    <x v="0"/>
    <s v="Cardiology A"/>
    <s v="Central Outpatients"/>
    <n v="30"/>
    <n v="39"/>
    <x v="1"/>
  </r>
  <r>
    <s v="APT02444"/>
    <d v="2025-06-17T00:00:00"/>
    <x v="105"/>
    <x v="1"/>
    <s v="Follow-up"/>
    <s v="Routine"/>
    <x v="0"/>
    <s v="Cardiology B"/>
    <s v="Royal South Hospital"/>
    <n v="15"/>
    <n v="75"/>
    <x v="4"/>
  </r>
  <r>
    <s v="APT02445"/>
    <d v="2025-11-04T00:00:00"/>
    <x v="46"/>
    <x v="0"/>
    <s v="New"/>
    <s v="Routine"/>
    <x v="1"/>
    <s v="Dermatology A"/>
    <s v="Royal South Hospital"/>
    <n v="30"/>
    <n v="60"/>
    <x v="4"/>
  </r>
  <r>
    <s v="APT02446"/>
    <d v="2026-02-20T00:00:00"/>
    <x v="243"/>
    <x v="4"/>
    <s v="Follow-up"/>
    <s v="Routine"/>
    <x v="0"/>
    <s v="Orthopaedics B"/>
    <s v="Central Outpatients"/>
    <n v="15"/>
    <n v="29"/>
    <x v="1"/>
  </r>
  <r>
    <s v="APT02447"/>
    <d v="2026-01-07T00:00:00"/>
    <x v="51"/>
    <x v="3"/>
    <s v="Follow-up"/>
    <s v="Urgent"/>
    <x v="0"/>
    <s v="Neurology B"/>
    <s v="Royal South Hospital"/>
    <n v="15"/>
    <n v="29"/>
    <x v="1"/>
  </r>
  <r>
    <s v="APT02448"/>
    <d v="2025-11-22T00:00:00"/>
    <x v="86"/>
    <x v="0"/>
    <s v="Follow-up"/>
    <s v="Urgent"/>
    <x v="2"/>
    <s v="Dermatology A"/>
    <s v="Royal South Hospital"/>
    <n v="30"/>
    <n v="43"/>
    <x v="3"/>
  </r>
  <r>
    <s v="APT02449"/>
    <d v="2026-01-09T00:00:00"/>
    <x v="60"/>
    <x v="4"/>
    <s v="Follow-up"/>
    <s v="Routine"/>
    <x v="2"/>
    <s v="Orthopaedics B"/>
    <s v="Central Outpatients"/>
    <n v="30"/>
    <n v="19"/>
    <x v="0"/>
  </r>
  <r>
    <s v="APT02450"/>
    <d v="2025-06-02T00:00:00"/>
    <x v="145"/>
    <x v="2"/>
    <s v="Follow-up"/>
    <s v="Routine"/>
    <x v="0"/>
    <s v="Gastro A"/>
    <s v="Central Outpatients"/>
    <n v="15"/>
    <n v="55"/>
    <x v="3"/>
  </r>
  <r>
    <s v="APT02451"/>
    <d v="2026-01-31T00:00:00"/>
    <x v="83"/>
    <x v="0"/>
    <s v="New"/>
    <s v="Routine"/>
    <x v="0"/>
    <s v="Dermatology B"/>
    <s v="Riverside Clinic"/>
    <n v="30"/>
    <n v="41"/>
    <x v="1"/>
  </r>
  <r>
    <s v="APT02452"/>
    <d v="2026-02-19T00:00:00"/>
    <x v="45"/>
    <x v="2"/>
    <s v="Follow-up"/>
    <s v="Urgent"/>
    <x v="0"/>
    <s v="Gastro B"/>
    <s v="Royal South Hospital"/>
    <n v="30"/>
    <n v="39"/>
    <x v="1"/>
  </r>
  <r>
    <s v="APT02453"/>
    <d v="2025-05-05T00:00:00"/>
    <x v="62"/>
    <x v="1"/>
    <s v="Follow-up"/>
    <s v="Routine"/>
    <x v="2"/>
    <s v="Cardiology A"/>
    <s v="Riverside Clinic"/>
    <n v="15"/>
    <n v="47"/>
    <x v="3"/>
  </r>
  <r>
    <s v="APT02454"/>
    <d v="2025-09-19T00:00:00"/>
    <x v="71"/>
    <x v="4"/>
    <s v="New"/>
    <s v="Routine"/>
    <x v="0"/>
    <s v="Orthopaedics A"/>
    <s v="Central Outpatients"/>
    <n v="30"/>
    <n v="66"/>
    <x v="4"/>
  </r>
  <r>
    <s v="APT02455"/>
    <d v="2026-01-28T00:00:00"/>
    <x v="36"/>
    <x v="0"/>
    <s v="New"/>
    <s v="Routine"/>
    <x v="0"/>
    <s v="Dermatology A"/>
    <s v="Central Outpatients"/>
    <n v="30"/>
    <n v="38"/>
    <x v="1"/>
  </r>
  <r>
    <s v="APT02456"/>
    <d v="2025-09-21T00:00:00"/>
    <x v="48"/>
    <x v="3"/>
    <s v="Follow-up"/>
    <s v="Routine"/>
    <x v="0"/>
    <s v="Neurology B"/>
    <s v="Royal South Hospital"/>
    <n v="15"/>
    <n v="32"/>
    <x v="1"/>
  </r>
  <r>
    <s v="APT02457"/>
    <d v="2026-01-31T00:00:00"/>
    <x v="241"/>
    <x v="0"/>
    <s v="New"/>
    <s v="Urgent"/>
    <x v="0"/>
    <s v="Dermatology B"/>
    <s v="Central Outpatients"/>
    <n v="45"/>
    <n v="62"/>
    <x v="4"/>
  </r>
  <r>
    <s v="APT02458"/>
    <d v="2026-03-07T00:00:00"/>
    <x v="401"/>
    <x v="4"/>
    <s v="New"/>
    <s v="Routine"/>
    <x v="0"/>
    <s v="Orthopaedics A"/>
    <s v="Riverside Clinic"/>
    <n v="30"/>
    <n v="52"/>
    <x v="3"/>
  </r>
  <r>
    <s v="APT02459"/>
    <d v="2025-09-20T00:00:00"/>
    <x v="159"/>
    <x v="3"/>
    <s v="Follow-up"/>
    <s v="Routine"/>
    <x v="0"/>
    <s v="Neurology B"/>
    <s v="Royal South Hospital"/>
    <n v="15"/>
    <n v="29"/>
    <x v="1"/>
  </r>
  <r>
    <s v="APT02460"/>
    <d v="2025-04-22T00:00:00"/>
    <x v="333"/>
    <x v="2"/>
    <s v="Follow-up"/>
    <s v="Routine"/>
    <x v="0"/>
    <s v="Gastro A"/>
    <s v="Royal South Hospital"/>
    <n v="15"/>
    <n v="35"/>
    <x v="1"/>
  </r>
  <r>
    <s v="APT02461"/>
    <d v="2025-08-02T00:00:00"/>
    <x v="329"/>
    <x v="1"/>
    <s v="Follow-up"/>
    <s v="Urgent"/>
    <x v="1"/>
    <s v="Cardiology A"/>
    <s v="Royal South Hospital"/>
    <n v="15"/>
    <n v="38"/>
    <x v="1"/>
  </r>
  <r>
    <s v="APT02462"/>
    <d v="2025-06-18T00:00:00"/>
    <x v="296"/>
    <x v="4"/>
    <s v="Follow-up"/>
    <s v="Routine"/>
    <x v="0"/>
    <s v="Orthopaedics A"/>
    <s v="Central Outpatients"/>
    <n v="30"/>
    <n v="41"/>
    <x v="1"/>
  </r>
  <r>
    <s v="APT02463"/>
    <d v="2025-09-20T00:00:00"/>
    <x v="149"/>
    <x v="2"/>
    <s v="Follow-up"/>
    <s v="Routine"/>
    <x v="1"/>
    <s v="Gastro A"/>
    <s v="Royal South Hospital"/>
    <n v="15"/>
    <n v="10"/>
    <x v="2"/>
  </r>
  <r>
    <s v="APT02464"/>
    <d v="2025-10-31T00:00:00"/>
    <x v="300"/>
    <x v="0"/>
    <s v="Follow-up"/>
    <s v="Routine"/>
    <x v="0"/>
    <s v="Dermatology B"/>
    <s v="Riverside Clinic"/>
    <n v="15"/>
    <n v="7"/>
    <x v="2"/>
  </r>
  <r>
    <s v="APT02465"/>
    <d v="2025-09-16T00:00:00"/>
    <x v="29"/>
    <x v="4"/>
    <s v="New"/>
    <s v="Routine"/>
    <x v="0"/>
    <s v="Orthopaedics A"/>
    <s v="Royal South Hospital"/>
    <n v="30"/>
    <n v="19"/>
    <x v="0"/>
  </r>
  <r>
    <s v="APT02466"/>
    <d v="2025-06-11T00:00:00"/>
    <x v="61"/>
    <x v="1"/>
    <s v="Follow-up"/>
    <s v="Routine"/>
    <x v="2"/>
    <s v="Cardiology A"/>
    <s v="Central Outpatients"/>
    <n v="15"/>
    <n v="17"/>
    <x v="0"/>
  </r>
  <r>
    <s v="APT02467"/>
    <d v="2025-07-19T00:00:00"/>
    <x v="254"/>
    <x v="0"/>
    <s v="New"/>
    <s v="Routine"/>
    <x v="2"/>
    <s v="Dermatology B"/>
    <s v="Royal South Hospital"/>
    <n v="30"/>
    <n v="23"/>
    <x v="0"/>
  </r>
  <r>
    <s v="APT02468"/>
    <d v="2025-12-04T00:00:00"/>
    <x v="310"/>
    <x v="2"/>
    <s v="Follow-up"/>
    <s v="Urgent"/>
    <x v="1"/>
    <s v="Gastro A"/>
    <s v="Central Outpatients"/>
    <n v="30"/>
    <n v="46"/>
    <x v="3"/>
  </r>
  <r>
    <s v="APT02469"/>
    <d v="2025-04-10T00:00:00"/>
    <x v="9"/>
    <x v="0"/>
    <s v="Follow-up"/>
    <s v="Urgent"/>
    <x v="2"/>
    <s v="Dermatology B"/>
    <s v="Riverside Clinic"/>
    <n v="15"/>
    <n v="31"/>
    <x v="1"/>
  </r>
  <r>
    <s v="APT02470"/>
    <d v="2025-06-17T00:00:00"/>
    <x v="200"/>
    <x v="2"/>
    <s v="New"/>
    <s v="Routine"/>
    <x v="0"/>
    <s v="Gastro B"/>
    <s v="Central Outpatients"/>
    <n v="30"/>
    <n v="38"/>
    <x v="1"/>
  </r>
  <r>
    <s v="APT02471"/>
    <d v="2026-02-19T00:00:00"/>
    <x v="293"/>
    <x v="0"/>
    <s v="Follow-up"/>
    <s v="Routine"/>
    <x v="0"/>
    <s v="Dermatology A"/>
    <s v="Riverside Clinic"/>
    <n v="15"/>
    <n v="12"/>
    <x v="2"/>
  </r>
  <r>
    <s v="APT02472"/>
    <d v="2025-05-07T00:00:00"/>
    <x v="222"/>
    <x v="1"/>
    <s v="Follow-up"/>
    <s v="Routine"/>
    <x v="0"/>
    <s v="Cardiology B"/>
    <s v="Riverside Clinic"/>
    <n v="15"/>
    <n v="26"/>
    <x v="0"/>
  </r>
  <r>
    <s v="APT02473"/>
    <d v="2025-08-29T00:00:00"/>
    <x v="268"/>
    <x v="1"/>
    <s v="Follow-up"/>
    <s v="Routine"/>
    <x v="1"/>
    <s v="Cardiology A"/>
    <s v="Central Outpatients"/>
    <n v="15"/>
    <n v="45"/>
    <x v="3"/>
  </r>
  <r>
    <s v="APT02474"/>
    <d v="2025-06-15T00:00:00"/>
    <x v="382"/>
    <x v="1"/>
    <s v="New"/>
    <s v="Routine"/>
    <x v="1"/>
    <s v="Cardiology B"/>
    <s v="Royal South Hospital"/>
    <n v="45"/>
    <n v="45"/>
    <x v="3"/>
  </r>
  <r>
    <s v="APT02475"/>
    <d v="2025-05-09T00:00:00"/>
    <x v="0"/>
    <x v="4"/>
    <s v="Follow-up"/>
    <s v="Urgent"/>
    <x v="2"/>
    <s v="Orthopaedics A"/>
    <s v="Central Outpatients"/>
    <n v="30"/>
    <n v="21"/>
    <x v="0"/>
  </r>
  <r>
    <s v="APT02476"/>
    <d v="2025-09-01T00:00:00"/>
    <x v="369"/>
    <x v="2"/>
    <s v="New"/>
    <s v="Routine"/>
    <x v="1"/>
    <s v="Gastro A"/>
    <s v="Royal South Hospital"/>
    <n v="45"/>
    <n v="37"/>
    <x v="1"/>
  </r>
  <r>
    <s v="APT02477"/>
    <d v="2025-10-07T00:00:00"/>
    <x v="95"/>
    <x v="2"/>
    <s v="Follow-up"/>
    <s v="Routine"/>
    <x v="0"/>
    <s v="Gastro A"/>
    <s v="Riverside Clinic"/>
    <n v="15"/>
    <n v="74"/>
    <x v="4"/>
  </r>
  <r>
    <s v="APT02478"/>
    <d v="2025-06-04T00:00:00"/>
    <x v="304"/>
    <x v="0"/>
    <s v="Follow-up"/>
    <s v="Urgent"/>
    <x v="0"/>
    <s v="Dermatology A"/>
    <s v="Central Outpatients"/>
    <n v="30"/>
    <n v="34"/>
    <x v="1"/>
  </r>
  <r>
    <s v="APT02479"/>
    <d v="2025-04-29T00:00:00"/>
    <x v="284"/>
    <x v="3"/>
    <s v="New"/>
    <s v="Urgent"/>
    <x v="0"/>
    <s v="Neurology B"/>
    <s v="Central Outpatients"/>
    <n v="30"/>
    <n v="22"/>
    <x v="0"/>
  </r>
  <r>
    <s v="APT02480"/>
    <d v="2025-05-20T00:00:00"/>
    <x v="326"/>
    <x v="1"/>
    <s v="New"/>
    <s v="Routine"/>
    <x v="0"/>
    <s v="Cardiology B"/>
    <s v="Royal South Hospital"/>
    <n v="30"/>
    <n v="31"/>
    <x v="1"/>
  </r>
  <r>
    <s v="APT02481"/>
    <d v="2025-11-24T00:00:00"/>
    <x v="334"/>
    <x v="0"/>
    <s v="Follow-up"/>
    <s v="Routine"/>
    <x v="0"/>
    <s v="Dermatology B"/>
    <s v="Royal South Hospital"/>
    <n v="15"/>
    <n v="36"/>
    <x v="1"/>
  </r>
  <r>
    <s v="APT02482"/>
    <d v="2026-02-08T00:00:00"/>
    <x v="163"/>
    <x v="3"/>
    <s v="Follow-up"/>
    <s v="Routine"/>
    <x v="0"/>
    <s v="Neurology A"/>
    <s v="Central Outpatients"/>
    <n v="15"/>
    <n v="32"/>
    <x v="1"/>
  </r>
  <r>
    <s v="APT02483"/>
    <d v="2025-06-05T00:00:00"/>
    <x v="17"/>
    <x v="2"/>
    <s v="New"/>
    <s v="Routine"/>
    <x v="2"/>
    <s v="Gastro B"/>
    <s v="Royal South Hospital"/>
    <n v="30"/>
    <n v="34"/>
    <x v="1"/>
  </r>
  <r>
    <s v="APT02484"/>
    <d v="2025-07-26T00:00:00"/>
    <x v="311"/>
    <x v="4"/>
    <s v="Follow-up"/>
    <s v="Routine"/>
    <x v="0"/>
    <s v="Orthopaedics A"/>
    <s v="Central Outpatients"/>
    <n v="15"/>
    <n v="9"/>
    <x v="2"/>
  </r>
  <r>
    <s v="APT02485"/>
    <d v="2025-08-04T00:00:00"/>
    <x v="198"/>
    <x v="4"/>
    <s v="Follow-up"/>
    <s v="Routine"/>
    <x v="0"/>
    <s v="Orthopaedics A"/>
    <s v="Royal South Hospital"/>
    <n v="30"/>
    <n v="17"/>
    <x v="0"/>
  </r>
  <r>
    <s v="APT02486"/>
    <d v="2025-08-10T00:00:00"/>
    <x v="37"/>
    <x v="4"/>
    <s v="New"/>
    <s v="Routine"/>
    <x v="2"/>
    <s v="Orthopaedics B"/>
    <s v="Royal South Hospital"/>
    <n v="30"/>
    <n v="32"/>
    <x v="1"/>
  </r>
  <r>
    <s v="APT02487"/>
    <d v="2025-06-28T00:00:00"/>
    <x v="382"/>
    <x v="1"/>
    <s v="Follow-up"/>
    <s v="Routine"/>
    <x v="0"/>
    <s v="Cardiology B"/>
    <s v="Riverside Clinic"/>
    <n v="15"/>
    <n v="32"/>
    <x v="1"/>
  </r>
  <r>
    <s v="APT02488"/>
    <d v="2025-04-21T00:00:00"/>
    <x v="182"/>
    <x v="1"/>
    <s v="Follow-up"/>
    <s v="Routine"/>
    <x v="0"/>
    <s v="Cardiology A"/>
    <s v="Royal South Hospital"/>
    <n v="15"/>
    <n v="24"/>
    <x v="0"/>
  </r>
  <r>
    <s v="APT02489"/>
    <d v="2025-10-09T00:00:00"/>
    <x v="32"/>
    <x v="1"/>
    <s v="New"/>
    <s v="Routine"/>
    <x v="0"/>
    <s v="Cardiology A"/>
    <s v="Royal South Hospital"/>
    <n v="30"/>
    <n v="31"/>
    <x v="1"/>
  </r>
  <r>
    <s v="APT02490"/>
    <d v="2025-08-09T00:00:00"/>
    <x v="21"/>
    <x v="4"/>
    <s v="Follow-up"/>
    <s v="Routine"/>
    <x v="0"/>
    <s v="Orthopaedics B"/>
    <s v="Royal South Hospital"/>
    <n v="15"/>
    <n v="36"/>
    <x v="1"/>
  </r>
  <r>
    <s v="APT02491"/>
    <d v="2025-08-03T00:00:00"/>
    <x v="4"/>
    <x v="4"/>
    <s v="New"/>
    <s v="Routine"/>
    <x v="0"/>
    <s v="Orthopaedics B"/>
    <s v="Central Outpatients"/>
    <n v="45"/>
    <n v="51"/>
    <x v="3"/>
  </r>
  <r>
    <s v="APT02492"/>
    <d v="2025-07-06T00:00:00"/>
    <x v="107"/>
    <x v="4"/>
    <s v="Follow-up"/>
    <s v="Routine"/>
    <x v="0"/>
    <s v="Orthopaedics A"/>
    <s v="Riverside Clinic"/>
    <n v="15"/>
    <n v="33"/>
    <x v="1"/>
  </r>
  <r>
    <s v="APT02493"/>
    <d v="2026-03-05T00:00:00"/>
    <x v="52"/>
    <x v="0"/>
    <s v="Follow-up"/>
    <s v="Urgent"/>
    <x v="0"/>
    <s v="Dermatology B"/>
    <s v="Central Outpatients"/>
    <n v="15"/>
    <n v="42"/>
    <x v="1"/>
  </r>
  <r>
    <s v="APT02494"/>
    <d v="2025-11-09T00:00:00"/>
    <x v="306"/>
    <x v="4"/>
    <s v="Follow-up"/>
    <s v="Routine"/>
    <x v="2"/>
    <s v="Orthopaedics A"/>
    <s v="Royal South Hospital"/>
    <n v="15"/>
    <n v="25"/>
    <x v="0"/>
  </r>
  <r>
    <s v="APT02495"/>
    <d v="2025-08-31T00:00:00"/>
    <x v="57"/>
    <x v="2"/>
    <s v="Follow-up"/>
    <s v="Routine"/>
    <x v="2"/>
    <s v="Gastro A"/>
    <s v="Royal South Hospital"/>
    <n v="30"/>
    <n v="45"/>
    <x v="3"/>
  </r>
  <r>
    <s v="APT02496"/>
    <d v="2025-06-14T00:00:00"/>
    <x v="200"/>
    <x v="4"/>
    <s v="New"/>
    <s v="Routine"/>
    <x v="0"/>
    <s v="Orthopaedics A"/>
    <s v="Royal South Hospital"/>
    <n v="30"/>
    <n v="41"/>
    <x v="1"/>
  </r>
  <r>
    <s v="APT02497"/>
    <d v="2026-01-17T00:00:00"/>
    <x v="377"/>
    <x v="2"/>
    <s v="Follow-up"/>
    <s v="Urgent"/>
    <x v="2"/>
    <s v="Gastro B"/>
    <s v="Royal South Hospital"/>
    <n v="15"/>
    <n v="50"/>
    <x v="3"/>
  </r>
  <r>
    <s v="APT02498"/>
    <d v="2026-02-18T00:00:00"/>
    <x v="253"/>
    <x v="1"/>
    <s v="Follow-up"/>
    <s v="Routine"/>
    <x v="0"/>
    <s v="Cardiology B"/>
    <s v="Royal South Hospital"/>
    <n v="15"/>
    <n v="47"/>
    <x v="3"/>
  </r>
  <r>
    <s v="APT02499"/>
    <d v="2025-04-12T00:00:00"/>
    <x v="333"/>
    <x v="1"/>
    <s v="Follow-up"/>
    <s v="Routine"/>
    <x v="0"/>
    <s v="Cardiology A"/>
    <s v="Royal South Hospital"/>
    <n v="15"/>
    <n v="45"/>
    <x v="3"/>
  </r>
  <r>
    <s v="APT02500"/>
    <d v="2026-03-05T00:00:00"/>
    <x v="109"/>
    <x v="4"/>
    <s v="Follow-up"/>
    <s v="Urgent"/>
    <x v="0"/>
    <s v="Orthopaedics B"/>
    <s v="Royal South Hospital"/>
    <n v="15"/>
    <n v="33"/>
    <x v="1"/>
  </r>
  <r>
    <s v="APT02501"/>
    <d v="2025-12-11T00:00:00"/>
    <x v="310"/>
    <x v="2"/>
    <s v="New"/>
    <s v="Routine"/>
    <x v="2"/>
    <s v="Gastro A"/>
    <s v="Riverside Clinic"/>
    <n v="30"/>
    <n v="39"/>
    <x v="1"/>
  </r>
  <r>
    <s v="APT02502"/>
    <d v="2025-05-07T00:00:00"/>
    <x v="160"/>
    <x v="0"/>
    <s v="New"/>
    <s v="Routine"/>
    <x v="2"/>
    <s v="Dermatology B"/>
    <s v="Royal South Hospital"/>
    <n v="45"/>
    <n v="54"/>
    <x v="3"/>
  </r>
  <r>
    <s v="APT02503"/>
    <d v="2025-12-31T00:00:00"/>
    <x v="277"/>
    <x v="0"/>
    <s v="Follow-up"/>
    <s v="Routine"/>
    <x v="1"/>
    <s v="Dermatology A"/>
    <s v="Riverside Clinic"/>
    <n v="15"/>
    <n v="23"/>
    <x v="0"/>
  </r>
  <r>
    <s v="APT02504"/>
    <d v="2025-05-10T00:00:00"/>
    <x v="222"/>
    <x v="0"/>
    <s v="New"/>
    <s v="Urgent"/>
    <x v="0"/>
    <s v="Dermatology A"/>
    <s v="Royal South Hospital"/>
    <n v="30"/>
    <n v="23"/>
    <x v="0"/>
  </r>
  <r>
    <s v="APT02505"/>
    <d v="2025-04-19T00:00:00"/>
    <x v="333"/>
    <x v="4"/>
    <s v="Follow-up"/>
    <s v="Routine"/>
    <x v="0"/>
    <s v="Orthopaedics A"/>
    <s v="Riverside Clinic"/>
    <n v="15"/>
    <n v="38"/>
    <x v="1"/>
  </r>
  <r>
    <s v="APT02506"/>
    <d v="2025-05-12T00:00:00"/>
    <x v="225"/>
    <x v="1"/>
    <s v="Follow-up"/>
    <s v="Routine"/>
    <x v="0"/>
    <s v="Cardiology B"/>
    <s v="Riverside Clinic"/>
    <n v="30"/>
    <n v="42"/>
    <x v="1"/>
  </r>
  <r>
    <s v="APT02507"/>
    <d v="2025-09-15T00:00:00"/>
    <x v="29"/>
    <x v="1"/>
    <s v="Follow-up"/>
    <s v="Urgent"/>
    <x v="0"/>
    <s v="Cardiology A"/>
    <s v="Central Outpatients"/>
    <n v="15"/>
    <n v="20"/>
    <x v="0"/>
  </r>
  <r>
    <s v="APT02508"/>
    <d v="2025-11-12T00:00:00"/>
    <x v="2"/>
    <x v="4"/>
    <s v="Follow-up"/>
    <s v="Routine"/>
    <x v="0"/>
    <s v="Orthopaedics B"/>
    <s v="Central Outpatients"/>
    <n v="15"/>
    <n v="33"/>
    <x v="1"/>
  </r>
  <r>
    <s v="APT02509"/>
    <d v="2025-08-27T00:00:00"/>
    <x v="54"/>
    <x v="2"/>
    <s v="Follow-up"/>
    <s v="Routine"/>
    <x v="0"/>
    <s v="Gastro A"/>
    <s v="Royal South Hospital"/>
    <n v="15"/>
    <n v="33"/>
    <x v="1"/>
  </r>
  <r>
    <s v="APT02510"/>
    <d v="2025-05-15T00:00:00"/>
    <x v="164"/>
    <x v="1"/>
    <s v="Follow-up"/>
    <s v="Routine"/>
    <x v="0"/>
    <s v="Cardiology B"/>
    <s v="Royal South Hospital"/>
    <n v="15"/>
    <n v="2"/>
    <x v="2"/>
  </r>
  <r>
    <s v="APT02511"/>
    <d v="2025-06-12T00:00:00"/>
    <x v="201"/>
    <x v="1"/>
    <s v="New"/>
    <s v="Routine"/>
    <x v="0"/>
    <s v="Cardiology B"/>
    <s v="Central Outpatients"/>
    <n v="30"/>
    <n v="31"/>
    <x v="1"/>
  </r>
  <r>
    <s v="APT02512"/>
    <d v="2026-02-05T00:00:00"/>
    <x v="359"/>
    <x v="0"/>
    <s v="Follow-up"/>
    <s v="Routine"/>
    <x v="0"/>
    <s v="Dermatology B"/>
    <s v="Central Outpatients"/>
    <n v="30"/>
    <n v="32"/>
    <x v="1"/>
  </r>
  <r>
    <s v="APT02513"/>
    <d v="2026-03-17T00:00:00"/>
    <x v="181"/>
    <x v="0"/>
    <s v="New"/>
    <s v="Routine"/>
    <x v="0"/>
    <s v="Dermatology A"/>
    <s v="Riverside Clinic"/>
    <n v="45"/>
    <n v="32"/>
    <x v="1"/>
  </r>
  <r>
    <s v="APT02514"/>
    <d v="2025-12-31T00:00:00"/>
    <x v="97"/>
    <x v="1"/>
    <s v="Follow-up"/>
    <s v="Urgent"/>
    <x v="0"/>
    <s v="Cardiology B"/>
    <s v="Royal South Hospital"/>
    <n v="15"/>
    <n v="60"/>
    <x v="4"/>
  </r>
  <r>
    <s v="APT02515"/>
    <d v="2025-05-08T00:00:00"/>
    <x v="284"/>
    <x v="1"/>
    <s v="Follow-up"/>
    <s v="Routine"/>
    <x v="0"/>
    <s v="Cardiology A"/>
    <s v="Riverside Clinic"/>
    <n v="15"/>
    <n v="13"/>
    <x v="2"/>
  </r>
  <r>
    <s v="APT02516"/>
    <d v="2026-01-24T00:00:00"/>
    <x v="1"/>
    <x v="3"/>
    <s v="Follow-up"/>
    <s v="Routine"/>
    <x v="0"/>
    <s v="Neurology B"/>
    <s v="Central Outpatients"/>
    <n v="15"/>
    <n v="20"/>
    <x v="0"/>
  </r>
  <r>
    <s v="APT02517"/>
    <d v="2025-12-08T00:00:00"/>
    <x v="257"/>
    <x v="4"/>
    <s v="Follow-up"/>
    <s v="Routine"/>
    <x v="0"/>
    <s v="Orthopaedics B"/>
    <s v="Royal South Hospital"/>
    <n v="30"/>
    <n v="2"/>
    <x v="2"/>
  </r>
  <r>
    <s v="APT02518"/>
    <d v="2025-10-09T00:00:00"/>
    <x v="381"/>
    <x v="4"/>
    <s v="Follow-up"/>
    <s v="Routine"/>
    <x v="0"/>
    <s v="Orthopaedics A"/>
    <s v="Royal South Hospital"/>
    <n v="15"/>
    <n v="26"/>
    <x v="0"/>
  </r>
  <r>
    <s v="APT02519"/>
    <d v="2025-05-23T00:00:00"/>
    <x v="263"/>
    <x v="0"/>
    <s v="New"/>
    <s v="Routine"/>
    <x v="2"/>
    <s v="Dermatology A"/>
    <s v="Central Outpatients"/>
    <n v="30"/>
    <n v="27"/>
    <x v="0"/>
  </r>
  <r>
    <s v="APT02520"/>
    <d v="2026-03-29T00:00:00"/>
    <x v="266"/>
    <x v="0"/>
    <s v="Follow-up"/>
    <s v="Routine"/>
    <x v="0"/>
    <s v="Dermatology B"/>
    <s v="Riverside Clinic"/>
    <n v="30"/>
    <n v="25"/>
    <x v="0"/>
  </r>
  <r>
    <s v="APT02521"/>
    <d v="2025-09-09T00:00:00"/>
    <x v="28"/>
    <x v="4"/>
    <s v="New"/>
    <s v="Routine"/>
    <x v="0"/>
    <s v="Orthopaedics A"/>
    <s v="Royal South Hospital"/>
    <n v="30"/>
    <n v="54"/>
    <x v="3"/>
  </r>
  <r>
    <s v="APT02522"/>
    <d v="2025-04-17T00:00:00"/>
    <x v="34"/>
    <x v="4"/>
    <s v="Follow-up"/>
    <s v="Routine"/>
    <x v="0"/>
    <s v="Orthopaedics A"/>
    <s v="Royal South Hospital"/>
    <n v="15"/>
    <n v="50"/>
    <x v="3"/>
  </r>
  <r>
    <s v="APT02523"/>
    <d v="2025-06-16T00:00:00"/>
    <x v="138"/>
    <x v="2"/>
    <s v="Follow-up"/>
    <s v="Routine"/>
    <x v="0"/>
    <s v="Gastro B"/>
    <s v="Riverside Clinic"/>
    <n v="15"/>
    <n v="36"/>
    <x v="1"/>
  </r>
  <r>
    <s v="APT02524"/>
    <d v="2025-08-25T00:00:00"/>
    <x v="117"/>
    <x v="0"/>
    <s v="Follow-up"/>
    <s v="Routine"/>
    <x v="0"/>
    <s v="Dermatology B"/>
    <s v="Riverside Clinic"/>
    <n v="15"/>
    <n v="28"/>
    <x v="0"/>
  </r>
  <r>
    <s v="APT02525"/>
    <d v="2025-04-23T00:00:00"/>
    <x v="322"/>
    <x v="0"/>
    <s v="Follow-up"/>
    <s v="Routine"/>
    <x v="0"/>
    <s v="Dermatology A"/>
    <s v="Central Outpatients"/>
    <n v="15"/>
    <n v="53"/>
    <x v="3"/>
  </r>
  <r>
    <s v="APT02526"/>
    <d v="2025-07-27T00:00:00"/>
    <x v="321"/>
    <x v="2"/>
    <s v="Follow-up"/>
    <s v="Routine"/>
    <x v="2"/>
    <s v="Gastro A"/>
    <s v="Royal South Hospital"/>
    <n v="15"/>
    <n v="34"/>
    <x v="1"/>
  </r>
  <r>
    <s v="APT02527"/>
    <d v="2025-09-18T00:00:00"/>
    <x v="369"/>
    <x v="2"/>
    <s v="Follow-up"/>
    <s v="Routine"/>
    <x v="0"/>
    <s v="Gastro B"/>
    <s v="Royal South Hospital"/>
    <n v="15"/>
    <n v="20"/>
    <x v="0"/>
  </r>
  <r>
    <s v="APT02528"/>
    <d v="2026-03-12T00:00:00"/>
    <x v="70"/>
    <x v="1"/>
    <s v="New"/>
    <s v="Routine"/>
    <x v="0"/>
    <s v="Cardiology A"/>
    <s v="Riverside Clinic"/>
    <n v="30"/>
    <n v="4"/>
    <x v="2"/>
  </r>
  <r>
    <s v="APT02529"/>
    <d v="2025-05-02T00:00:00"/>
    <x v="229"/>
    <x v="4"/>
    <s v="New"/>
    <s v="Routine"/>
    <x v="1"/>
    <s v="Orthopaedics A"/>
    <s v="Royal South Hospital"/>
    <n v="30"/>
    <n v="27"/>
    <x v="0"/>
  </r>
  <r>
    <s v="APT02530"/>
    <d v="2025-10-27T00:00:00"/>
    <x v="350"/>
    <x v="2"/>
    <s v="Follow-up"/>
    <s v="Routine"/>
    <x v="0"/>
    <s v="Gastro A"/>
    <s v="Royal South Hospital"/>
    <n v="30"/>
    <n v="48"/>
    <x v="3"/>
  </r>
  <r>
    <s v="APT02531"/>
    <d v="2026-02-28T00:00:00"/>
    <x v="55"/>
    <x v="2"/>
    <s v="Follow-up"/>
    <s v="Routine"/>
    <x v="0"/>
    <s v="Gastro A"/>
    <s v="Riverside Clinic"/>
    <n v="30"/>
    <n v="75"/>
    <x v="4"/>
  </r>
  <r>
    <s v="APT02532"/>
    <d v="2026-01-19T00:00:00"/>
    <x v="230"/>
    <x v="1"/>
    <s v="Follow-up"/>
    <s v="Urgent"/>
    <x v="0"/>
    <s v="Cardiology B"/>
    <s v="Royal South Hospital"/>
    <n v="30"/>
    <n v="36"/>
    <x v="1"/>
  </r>
  <r>
    <s v="APT02533"/>
    <d v="2026-03-03T00:00:00"/>
    <x v="214"/>
    <x v="4"/>
    <s v="New"/>
    <s v="Routine"/>
    <x v="0"/>
    <s v="Orthopaedics A"/>
    <s v="Central Outpatients"/>
    <n v="30"/>
    <n v="21"/>
    <x v="0"/>
  </r>
  <r>
    <s v="APT02534"/>
    <d v="2025-06-02T00:00:00"/>
    <x v="322"/>
    <x v="3"/>
    <s v="New"/>
    <s v="Routine"/>
    <x v="0"/>
    <s v="Neurology A"/>
    <s v="Royal South Hospital"/>
    <n v="30"/>
    <n v="13"/>
    <x v="2"/>
  </r>
  <r>
    <s v="APT02535"/>
    <d v="2026-01-17T00:00:00"/>
    <x v="5"/>
    <x v="1"/>
    <s v="Follow-up"/>
    <s v="Routine"/>
    <x v="2"/>
    <s v="Cardiology B"/>
    <s v="Riverside Clinic"/>
    <n v="15"/>
    <n v="44"/>
    <x v="3"/>
  </r>
  <r>
    <s v="APT02536"/>
    <d v="2026-03-23T00:00:00"/>
    <x v="23"/>
    <x v="2"/>
    <s v="New"/>
    <s v="Routine"/>
    <x v="0"/>
    <s v="Gastro B"/>
    <s v="Riverside Clinic"/>
    <n v="30"/>
    <n v="3"/>
    <x v="2"/>
  </r>
  <r>
    <s v="APT02537"/>
    <d v="2025-07-28T00:00:00"/>
    <x v="360"/>
    <x v="3"/>
    <s v="Follow-up"/>
    <s v="Routine"/>
    <x v="1"/>
    <s v="Neurology B"/>
    <s v="Riverside Clinic"/>
    <n v="15"/>
    <n v="44"/>
    <x v="3"/>
  </r>
  <r>
    <s v="APT02538"/>
    <d v="2025-09-29T00:00:00"/>
    <x v="101"/>
    <x v="4"/>
    <s v="New"/>
    <s v="Urgent"/>
    <x v="0"/>
    <s v="Orthopaedics B"/>
    <s v="Central Outpatients"/>
    <n v="30"/>
    <n v="49"/>
    <x v="3"/>
  </r>
  <r>
    <s v="APT02539"/>
    <d v="2025-10-11T00:00:00"/>
    <x v="318"/>
    <x v="1"/>
    <s v="New"/>
    <s v="Routine"/>
    <x v="0"/>
    <s v="Cardiology B"/>
    <s v="Royal South Hospital"/>
    <n v="30"/>
    <n v="42"/>
    <x v="1"/>
  </r>
  <r>
    <s v="APT02540"/>
    <d v="2025-09-27T00:00:00"/>
    <x v="88"/>
    <x v="4"/>
    <s v="Follow-up"/>
    <s v="Urgent"/>
    <x v="0"/>
    <s v="Orthopaedics A"/>
    <s v="Central Outpatients"/>
    <n v="15"/>
    <n v="31"/>
    <x v="1"/>
  </r>
  <r>
    <s v="APT02541"/>
    <d v="2025-07-15T00:00:00"/>
    <x v="112"/>
    <x v="2"/>
    <s v="Follow-up"/>
    <s v="Routine"/>
    <x v="0"/>
    <s v="Gastro A"/>
    <s v="Royal South Hospital"/>
    <n v="15"/>
    <n v="45"/>
    <x v="3"/>
  </r>
  <r>
    <s v="APT02542"/>
    <d v="2026-03-20T00:00:00"/>
    <x v="309"/>
    <x v="1"/>
    <s v="Follow-up"/>
    <s v="Routine"/>
    <x v="0"/>
    <s v="Cardiology B"/>
    <s v="Central Outpatients"/>
    <n v="30"/>
    <n v="38"/>
    <x v="1"/>
  </r>
  <r>
    <s v="APT02543"/>
    <d v="2026-03-15T00:00:00"/>
    <x v="153"/>
    <x v="1"/>
    <s v="Follow-up"/>
    <s v="Urgent"/>
    <x v="0"/>
    <s v="Cardiology A"/>
    <s v="Royal South Hospital"/>
    <n v="15"/>
    <n v="20"/>
    <x v="0"/>
  </r>
  <r>
    <s v="APT02544"/>
    <d v="2025-08-17T00:00:00"/>
    <x v="44"/>
    <x v="1"/>
    <s v="Follow-up"/>
    <s v="Urgent"/>
    <x v="0"/>
    <s v="Cardiology B"/>
    <s v="Riverside Clinic"/>
    <n v="15"/>
    <n v="68"/>
    <x v="4"/>
  </r>
  <r>
    <s v="APT02545"/>
    <d v="2026-01-19T00:00:00"/>
    <x v="173"/>
    <x v="0"/>
    <s v="Follow-up"/>
    <s v="Routine"/>
    <x v="0"/>
    <s v="Dermatology A"/>
    <s v="Royal South Hospital"/>
    <n v="15"/>
    <n v="28"/>
    <x v="0"/>
  </r>
  <r>
    <s v="APT02546"/>
    <d v="2025-08-23T00:00:00"/>
    <x v="370"/>
    <x v="2"/>
    <s v="Follow-up"/>
    <s v="Urgent"/>
    <x v="1"/>
    <s v="Gastro B"/>
    <s v="Royal South Hospital"/>
    <n v="15"/>
    <n v="48"/>
    <x v="3"/>
  </r>
  <r>
    <s v="APT02547"/>
    <d v="2026-01-15T00:00:00"/>
    <x v="150"/>
    <x v="3"/>
    <s v="Follow-up"/>
    <s v="Routine"/>
    <x v="0"/>
    <s v="Neurology A"/>
    <s v="Royal South Hospital"/>
    <n v="15"/>
    <n v="2"/>
    <x v="2"/>
  </r>
  <r>
    <s v="APT02548"/>
    <d v="2025-10-30T00:00:00"/>
    <x v="14"/>
    <x v="1"/>
    <s v="Follow-up"/>
    <s v="Routine"/>
    <x v="0"/>
    <s v="Cardiology A"/>
    <s v="Royal South Hospital"/>
    <n v="15"/>
    <n v="57"/>
    <x v="4"/>
  </r>
  <r>
    <s v="APT02549"/>
    <d v="2025-09-19T00:00:00"/>
    <x v="303"/>
    <x v="4"/>
    <s v="New"/>
    <s v="Routine"/>
    <x v="2"/>
    <s v="Orthopaedics A"/>
    <s v="Royal South Hospital"/>
    <n v="45"/>
    <n v="61"/>
    <x v="4"/>
  </r>
  <r>
    <s v="APT02550"/>
    <d v="2025-05-17T00:00:00"/>
    <x v="62"/>
    <x v="1"/>
    <s v="New"/>
    <s v="Routine"/>
    <x v="0"/>
    <s v="Cardiology B"/>
    <s v="Royal South Hospital"/>
    <n v="45"/>
    <n v="35"/>
    <x v="1"/>
  </r>
  <r>
    <s v="APT02551"/>
    <d v="2025-11-25T00:00:00"/>
    <x v="341"/>
    <x v="2"/>
    <s v="Follow-up"/>
    <s v="Routine"/>
    <x v="0"/>
    <s v="Gastro B"/>
    <s v="Riverside Clinic"/>
    <n v="15"/>
    <n v="45"/>
    <x v="3"/>
  </r>
  <r>
    <s v="APT02552"/>
    <d v="2025-07-26T00:00:00"/>
    <x v="329"/>
    <x v="4"/>
    <s v="Follow-up"/>
    <s v="Routine"/>
    <x v="1"/>
    <s v="Orthopaedics A"/>
    <s v="Royal South Hospital"/>
    <n v="15"/>
    <n v="45"/>
    <x v="3"/>
  </r>
  <r>
    <s v="APT02553"/>
    <d v="2025-06-18T00:00:00"/>
    <x v="209"/>
    <x v="4"/>
    <s v="New"/>
    <s v="Routine"/>
    <x v="0"/>
    <s v="Orthopaedics B"/>
    <s v="Royal South Hospital"/>
    <n v="45"/>
    <n v="23"/>
    <x v="0"/>
  </r>
  <r>
    <s v="APT02554"/>
    <d v="2025-06-10T00:00:00"/>
    <x v="365"/>
    <x v="3"/>
    <s v="New"/>
    <s v="Routine"/>
    <x v="0"/>
    <s v="Neurology B"/>
    <s v="Central Outpatients"/>
    <n v="30"/>
    <n v="44"/>
    <x v="3"/>
  </r>
  <r>
    <s v="APT02555"/>
    <d v="2026-03-24T00:00:00"/>
    <x v="221"/>
    <x v="3"/>
    <s v="Follow-up"/>
    <s v="Routine"/>
    <x v="0"/>
    <s v="Neurology A"/>
    <s v="Riverside Clinic"/>
    <n v="15"/>
    <n v="20"/>
    <x v="0"/>
  </r>
  <r>
    <s v="APT02556"/>
    <d v="2025-05-08T00:00:00"/>
    <x v="343"/>
    <x v="1"/>
    <s v="Follow-up"/>
    <s v="Urgent"/>
    <x v="0"/>
    <s v="Cardiology B"/>
    <s v="Royal South Hospital"/>
    <n v="30"/>
    <n v="24"/>
    <x v="0"/>
  </r>
  <r>
    <s v="APT02557"/>
    <d v="2026-01-16T00:00:00"/>
    <x v="163"/>
    <x v="1"/>
    <s v="Follow-up"/>
    <s v="Routine"/>
    <x v="0"/>
    <s v="Cardiology A"/>
    <s v="Royal South Hospital"/>
    <n v="30"/>
    <n v="55"/>
    <x v="3"/>
  </r>
  <r>
    <s v="APT02558"/>
    <d v="2026-02-10T00:00:00"/>
    <x v="241"/>
    <x v="2"/>
    <s v="New"/>
    <s v="Routine"/>
    <x v="0"/>
    <s v="Gastro A"/>
    <s v="Royal South Hospital"/>
    <n v="30"/>
    <n v="52"/>
    <x v="3"/>
  </r>
  <r>
    <s v="APT02559"/>
    <d v="2025-04-12T00:00:00"/>
    <x v="379"/>
    <x v="1"/>
    <s v="Follow-up"/>
    <s v="Routine"/>
    <x v="2"/>
    <s v="Cardiology A"/>
    <s v="Riverside Clinic"/>
    <n v="30"/>
    <n v="22"/>
    <x v="0"/>
  </r>
  <r>
    <s v="APT02560"/>
    <d v="2025-11-01T00:00:00"/>
    <x v="318"/>
    <x v="0"/>
    <s v="Follow-up"/>
    <s v="Routine"/>
    <x v="0"/>
    <s v="Dermatology A"/>
    <s v="Central Outpatients"/>
    <n v="30"/>
    <n v="21"/>
    <x v="0"/>
  </r>
  <r>
    <s v="APT02561"/>
    <d v="2025-10-28T00:00:00"/>
    <x v="347"/>
    <x v="0"/>
    <s v="Follow-up"/>
    <s v="Routine"/>
    <x v="0"/>
    <s v="Dermatology B"/>
    <s v="Riverside Clinic"/>
    <n v="30"/>
    <n v="23"/>
    <x v="0"/>
  </r>
  <r>
    <s v="APT02562"/>
    <d v="2025-08-09T00:00:00"/>
    <x v="137"/>
    <x v="4"/>
    <s v="New"/>
    <s v="Routine"/>
    <x v="0"/>
    <s v="Orthopaedics B"/>
    <s v="Central Outpatients"/>
    <n v="30"/>
    <n v="48"/>
    <x v="3"/>
  </r>
  <r>
    <s v="APT02563"/>
    <d v="2025-11-29T00:00:00"/>
    <x v="94"/>
    <x v="4"/>
    <s v="Follow-up"/>
    <s v="Routine"/>
    <x v="0"/>
    <s v="Orthopaedics A"/>
    <s v="Riverside Clinic"/>
    <n v="15"/>
    <n v="17"/>
    <x v="0"/>
  </r>
  <r>
    <s v="APT02564"/>
    <d v="2025-08-27T00:00:00"/>
    <x v="144"/>
    <x v="4"/>
    <s v="Follow-up"/>
    <s v="Routine"/>
    <x v="1"/>
    <s v="Orthopaedics A"/>
    <s v="Central Outpatients"/>
    <n v="15"/>
    <n v="41"/>
    <x v="1"/>
  </r>
  <r>
    <s v="APT02565"/>
    <d v="2025-09-08T00:00:00"/>
    <x v="184"/>
    <x v="3"/>
    <s v="Follow-up"/>
    <s v="Routine"/>
    <x v="0"/>
    <s v="Neurology B"/>
    <s v="Riverside Clinic"/>
    <n v="15"/>
    <n v="48"/>
    <x v="3"/>
  </r>
  <r>
    <s v="APT02566"/>
    <d v="2025-09-05T00:00:00"/>
    <x v="369"/>
    <x v="1"/>
    <s v="Follow-up"/>
    <s v="Routine"/>
    <x v="0"/>
    <s v="Cardiology A"/>
    <s v="Riverside Clinic"/>
    <n v="15"/>
    <n v="33"/>
    <x v="1"/>
  </r>
  <r>
    <s v="APT02567"/>
    <d v="2026-01-17T00:00:00"/>
    <x v="292"/>
    <x v="1"/>
    <s v="Follow-up"/>
    <s v="Routine"/>
    <x v="0"/>
    <s v="Cardiology A"/>
    <s v="Riverside Clinic"/>
    <n v="15"/>
    <n v="53"/>
    <x v="3"/>
  </r>
  <r>
    <s v="APT02568"/>
    <d v="2025-11-17T00:00:00"/>
    <x v="94"/>
    <x v="3"/>
    <s v="New"/>
    <s v="Routine"/>
    <x v="2"/>
    <s v="Neurology A"/>
    <s v="Riverside Clinic"/>
    <n v="45"/>
    <n v="29"/>
    <x v="1"/>
  </r>
  <r>
    <s v="APT02569"/>
    <d v="2025-08-16T00:00:00"/>
    <x v="232"/>
    <x v="3"/>
    <s v="Follow-up"/>
    <s v="Routine"/>
    <x v="0"/>
    <s v="Neurology A"/>
    <s v="Royal South Hospital"/>
    <n v="30"/>
    <n v="31"/>
    <x v="1"/>
  </r>
  <r>
    <s v="APT02570"/>
    <d v="2026-03-04T00:00:00"/>
    <x v="243"/>
    <x v="0"/>
    <s v="Follow-up"/>
    <s v="Routine"/>
    <x v="1"/>
    <s v="Dermatology B"/>
    <s v="Royal South Hospital"/>
    <n v="15"/>
    <n v="17"/>
    <x v="0"/>
  </r>
  <r>
    <s v="APT02571"/>
    <d v="2026-01-17T00:00:00"/>
    <x v="292"/>
    <x v="2"/>
    <s v="New"/>
    <s v="Urgent"/>
    <x v="0"/>
    <s v="Gastro B"/>
    <s v="Royal South Hospital"/>
    <n v="45"/>
    <n v="53"/>
    <x v="3"/>
  </r>
  <r>
    <s v="APT02572"/>
    <d v="2026-03-06T00:00:00"/>
    <x v="371"/>
    <x v="2"/>
    <s v="New"/>
    <s v="Routine"/>
    <x v="0"/>
    <s v="Gastro A"/>
    <s v="Royal South Hospital"/>
    <n v="30"/>
    <n v="21"/>
    <x v="0"/>
  </r>
  <r>
    <s v="APT02573"/>
    <d v="2025-12-22T00:00:00"/>
    <x v="53"/>
    <x v="0"/>
    <s v="Follow-up"/>
    <s v="Routine"/>
    <x v="0"/>
    <s v="Dermatology B"/>
    <s v="Central Outpatients"/>
    <n v="15"/>
    <n v="41"/>
    <x v="1"/>
  </r>
  <r>
    <s v="APT02574"/>
    <d v="2025-08-21T00:00:00"/>
    <x v="4"/>
    <x v="0"/>
    <s v="Follow-up"/>
    <s v="Routine"/>
    <x v="0"/>
    <s v="Dermatology A"/>
    <s v="Riverside Clinic"/>
    <n v="30"/>
    <n v="33"/>
    <x v="1"/>
  </r>
  <r>
    <s v="APT02575"/>
    <d v="2026-01-07T00:00:00"/>
    <x v="277"/>
    <x v="2"/>
    <s v="Follow-up"/>
    <s v="Routine"/>
    <x v="0"/>
    <s v="Gastro A"/>
    <s v="Royal South Hospital"/>
    <n v="15"/>
    <n v="16"/>
    <x v="0"/>
  </r>
  <r>
    <s v="APT02576"/>
    <d v="2025-07-29T00:00:00"/>
    <x v="298"/>
    <x v="3"/>
    <s v="New"/>
    <s v="Routine"/>
    <x v="0"/>
    <s v="Neurology B"/>
    <s v="Royal South Hospital"/>
    <n v="30"/>
    <n v="24"/>
    <x v="0"/>
  </r>
  <r>
    <s v="APT02577"/>
    <d v="2025-07-08T00:00:00"/>
    <x v="125"/>
    <x v="4"/>
    <s v="New"/>
    <s v="Routine"/>
    <x v="0"/>
    <s v="Orthopaedics B"/>
    <s v="Royal South Hospital"/>
    <n v="30"/>
    <n v="59"/>
    <x v="4"/>
  </r>
  <r>
    <s v="APT02578"/>
    <d v="2025-09-12T00:00:00"/>
    <x v="240"/>
    <x v="2"/>
    <s v="New"/>
    <s v="Routine"/>
    <x v="0"/>
    <s v="Gastro B"/>
    <s v="Central Outpatients"/>
    <n v="45"/>
    <n v="38"/>
    <x v="1"/>
  </r>
  <r>
    <s v="APT02579"/>
    <d v="2026-03-19T00:00:00"/>
    <x v="153"/>
    <x v="3"/>
    <s v="Follow-up"/>
    <s v="Urgent"/>
    <x v="1"/>
    <s v="Neurology B"/>
    <s v="Central Outpatients"/>
    <n v="30"/>
    <n v="16"/>
    <x v="0"/>
  </r>
  <r>
    <s v="APT02580"/>
    <d v="2025-10-24T00:00:00"/>
    <x v="252"/>
    <x v="4"/>
    <s v="Follow-up"/>
    <s v="Routine"/>
    <x v="2"/>
    <s v="Orthopaedics B"/>
    <s v="Royal South Hospital"/>
    <n v="15"/>
    <n v="40"/>
    <x v="1"/>
  </r>
  <r>
    <s v="APT02581"/>
    <d v="2025-08-18T00:00:00"/>
    <x v="121"/>
    <x v="1"/>
    <s v="Follow-up"/>
    <s v="Routine"/>
    <x v="0"/>
    <s v="Cardiology B"/>
    <s v="Royal South Hospital"/>
    <n v="15"/>
    <n v="32"/>
    <x v="1"/>
  </r>
  <r>
    <s v="APT02582"/>
    <d v="2025-09-16T00:00:00"/>
    <x v="396"/>
    <x v="3"/>
    <s v="Follow-up"/>
    <s v="Urgent"/>
    <x v="0"/>
    <s v="Neurology B"/>
    <s v="Central Outpatients"/>
    <n v="15"/>
    <n v="97"/>
    <x v="4"/>
  </r>
  <r>
    <s v="APT02583"/>
    <d v="2025-07-16T00:00:00"/>
    <x v="147"/>
    <x v="2"/>
    <s v="New"/>
    <s v="Routine"/>
    <x v="2"/>
    <s v="Gastro A"/>
    <s v="Riverside Clinic"/>
    <n v="45"/>
    <n v="40"/>
    <x v="1"/>
  </r>
  <r>
    <s v="APT02584"/>
    <d v="2025-11-26T00:00:00"/>
    <x v="231"/>
    <x v="2"/>
    <s v="Follow-up"/>
    <s v="Urgent"/>
    <x v="0"/>
    <s v="Gastro A"/>
    <s v="Central Outpatients"/>
    <n v="30"/>
    <n v="28"/>
    <x v="0"/>
  </r>
  <r>
    <s v="APT02585"/>
    <d v="2025-08-06T00:00:00"/>
    <x v="29"/>
    <x v="1"/>
    <s v="Follow-up"/>
    <s v="Routine"/>
    <x v="1"/>
    <s v="Cardiology B"/>
    <s v="Royal South Hospital"/>
    <n v="15"/>
    <n v="60"/>
    <x v="4"/>
  </r>
  <r>
    <s v="APT02586"/>
    <d v="2025-10-19T00:00:00"/>
    <x v="49"/>
    <x v="4"/>
    <s v="Follow-up"/>
    <s v="Routine"/>
    <x v="0"/>
    <s v="Orthopaedics A"/>
    <s v="Royal South Hospital"/>
    <n v="30"/>
    <n v="2"/>
    <x v="2"/>
  </r>
  <r>
    <s v="APT02587"/>
    <d v="2025-08-13T00:00:00"/>
    <x v="245"/>
    <x v="4"/>
    <s v="New"/>
    <s v="Routine"/>
    <x v="2"/>
    <s v="Orthopaedics B"/>
    <s v="Riverside Clinic"/>
    <n v="30"/>
    <n v="36"/>
    <x v="1"/>
  </r>
  <r>
    <s v="APT02588"/>
    <d v="2025-07-26T00:00:00"/>
    <x v="188"/>
    <x v="1"/>
    <s v="Follow-up"/>
    <s v="Routine"/>
    <x v="0"/>
    <s v="Cardiology A"/>
    <s v="Royal South Hospital"/>
    <n v="15"/>
    <n v="70"/>
    <x v="4"/>
  </r>
  <r>
    <s v="APT02589"/>
    <d v="2026-03-20T00:00:00"/>
    <x v="272"/>
    <x v="1"/>
    <s v="New"/>
    <s v="Routine"/>
    <x v="0"/>
    <s v="Cardiology A"/>
    <s v="Central Outpatients"/>
    <n v="30"/>
    <n v="32"/>
    <x v="1"/>
  </r>
  <r>
    <s v="APT02590"/>
    <d v="2025-08-04T00:00:00"/>
    <x v="77"/>
    <x v="1"/>
    <s v="New"/>
    <s v="Urgent"/>
    <x v="0"/>
    <s v="Cardiology A"/>
    <s v="Riverside Clinic"/>
    <n v="30"/>
    <n v="3"/>
    <x v="2"/>
  </r>
  <r>
    <s v="APT02591"/>
    <d v="2025-04-26T00:00:00"/>
    <x v="325"/>
    <x v="4"/>
    <s v="New"/>
    <s v="Routine"/>
    <x v="0"/>
    <s v="Orthopaedics A"/>
    <s v="Royal South Hospital"/>
    <n v="45"/>
    <n v="27"/>
    <x v="0"/>
  </r>
  <r>
    <s v="APT02592"/>
    <d v="2025-08-16T00:00:00"/>
    <x v="276"/>
    <x v="2"/>
    <s v="New"/>
    <s v="Urgent"/>
    <x v="0"/>
    <s v="Gastro A"/>
    <s v="Royal South Hospital"/>
    <n v="30"/>
    <n v="61"/>
    <x v="4"/>
  </r>
  <r>
    <s v="APT02593"/>
    <d v="2025-10-11T00:00:00"/>
    <x v="265"/>
    <x v="1"/>
    <s v="New"/>
    <s v="Routine"/>
    <x v="2"/>
    <s v="Cardiology A"/>
    <s v="Central Outpatients"/>
    <n v="30"/>
    <n v="41"/>
    <x v="1"/>
  </r>
  <r>
    <s v="APT02594"/>
    <d v="2025-05-05T00:00:00"/>
    <x v="42"/>
    <x v="4"/>
    <s v="Follow-up"/>
    <s v="Routine"/>
    <x v="0"/>
    <s v="Orthopaedics B"/>
    <s v="Central Outpatients"/>
    <n v="15"/>
    <n v="19"/>
    <x v="0"/>
  </r>
  <r>
    <s v="APT02595"/>
    <d v="2025-07-21T00:00:00"/>
    <x v="87"/>
    <x v="0"/>
    <s v="New"/>
    <s v="Urgent"/>
    <x v="0"/>
    <s v="Dermatology A"/>
    <s v="Royal South Hospital"/>
    <n v="30"/>
    <n v="22"/>
    <x v="0"/>
  </r>
  <r>
    <s v="APT02596"/>
    <d v="2025-05-31T00:00:00"/>
    <x v="136"/>
    <x v="2"/>
    <s v="Follow-up"/>
    <s v="Urgent"/>
    <x v="0"/>
    <s v="Gastro A"/>
    <s v="Central Outpatients"/>
    <n v="30"/>
    <n v="24"/>
    <x v="0"/>
  </r>
  <r>
    <s v="APT02597"/>
    <d v="2025-09-30T00:00:00"/>
    <x v="323"/>
    <x v="0"/>
    <s v="Follow-up"/>
    <s v="Routine"/>
    <x v="0"/>
    <s v="Dermatology B"/>
    <s v="Royal South Hospital"/>
    <n v="15"/>
    <n v="41"/>
    <x v="1"/>
  </r>
  <r>
    <s v="APT02598"/>
    <d v="2025-12-20T00:00:00"/>
    <x v="224"/>
    <x v="2"/>
    <s v="Follow-up"/>
    <s v="Routine"/>
    <x v="0"/>
    <s v="Gastro A"/>
    <s v="Central Outpatients"/>
    <n v="15"/>
    <n v="59"/>
    <x v="4"/>
  </r>
  <r>
    <s v="APT02599"/>
    <d v="2026-03-19T00:00:00"/>
    <x v="402"/>
    <x v="2"/>
    <s v="Follow-up"/>
    <s v="Routine"/>
    <x v="0"/>
    <s v="Gastro B"/>
    <s v="Riverside Clinic"/>
    <n v="15"/>
    <n v="53"/>
    <x v="3"/>
  </r>
  <r>
    <s v="APT02600"/>
    <d v="2025-08-20T00:00:00"/>
    <x v="363"/>
    <x v="0"/>
    <s v="Follow-up"/>
    <s v="Routine"/>
    <x v="1"/>
    <s v="Dermatology B"/>
    <s v="Royal South Hospital"/>
    <n v="30"/>
    <n v="43"/>
    <x v="3"/>
  </r>
  <r>
    <s v="APT02601"/>
    <d v="2026-02-09T00:00:00"/>
    <x v="81"/>
    <x v="2"/>
    <s v="New"/>
    <s v="Routine"/>
    <x v="1"/>
    <s v="Gastro B"/>
    <s v="Riverside Clinic"/>
    <n v="45"/>
    <n v="11"/>
    <x v="2"/>
  </r>
  <r>
    <s v="APT02602"/>
    <d v="2025-06-18T00:00:00"/>
    <x v="130"/>
    <x v="4"/>
    <s v="Follow-up"/>
    <s v="Routine"/>
    <x v="0"/>
    <s v="Orthopaedics A"/>
    <s v="Riverside Clinic"/>
    <n v="30"/>
    <n v="11"/>
    <x v="2"/>
  </r>
  <r>
    <s v="APT02603"/>
    <d v="2026-01-10T00:00:00"/>
    <x v="317"/>
    <x v="2"/>
    <s v="Follow-up"/>
    <s v="Routine"/>
    <x v="1"/>
    <s v="Gastro A"/>
    <s v="Riverside Clinic"/>
    <n v="15"/>
    <n v="44"/>
    <x v="3"/>
  </r>
  <r>
    <s v="APT02604"/>
    <d v="2025-10-22T00:00:00"/>
    <x v="89"/>
    <x v="4"/>
    <s v="Follow-up"/>
    <s v="Routine"/>
    <x v="0"/>
    <s v="Orthopaedics B"/>
    <s v="Royal South Hospital"/>
    <n v="15"/>
    <n v="10"/>
    <x v="2"/>
  </r>
  <r>
    <s v="APT02605"/>
    <d v="2026-01-01T00:00:00"/>
    <x v="165"/>
    <x v="2"/>
    <s v="Follow-up"/>
    <s v="Routine"/>
    <x v="0"/>
    <s v="Gastro A"/>
    <s v="Riverside Clinic"/>
    <n v="15"/>
    <n v="30"/>
    <x v="1"/>
  </r>
  <r>
    <s v="APT02606"/>
    <d v="2026-01-01T00:00:00"/>
    <x v="195"/>
    <x v="4"/>
    <s v="Follow-up"/>
    <s v="Routine"/>
    <x v="2"/>
    <s v="Orthopaedics A"/>
    <s v="Central Outpatients"/>
    <n v="15"/>
    <n v="40"/>
    <x v="1"/>
  </r>
  <r>
    <s v="APT02607"/>
    <d v="2025-10-11T00:00:00"/>
    <x v="102"/>
    <x v="0"/>
    <s v="Follow-up"/>
    <s v="Routine"/>
    <x v="2"/>
    <s v="Dermatology A"/>
    <s v="Royal South Hospital"/>
    <n v="15"/>
    <n v="14"/>
    <x v="2"/>
  </r>
  <r>
    <s v="APT02608"/>
    <d v="2025-07-03T00:00:00"/>
    <x v="328"/>
    <x v="4"/>
    <s v="Follow-up"/>
    <s v="Routine"/>
    <x v="0"/>
    <s v="Orthopaedics B"/>
    <s v="Royal South Hospital"/>
    <n v="15"/>
    <n v="16"/>
    <x v="0"/>
  </r>
  <r>
    <s v="APT02609"/>
    <d v="2025-10-09T00:00:00"/>
    <x v="59"/>
    <x v="0"/>
    <s v="Follow-up"/>
    <s v="Urgent"/>
    <x v="0"/>
    <s v="Dermatology A"/>
    <s v="Central Outpatients"/>
    <n v="15"/>
    <n v="33"/>
    <x v="1"/>
  </r>
  <r>
    <s v="APT02610"/>
    <d v="2026-01-26T00:00:00"/>
    <x v="292"/>
    <x v="1"/>
    <s v="Follow-up"/>
    <s v="Urgent"/>
    <x v="0"/>
    <s v="Cardiology A"/>
    <s v="Riverside Clinic"/>
    <n v="15"/>
    <n v="44"/>
    <x v="3"/>
  </r>
  <r>
    <s v="APT02611"/>
    <d v="2026-03-20T00:00:00"/>
    <x v="403"/>
    <x v="1"/>
    <s v="Follow-up"/>
    <s v="Routine"/>
    <x v="0"/>
    <s v="Cardiology A"/>
    <s v="Royal South Hospital"/>
    <n v="15"/>
    <n v="54"/>
    <x v="3"/>
  </r>
  <r>
    <s v="APT02612"/>
    <d v="2026-03-04T00:00:00"/>
    <x v="181"/>
    <x v="1"/>
    <s v="Follow-up"/>
    <s v="Routine"/>
    <x v="0"/>
    <s v="Cardiology A"/>
    <s v="Central Outpatients"/>
    <n v="30"/>
    <n v="45"/>
    <x v="3"/>
  </r>
  <r>
    <s v="APT02613"/>
    <d v="2025-06-06T00:00:00"/>
    <x v="286"/>
    <x v="4"/>
    <s v="Follow-up"/>
    <s v="Urgent"/>
    <x v="0"/>
    <s v="Orthopaedics A"/>
    <s v="Royal South Hospital"/>
    <n v="15"/>
    <n v="36"/>
    <x v="1"/>
  </r>
  <r>
    <s v="APT02614"/>
    <d v="2025-11-04T00:00:00"/>
    <x v="20"/>
    <x v="4"/>
    <s v="Follow-up"/>
    <s v="Urgent"/>
    <x v="2"/>
    <s v="Orthopaedics B"/>
    <s v="Central Outpatients"/>
    <n v="15"/>
    <n v="21"/>
    <x v="0"/>
  </r>
  <r>
    <s v="APT02615"/>
    <d v="2025-05-09T00:00:00"/>
    <x v="42"/>
    <x v="4"/>
    <s v="New"/>
    <s v="Urgent"/>
    <x v="0"/>
    <s v="Orthopaedics B"/>
    <s v="Royal South Hospital"/>
    <n v="30"/>
    <n v="15"/>
    <x v="0"/>
  </r>
  <r>
    <s v="APT02616"/>
    <d v="2025-11-30T00:00:00"/>
    <x v="199"/>
    <x v="1"/>
    <s v="New"/>
    <s v="Routine"/>
    <x v="0"/>
    <s v="Cardiology A"/>
    <s v="Royal South Hospital"/>
    <n v="30"/>
    <n v="25"/>
    <x v="0"/>
  </r>
  <r>
    <s v="APT02617"/>
    <d v="2026-03-28T00:00:00"/>
    <x v="142"/>
    <x v="4"/>
    <s v="Follow-up"/>
    <s v="Routine"/>
    <x v="1"/>
    <s v="Orthopaedics A"/>
    <s v="Central Outpatients"/>
    <n v="15"/>
    <n v="42"/>
    <x v="1"/>
  </r>
  <r>
    <s v="APT02618"/>
    <d v="2025-04-20T00:00:00"/>
    <x v="69"/>
    <x v="3"/>
    <s v="New"/>
    <s v="Routine"/>
    <x v="0"/>
    <s v="Neurology A"/>
    <s v="Riverside Clinic"/>
    <n v="45"/>
    <n v="41"/>
    <x v="1"/>
  </r>
  <r>
    <s v="APT02619"/>
    <d v="2025-11-25T00:00:00"/>
    <x v="67"/>
    <x v="0"/>
    <s v="Follow-up"/>
    <s v="Routine"/>
    <x v="0"/>
    <s v="Dermatology B"/>
    <s v="Royal South Hospital"/>
    <n v="15"/>
    <n v="2"/>
    <x v="2"/>
  </r>
  <r>
    <s v="APT02620"/>
    <d v="2026-03-11T00:00:00"/>
    <x v="33"/>
    <x v="2"/>
    <s v="Follow-up"/>
    <s v="Routine"/>
    <x v="0"/>
    <s v="Gastro A"/>
    <s v="Central Outpatients"/>
    <n v="15"/>
    <n v="20"/>
    <x v="0"/>
  </r>
  <r>
    <s v="APT02621"/>
    <d v="2026-02-03T00:00:00"/>
    <x v="33"/>
    <x v="3"/>
    <s v="Follow-up"/>
    <s v="Routine"/>
    <x v="1"/>
    <s v="Neurology B"/>
    <s v="Central Outpatients"/>
    <n v="30"/>
    <n v="56"/>
    <x v="3"/>
  </r>
  <r>
    <s v="APT02622"/>
    <d v="2025-08-21T00:00:00"/>
    <x v="137"/>
    <x v="1"/>
    <s v="Follow-up"/>
    <s v="Routine"/>
    <x v="2"/>
    <s v="Cardiology B"/>
    <s v="Central Outpatients"/>
    <n v="15"/>
    <n v="36"/>
    <x v="1"/>
  </r>
  <r>
    <s v="APT02623"/>
    <d v="2025-05-08T00:00:00"/>
    <x v="164"/>
    <x v="2"/>
    <s v="Follow-up"/>
    <s v="Routine"/>
    <x v="0"/>
    <s v="Gastro B"/>
    <s v="Royal South Hospital"/>
    <n v="15"/>
    <n v="9"/>
    <x v="2"/>
  </r>
  <r>
    <s v="APT02624"/>
    <d v="2026-03-03T00:00:00"/>
    <x v="404"/>
    <x v="3"/>
    <s v="New"/>
    <s v="Routine"/>
    <x v="0"/>
    <s v="Neurology A"/>
    <s v="Royal South Hospital"/>
    <n v="30"/>
    <n v="77"/>
    <x v="4"/>
  </r>
  <r>
    <s v="APT02625"/>
    <d v="2026-03-02T00:00:00"/>
    <x v="132"/>
    <x v="1"/>
    <s v="New"/>
    <s v="Routine"/>
    <x v="1"/>
    <s v="Cardiology B"/>
    <s v="Riverside Clinic"/>
    <n v="30"/>
    <n v="34"/>
    <x v="1"/>
  </r>
  <r>
    <s v="APT02626"/>
    <d v="2025-10-28T00:00:00"/>
    <x v="78"/>
    <x v="2"/>
    <s v="Follow-up"/>
    <s v="Routine"/>
    <x v="2"/>
    <s v="Gastro B"/>
    <s v="Central Outpatients"/>
    <n v="15"/>
    <n v="41"/>
    <x v="1"/>
  </r>
  <r>
    <s v="APT02627"/>
    <d v="2026-03-23T00:00:00"/>
    <x v="315"/>
    <x v="2"/>
    <s v="New"/>
    <s v="Routine"/>
    <x v="0"/>
    <s v="Gastro A"/>
    <s v="Royal South Hospital"/>
    <n v="30"/>
    <n v="42"/>
    <x v="1"/>
  </r>
  <r>
    <s v="APT02628"/>
    <d v="2025-04-02T00:00:00"/>
    <x v="247"/>
    <x v="3"/>
    <s v="Follow-up"/>
    <s v="Urgent"/>
    <x v="0"/>
    <s v="Neurology B"/>
    <s v="Royal South Hospital"/>
    <n v="15"/>
    <n v="28"/>
    <x v="0"/>
  </r>
  <r>
    <s v="APT02629"/>
    <d v="2025-11-11T00:00:00"/>
    <x v="106"/>
    <x v="4"/>
    <s v="Follow-up"/>
    <s v="Routine"/>
    <x v="1"/>
    <s v="Orthopaedics A"/>
    <s v="Royal South Hospital"/>
    <n v="30"/>
    <n v="21"/>
    <x v="0"/>
  </r>
  <r>
    <s v="APT02630"/>
    <d v="2025-04-15T00:00:00"/>
    <x v="80"/>
    <x v="4"/>
    <s v="Follow-up"/>
    <s v="Routine"/>
    <x v="0"/>
    <s v="Orthopaedics B"/>
    <s v="Royal South Hospital"/>
    <n v="15"/>
    <n v="73"/>
    <x v="4"/>
  </r>
  <r>
    <s v="APT02631"/>
    <d v="2026-03-07T00:00:00"/>
    <x v="367"/>
    <x v="3"/>
    <s v="Follow-up"/>
    <s v="Routine"/>
    <x v="0"/>
    <s v="Neurology B"/>
    <s v="Riverside Clinic"/>
    <n v="15"/>
    <n v="53"/>
    <x v="3"/>
  </r>
  <r>
    <s v="APT02632"/>
    <d v="2025-12-04T00:00:00"/>
    <x v="154"/>
    <x v="2"/>
    <s v="Follow-up"/>
    <s v="Routine"/>
    <x v="0"/>
    <s v="Gastro B"/>
    <s v="Royal South Hospital"/>
    <n v="30"/>
    <n v="49"/>
    <x v="3"/>
  </r>
  <r>
    <s v="APT02633"/>
    <d v="2026-02-27T00:00:00"/>
    <x v="221"/>
    <x v="3"/>
    <s v="Follow-up"/>
    <s v="Routine"/>
    <x v="0"/>
    <s v="Neurology B"/>
    <s v="Riverside Clinic"/>
    <n v="15"/>
    <n v="45"/>
    <x v="3"/>
  </r>
  <r>
    <s v="APT02634"/>
    <d v="2025-10-22T00:00:00"/>
    <x v="300"/>
    <x v="2"/>
    <s v="Follow-up"/>
    <s v="Routine"/>
    <x v="0"/>
    <s v="Gastro A"/>
    <s v="Riverside Clinic"/>
    <n v="30"/>
    <n v="16"/>
    <x v="0"/>
  </r>
  <r>
    <s v="APT02635"/>
    <d v="2025-05-01T00:00:00"/>
    <x v="80"/>
    <x v="1"/>
    <s v="Follow-up"/>
    <s v="Urgent"/>
    <x v="0"/>
    <s v="Cardiology B"/>
    <s v="Royal South Hospital"/>
    <n v="15"/>
    <n v="57"/>
    <x v="4"/>
  </r>
  <r>
    <s v="APT02636"/>
    <d v="2025-04-10T00:00:00"/>
    <x v="336"/>
    <x v="3"/>
    <s v="New"/>
    <s v="Routine"/>
    <x v="0"/>
    <s v="Neurology B"/>
    <s v="Central Outpatients"/>
    <n v="30"/>
    <n v="19"/>
    <x v="0"/>
  </r>
  <r>
    <s v="APT02637"/>
    <d v="2025-08-01T00:00:00"/>
    <x v="360"/>
    <x v="3"/>
    <s v="Follow-up"/>
    <s v="Urgent"/>
    <x v="0"/>
    <s v="Neurology A"/>
    <s v="Royal South Hospital"/>
    <n v="30"/>
    <n v="40"/>
    <x v="1"/>
  </r>
  <r>
    <s v="APT02638"/>
    <d v="2025-12-27T00:00:00"/>
    <x v="287"/>
    <x v="2"/>
    <s v="New"/>
    <s v="Routine"/>
    <x v="1"/>
    <s v="Gastro A"/>
    <s v="Royal South Hospital"/>
    <n v="30"/>
    <n v="5"/>
    <x v="2"/>
  </r>
  <r>
    <s v="APT02639"/>
    <d v="2025-05-25T00:00:00"/>
    <x v="333"/>
    <x v="4"/>
    <s v="Follow-up"/>
    <s v="Routine"/>
    <x v="0"/>
    <s v="Orthopaedics B"/>
    <s v="Royal South Hospital"/>
    <n v="15"/>
    <n v="2"/>
    <x v="2"/>
  </r>
  <r>
    <s v="APT02640"/>
    <d v="2026-02-05T00:00:00"/>
    <x v="27"/>
    <x v="3"/>
    <s v="Follow-up"/>
    <s v="Routine"/>
    <x v="0"/>
    <s v="Neurology A"/>
    <s v="Riverside Clinic"/>
    <n v="15"/>
    <n v="40"/>
    <x v="1"/>
  </r>
  <r>
    <s v="APT02641"/>
    <d v="2025-06-27T00:00:00"/>
    <x v="174"/>
    <x v="0"/>
    <s v="New"/>
    <s v="Routine"/>
    <x v="2"/>
    <s v="Dermatology A"/>
    <s v="Royal South Hospital"/>
    <n v="30"/>
    <n v="20"/>
    <x v="0"/>
  </r>
  <r>
    <s v="APT02642"/>
    <d v="2025-09-28T00:00:00"/>
    <x v="149"/>
    <x v="1"/>
    <s v="Follow-up"/>
    <s v="Urgent"/>
    <x v="0"/>
    <s v="Cardiology B"/>
    <s v="Central Outpatients"/>
    <n v="15"/>
    <n v="2"/>
    <x v="2"/>
  </r>
  <r>
    <s v="APT02643"/>
    <d v="2025-06-13T00:00:00"/>
    <x v="145"/>
    <x v="1"/>
    <s v="New"/>
    <s v="Routine"/>
    <x v="0"/>
    <s v="Cardiology A"/>
    <s v="Royal South Hospital"/>
    <n v="30"/>
    <n v="44"/>
    <x v="3"/>
  </r>
  <r>
    <s v="APT02644"/>
    <d v="2025-09-17T00:00:00"/>
    <x v="202"/>
    <x v="0"/>
    <s v="New"/>
    <s v="Routine"/>
    <x v="0"/>
    <s v="Dermatology B"/>
    <s v="Royal South Hospital"/>
    <n v="45"/>
    <n v="73"/>
    <x v="4"/>
  </r>
  <r>
    <s v="APT02645"/>
    <d v="2025-09-12T00:00:00"/>
    <x v="59"/>
    <x v="2"/>
    <s v="New"/>
    <s v="Routine"/>
    <x v="0"/>
    <s v="Gastro A"/>
    <s v="Central Outpatients"/>
    <n v="45"/>
    <n v="60"/>
    <x v="4"/>
  </r>
  <r>
    <s v="APT02646"/>
    <d v="2025-04-02T00:00:00"/>
    <x v="331"/>
    <x v="1"/>
    <s v="New"/>
    <s v="Urgent"/>
    <x v="2"/>
    <s v="Cardiology A"/>
    <s v="Central Outpatients"/>
    <n v="45"/>
    <n v="30"/>
    <x v="1"/>
  </r>
  <r>
    <s v="APT02647"/>
    <d v="2025-10-24T00:00:00"/>
    <x v="99"/>
    <x v="1"/>
    <s v="Follow-up"/>
    <s v="Routine"/>
    <x v="0"/>
    <s v="Cardiology B"/>
    <s v="Riverside Clinic"/>
    <n v="15"/>
    <n v="35"/>
    <x v="1"/>
  </r>
  <r>
    <s v="APT02648"/>
    <d v="2026-01-12T00:00:00"/>
    <x v="293"/>
    <x v="0"/>
    <s v="Follow-up"/>
    <s v="Routine"/>
    <x v="2"/>
    <s v="Dermatology B"/>
    <s v="Royal South Hospital"/>
    <n v="15"/>
    <n v="50"/>
    <x v="3"/>
  </r>
  <r>
    <s v="APT02649"/>
    <d v="2026-03-07T00:00:00"/>
    <x v="220"/>
    <x v="4"/>
    <s v="Follow-up"/>
    <s v="Routine"/>
    <x v="0"/>
    <s v="Orthopaedics B"/>
    <s v="Royal South Hospital"/>
    <n v="30"/>
    <n v="55"/>
    <x v="3"/>
  </r>
  <r>
    <s v="APT02650"/>
    <d v="2025-07-30T00:00:00"/>
    <x v="26"/>
    <x v="4"/>
    <s v="Follow-up"/>
    <s v="Routine"/>
    <x v="0"/>
    <s v="Orthopaedics B"/>
    <s v="Royal South Hospital"/>
    <n v="30"/>
    <n v="28"/>
    <x v="0"/>
  </r>
  <r>
    <s v="APT02651"/>
    <d v="2026-02-15T00:00:00"/>
    <x v="368"/>
    <x v="0"/>
    <s v="Follow-up"/>
    <s v="Routine"/>
    <x v="0"/>
    <s v="Dermatology B"/>
    <s v="Riverside Clinic"/>
    <n v="30"/>
    <n v="35"/>
    <x v="1"/>
  </r>
  <r>
    <s v="APT02652"/>
    <d v="2026-02-14T00:00:00"/>
    <x v="23"/>
    <x v="1"/>
    <s v="Follow-up"/>
    <s v="Routine"/>
    <x v="0"/>
    <s v="Cardiology A"/>
    <s v="Riverside Clinic"/>
    <n v="15"/>
    <n v="40"/>
    <x v="1"/>
  </r>
  <r>
    <s v="APT02653"/>
    <d v="2026-03-26T00:00:00"/>
    <x v="142"/>
    <x v="1"/>
    <s v="Follow-up"/>
    <s v="Urgent"/>
    <x v="2"/>
    <s v="Cardiology A"/>
    <s v="Royal South Hospital"/>
    <n v="15"/>
    <n v="44"/>
    <x v="3"/>
  </r>
  <r>
    <s v="APT02654"/>
    <d v="2025-08-14T00:00:00"/>
    <x v="93"/>
    <x v="1"/>
    <s v="New"/>
    <s v="Routine"/>
    <x v="0"/>
    <s v="Cardiology B"/>
    <s v="Riverside Clinic"/>
    <n v="45"/>
    <n v="32"/>
    <x v="1"/>
  </r>
  <r>
    <s v="APT02655"/>
    <d v="2026-02-04T00:00:00"/>
    <x v="377"/>
    <x v="0"/>
    <s v="Follow-up"/>
    <s v="Routine"/>
    <x v="2"/>
    <s v="Dermatology B"/>
    <s v="Riverside Clinic"/>
    <n v="30"/>
    <n v="32"/>
    <x v="1"/>
  </r>
  <r>
    <s v="APT02656"/>
    <d v="2025-10-23T00:00:00"/>
    <x v="135"/>
    <x v="1"/>
    <s v="Follow-up"/>
    <s v="Routine"/>
    <x v="0"/>
    <s v="Cardiology B"/>
    <s v="Royal South Hospital"/>
    <n v="30"/>
    <n v="59"/>
    <x v="4"/>
  </r>
  <r>
    <s v="APT02657"/>
    <d v="2025-04-22T00:00:00"/>
    <x v="143"/>
    <x v="0"/>
    <s v="New"/>
    <s v="Routine"/>
    <x v="0"/>
    <s v="Dermatology B"/>
    <s v="Royal South Hospital"/>
    <n v="45"/>
    <n v="56"/>
    <x v="3"/>
  </r>
  <r>
    <s v="APT02658"/>
    <d v="2025-07-08T00:00:00"/>
    <x v="271"/>
    <x v="4"/>
    <s v="Follow-up"/>
    <s v="Routine"/>
    <x v="2"/>
    <s v="Orthopaedics B"/>
    <s v="Central Outpatients"/>
    <n v="15"/>
    <n v="43"/>
    <x v="3"/>
  </r>
  <r>
    <s v="APT02659"/>
    <d v="2025-12-01T00:00:00"/>
    <x v="161"/>
    <x v="2"/>
    <s v="New"/>
    <s v="Urgent"/>
    <x v="0"/>
    <s v="Gastro B"/>
    <s v="Royal South Hospital"/>
    <n v="45"/>
    <n v="65"/>
    <x v="4"/>
  </r>
  <r>
    <s v="APT02660"/>
    <d v="2025-05-29T00:00:00"/>
    <x v="349"/>
    <x v="4"/>
    <s v="New"/>
    <s v="Routine"/>
    <x v="0"/>
    <s v="Orthopaedics B"/>
    <s v="Royal South Hospital"/>
    <n v="30"/>
    <n v="28"/>
    <x v="0"/>
  </r>
  <r>
    <s v="APT02661"/>
    <d v="2025-09-06T00:00:00"/>
    <x v="32"/>
    <x v="1"/>
    <s v="Follow-up"/>
    <s v="Routine"/>
    <x v="0"/>
    <s v="Cardiology B"/>
    <s v="Royal South Hospital"/>
    <n v="15"/>
    <n v="64"/>
    <x v="4"/>
  </r>
  <r>
    <s v="APT02662"/>
    <d v="2026-01-08T00:00:00"/>
    <x v="261"/>
    <x v="0"/>
    <s v="New"/>
    <s v="Urgent"/>
    <x v="0"/>
    <s v="Dermatology A"/>
    <s v="Riverside Clinic"/>
    <n v="45"/>
    <n v="44"/>
    <x v="3"/>
  </r>
  <r>
    <s v="APT02663"/>
    <d v="2025-05-25T00:00:00"/>
    <x v="255"/>
    <x v="4"/>
    <s v="Follow-up"/>
    <s v="Routine"/>
    <x v="1"/>
    <s v="Orthopaedics B"/>
    <s v="Riverside Clinic"/>
    <n v="15"/>
    <n v="93"/>
    <x v="4"/>
  </r>
  <r>
    <s v="APT02664"/>
    <d v="2025-09-28T00:00:00"/>
    <x v="251"/>
    <x v="0"/>
    <s v="Follow-up"/>
    <s v="Routine"/>
    <x v="0"/>
    <s v="Dermatology B"/>
    <s v="Riverside Clinic"/>
    <n v="30"/>
    <n v="13"/>
    <x v="2"/>
  </r>
  <r>
    <s v="APT02665"/>
    <d v="2025-06-18T00:00:00"/>
    <x v="47"/>
    <x v="3"/>
    <s v="New"/>
    <s v="Routine"/>
    <x v="0"/>
    <s v="Neurology B"/>
    <s v="Royal South Hospital"/>
    <n v="45"/>
    <n v="22"/>
    <x v="0"/>
  </r>
  <r>
    <s v="APT02666"/>
    <d v="2025-10-13T00:00:00"/>
    <x v="71"/>
    <x v="4"/>
    <s v="Follow-up"/>
    <s v="Routine"/>
    <x v="0"/>
    <s v="Orthopaedics A"/>
    <s v="Riverside Clinic"/>
    <n v="30"/>
    <n v="42"/>
    <x v="1"/>
  </r>
  <r>
    <s v="APT02667"/>
    <d v="2025-06-27T00:00:00"/>
    <x v="107"/>
    <x v="2"/>
    <s v="Follow-up"/>
    <s v="Routine"/>
    <x v="0"/>
    <s v="Gastro A"/>
    <s v="Royal South Hospital"/>
    <n v="15"/>
    <n v="42"/>
    <x v="1"/>
  </r>
  <r>
    <s v="APT02668"/>
    <d v="2026-03-18T00:00:00"/>
    <x v="405"/>
    <x v="0"/>
    <s v="Follow-up"/>
    <s v="Routine"/>
    <x v="2"/>
    <s v="Dermatology B"/>
    <s v="Central Outpatients"/>
    <n v="15"/>
    <n v="70"/>
    <x v="4"/>
  </r>
  <r>
    <s v="APT02669"/>
    <d v="2025-04-28T00:00:00"/>
    <x v="269"/>
    <x v="2"/>
    <s v="Follow-up"/>
    <s v="Routine"/>
    <x v="1"/>
    <s v="Gastro A"/>
    <s v="Central Outpatients"/>
    <n v="15"/>
    <n v="22"/>
    <x v="0"/>
  </r>
  <r>
    <s v="APT02670"/>
    <d v="2026-03-17T00:00:00"/>
    <x v="204"/>
    <x v="1"/>
    <s v="Follow-up"/>
    <s v="Routine"/>
    <x v="0"/>
    <s v="Cardiology B"/>
    <s v="Riverside Clinic"/>
    <n v="15"/>
    <n v="51"/>
    <x v="3"/>
  </r>
  <r>
    <s v="APT02671"/>
    <d v="2026-01-14T00:00:00"/>
    <x v="189"/>
    <x v="1"/>
    <s v="Follow-up"/>
    <s v="Urgent"/>
    <x v="0"/>
    <s v="Cardiology A"/>
    <s v="Royal South Hospital"/>
    <n v="15"/>
    <n v="55"/>
    <x v="3"/>
  </r>
  <r>
    <s v="APT02672"/>
    <d v="2026-02-06T00:00:00"/>
    <x v="291"/>
    <x v="1"/>
    <s v="New"/>
    <s v="Routine"/>
    <x v="0"/>
    <s v="Cardiology B"/>
    <s v="Central Outpatients"/>
    <n v="30"/>
    <n v="47"/>
    <x v="3"/>
  </r>
  <r>
    <s v="APT02673"/>
    <d v="2026-02-04T00:00:00"/>
    <x v="261"/>
    <x v="4"/>
    <s v="New"/>
    <s v="Urgent"/>
    <x v="1"/>
    <s v="Orthopaedics B"/>
    <s v="Royal South Hospital"/>
    <n v="30"/>
    <n v="17"/>
    <x v="0"/>
  </r>
  <r>
    <s v="APT02674"/>
    <d v="2025-06-08T00:00:00"/>
    <x v="77"/>
    <x v="3"/>
    <s v="New"/>
    <s v="Routine"/>
    <x v="0"/>
    <s v="Neurology A"/>
    <s v="Royal South Hospital"/>
    <n v="30"/>
    <n v="60"/>
    <x v="4"/>
  </r>
  <r>
    <s v="APT02675"/>
    <d v="2026-03-05T00:00:00"/>
    <x v="220"/>
    <x v="0"/>
    <s v="Follow-up"/>
    <s v="Urgent"/>
    <x v="0"/>
    <s v="Dermatology B"/>
    <s v="Central Outpatients"/>
    <n v="15"/>
    <n v="57"/>
    <x v="4"/>
  </r>
  <r>
    <s v="APT02676"/>
    <d v="2025-11-03T00:00:00"/>
    <x v="288"/>
    <x v="0"/>
    <s v="New"/>
    <s v="Urgent"/>
    <x v="0"/>
    <s v="Dermatology A"/>
    <s v="Royal South Hospital"/>
    <n v="30"/>
    <n v="45"/>
    <x v="3"/>
  </r>
  <r>
    <s v="APT02677"/>
    <d v="2026-03-17T00:00:00"/>
    <x v="394"/>
    <x v="3"/>
    <s v="Follow-up"/>
    <s v="Urgent"/>
    <x v="2"/>
    <s v="Neurology B"/>
    <s v="Royal South Hospital"/>
    <n v="15"/>
    <n v="38"/>
    <x v="1"/>
  </r>
  <r>
    <s v="APT02678"/>
    <d v="2026-02-14T00:00:00"/>
    <x v="291"/>
    <x v="4"/>
    <s v="Follow-up"/>
    <s v="Routine"/>
    <x v="0"/>
    <s v="Orthopaedics B"/>
    <s v="Riverside Clinic"/>
    <n v="15"/>
    <n v="39"/>
    <x v="1"/>
  </r>
  <r>
    <s v="APT02679"/>
    <d v="2025-10-28T00:00:00"/>
    <x v="179"/>
    <x v="0"/>
    <s v="Follow-up"/>
    <s v="Routine"/>
    <x v="0"/>
    <s v="Dermatology B"/>
    <s v="Riverside Clinic"/>
    <n v="15"/>
    <n v="33"/>
    <x v="1"/>
  </r>
  <r>
    <s v="APT02680"/>
    <d v="2025-08-15T00:00:00"/>
    <x v="149"/>
    <x v="0"/>
    <s v="Follow-up"/>
    <s v="Routine"/>
    <x v="2"/>
    <s v="Dermatology A"/>
    <s v="Riverside Clinic"/>
    <n v="15"/>
    <n v="46"/>
    <x v="3"/>
  </r>
  <r>
    <s v="APT02681"/>
    <d v="2025-05-13T00:00:00"/>
    <x v="143"/>
    <x v="4"/>
    <s v="Follow-up"/>
    <s v="Routine"/>
    <x v="2"/>
    <s v="Orthopaedics A"/>
    <s v="Royal South Hospital"/>
    <n v="15"/>
    <n v="35"/>
    <x v="1"/>
  </r>
  <r>
    <s v="APT02682"/>
    <d v="2025-05-07T00:00:00"/>
    <x v="335"/>
    <x v="4"/>
    <s v="Follow-up"/>
    <s v="Routine"/>
    <x v="0"/>
    <s v="Orthopaedics A"/>
    <s v="Riverside Clinic"/>
    <n v="30"/>
    <n v="19"/>
    <x v="0"/>
  </r>
  <r>
    <s v="APT02683"/>
    <d v="2025-08-20T00:00:00"/>
    <x v="125"/>
    <x v="4"/>
    <s v="New"/>
    <s v="Urgent"/>
    <x v="1"/>
    <s v="Orthopaedics B"/>
    <s v="Royal South Hospital"/>
    <n v="45"/>
    <n v="16"/>
    <x v="0"/>
  </r>
  <r>
    <s v="APT02684"/>
    <d v="2026-01-21T00:00:00"/>
    <x v="24"/>
    <x v="0"/>
    <s v="Follow-up"/>
    <s v="Routine"/>
    <x v="0"/>
    <s v="Dermatology A"/>
    <s v="Central Outpatients"/>
    <n v="15"/>
    <n v="21"/>
    <x v="0"/>
  </r>
  <r>
    <s v="APT02685"/>
    <d v="2025-10-01T00:00:00"/>
    <x v="16"/>
    <x v="1"/>
    <s v="New"/>
    <s v="Urgent"/>
    <x v="0"/>
    <s v="Cardiology A"/>
    <s v="Royal South Hospital"/>
    <n v="45"/>
    <n v="38"/>
    <x v="1"/>
  </r>
  <r>
    <s v="APT02686"/>
    <d v="2025-09-23T00:00:00"/>
    <x v="354"/>
    <x v="2"/>
    <s v="Follow-up"/>
    <s v="Routine"/>
    <x v="0"/>
    <s v="Gastro B"/>
    <s v="Royal South Hospital"/>
    <n v="15"/>
    <n v="34"/>
    <x v="1"/>
  </r>
  <r>
    <s v="APT02687"/>
    <d v="2025-06-28T00:00:00"/>
    <x v="212"/>
    <x v="0"/>
    <s v="Follow-up"/>
    <s v="Urgent"/>
    <x v="0"/>
    <s v="Dermatology A"/>
    <s v="Riverside Clinic"/>
    <n v="30"/>
    <n v="38"/>
    <x v="1"/>
  </r>
  <r>
    <s v="APT02688"/>
    <d v="2025-10-23T00:00:00"/>
    <x v="207"/>
    <x v="4"/>
    <s v="New"/>
    <s v="Urgent"/>
    <x v="0"/>
    <s v="Orthopaedics A"/>
    <s v="Royal South Hospital"/>
    <n v="30"/>
    <n v="44"/>
    <x v="3"/>
  </r>
  <r>
    <s v="APT02689"/>
    <d v="2025-11-19T00:00:00"/>
    <x v="168"/>
    <x v="1"/>
    <s v="New"/>
    <s v="Routine"/>
    <x v="0"/>
    <s v="Cardiology A"/>
    <s v="Riverside Clinic"/>
    <n v="45"/>
    <n v="23"/>
    <x v="0"/>
  </r>
  <r>
    <s v="APT02690"/>
    <d v="2026-03-24T00:00:00"/>
    <x v="406"/>
    <x v="3"/>
    <s v="Follow-up"/>
    <s v="Routine"/>
    <x v="0"/>
    <s v="Neurology B"/>
    <s v="Royal South Hospital"/>
    <n v="30"/>
    <n v="61"/>
    <x v="4"/>
  </r>
  <r>
    <s v="APT02691"/>
    <d v="2025-12-22T00:00:00"/>
    <x v="118"/>
    <x v="4"/>
    <s v="Follow-up"/>
    <s v="Routine"/>
    <x v="0"/>
    <s v="Orthopaedics B"/>
    <s v="Royal South Hospital"/>
    <n v="15"/>
    <n v="30"/>
    <x v="1"/>
  </r>
  <r>
    <s v="APT02692"/>
    <d v="2025-11-08T00:00:00"/>
    <x v="197"/>
    <x v="4"/>
    <s v="Follow-up"/>
    <s v="Routine"/>
    <x v="0"/>
    <s v="Orthopaedics B"/>
    <s v="Royal South Hospital"/>
    <n v="15"/>
    <n v="27"/>
    <x v="0"/>
  </r>
  <r>
    <s v="APT02693"/>
    <d v="2026-02-26T00:00:00"/>
    <x v="340"/>
    <x v="3"/>
    <s v="New"/>
    <s v="Routine"/>
    <x v="0"/>
    <s v="Neurology B"/>
    <s v="Royal South Hospital"/>
    <n v="30"/>
    <n v="43"/>
    <x v="3"/>
  </r>
  <r>
    <s v="APT02694"/>
    <d v="2025-09-02T00:00:00"/>
    <x v="388"/>
    <x v="4"/>
    <s v="New"/>
    <s v="Routine"/>
    <x v="0"/>
    <s v="Orthopaedics B"/>
    <s v="Royal South Hospital"/>
    <n v="30"/>
    <n v="2"/>
    <x v="2"/>
  </r>
  <r>
    <s v="APT02695"/>
    <d v="2026-03-07T00:00:00"/>
    <x v="371"/>
    <x v="1"/>
    <s v="Follow-up"/>
    <s v="Routine"/>
    <x v="0"/>
    <s v="Cardiology B"/>
    <s v="Royal South Hospital"/>
    <n v="15"/>
    <n v="20"/>
    <x v="0"/>
  </r>
  <r>
    <s v="APT02696"/>
    <d v="2025-08-13T00:00:00"/>
    <x v="188"/>
    <x v="0"/>
    <s v="Follow-up"/>
    <s v="Routine"/>
    <x v="0"/>
    <s v="Dermatology B"/>
    <s v="Royal South Hospital"/>
    <n v="15"/>
    <n v="52"/>
    <x v="3"/>
  </r>
  <r>
    <s v="APT02697"/>
    <d v="2025-05-17T00:00:00"/>
    <x v="269"/>
    <x v="1"/>
    <s v="New"/>
    <s v="Routine"/>
    <x v="0"/>
    <s v="Cardiology B"/>
    <s v="Central Outpatients"/>
    <n v="30"/>
    <n v="3"/>
    <x v="2"/>
  </r>
  <r>
    <s v="APT02698"/>
    <d v="2025-08-31T00:00:00"/>
    <x v="102"/>
    <x v="4"/>
    <s v="New"/>
    <s v="Routine"/>
    <x v="0"/>
    <s v="Orthopaedics A"/>
    <s v="Riverside Clinic"/>
    <n v="30"/>
    <n v="55"/>
    <x v="3"/>
  </r>
  <r>
    <s v="APT02699"/>
    <d v="2025-05-17T00:00:00"/>
    <x v="380"/>
    <x v="4"/>
    <s v="Follow-up"/>
    <s v="Routine"/>
    <x v="0"/>
    <s v="Orthopaedics B"/>
    <s v="Royal South Hospital"/>
    <n v="15"/>
    <n v="62"/>
    <x v="4"/>
  </r>
  <r>
    <s v="APT02700"/>
    <d v="2025-05-14T00:00:00"/>
    <x v="127"/>
    <x v="1"/>
    <s v="Follow-up"/>
    <s v="Urgent"/>
    <x v="0"/>
    <s v="Cardiology A"/>
    <s v="Royal South Hospital"/>
    <n v="15"/>
    <n v="28"/>
    <x v="0"/>
  </r>
  <r>
    <s v="APT02701"/>
    <d v="2026-02-15T00:00:00"/>
    <x v="371"/>
    <x v="1"/>
    <s v="Follow-up"/>
    <s v="Urgent"/>
    <x v="1"/>
    <s v="Cardiology A"/>
    <s v="Royal South Hospital"/>
    <n v="15"/>
    <n v="40"/>
    <x v="1"/>
  </r>
  <r>
    <s v="APT02702"/>
    <d v="2026-01-15T00:00:00"/>
    <x v="292"/>
    <x v="0"/>
    <s v="Follow-up"/>
    <s v="Urgent"/>
    <x v="0"/>
    <s v="Dermatology A"/>
    <s v="Royal South Hospital"/>
    <n v="15"/>
    <n v="55"/>
    <x v="3"/>
  </r>
  <r>
    <s v="APT02703"/>
    <d v="2025-06-20T00:00:00"/>
    <x v="178"/>
    <x v="0"/>
    <s v="Follow-up"/>
    <s v="Routine"/>
    <x v="0"/>
    <s v="Dermatology B"/>
    <s v="Royal South Hospital"/>
    <n v="15"/>
    <n v="26"/>
    <x v="0"/>
  </r>
  <r>
    <s v="APT02704"/>
    <d v="2026-01-30T00:00:00"/>
    <x v="243"/>
    <x v="4"/>
    <s v="Follow-up"/>
    <s v="Routine"/>
    <x v="0"/>
    <s v="Orthopaedics B"/>
    <s v="Royal South Hospital"/>
    <n v="30"/>
    <n v="50"/>
    <x v="3"/>
  </r>
  <r>
    <s v="APT02705"/>
    <d v="2025-04-26T00:00:00"/>
    <x v="305"/>
    <x v="1"/>
    <s v="New"/>
    <s v="Routine"/>
    <x v="1"/>
    <s v="Cardiology A"/>
    <s v="Central Outpatients"/>
    <n v="30"/>
    <n v="22"/>
    <x v="0"/>
  </r>
  <r>
    <s v="APT02706"/>
    <d v="2025-07-13T00:00:00"/>
    <x v="107"/>
    <x v="4"/>
    <s v="New"/>
    <s v="Routine"/>
    <x v="0"/>
    <s v="Orthopaedics B"/>
    <s v="Central Outpatients"/>
    <n v="30"/>
    <n v="26"/>
    <x v="0"/>
  </r>
  <r>
    <s v="APT02707"/>
    <d v="2025-12-14T00:00:00"/>
    <x v="46"/>
    <x v="2"/>
    <s v="Follow-up"/>
    <s v="Urgent"/>
    <x v="0"/>
    <s v="Gastro A"/>
    <s v="Royal South Hospital"/>
    <n v="15"/>
    <n v="20"/>
    <x v="0"/>
  </r>
  <r>
    <s v="APT02708"/>
    <d v="2025-07-20T00:00:00"/>
    <x v="321"/>
    <x v="0"/>
    <s v="Follow-up"/>
    <s v="Routine"/>
    <x v="0"/>
    <s v="Dermatology B"/>
    <s v="Royal South Hospital"/>
    <n v="15"/>
    <n v="41"/>
    <x v="1"/>
  </r>
  <r>
    <s v="APT02709"/>
    <d v="2025-12-22T00:00:00"/>
    <x v="236"/>
    <x v="1"/>
    <s v="Follow-up"/>
    <s v="Routine"/>
    <x v="0"/>
    <s v="Cardiology B"/>
    <s v="Royal South Hospital"/>
    <n v="15"/>
    <n v="55"/>
    <x v="3"/>
  </r>
  <r>
    <s v="APT02710"/>
    <d v="2026-02-13T00:00:00"/>
    <x v="70"/>
    <x v="4"/>
    <s v="New"/>
    <s v="Urgent"/>
    <x v="2"/>
    <s v="Orthopaedics B"/>
    <s v="Royal South Hospital"/>
    <n v="30"/>
    <n v="31"/>
    <x v="1"/>
  </r>
  <r>
    <s v="APT02711"/>
    <d v="2025-04-25T00:00:00"/>
    <x v="399"/>
    <x v="3"/>
    <s v="New"/>
    <s v="Urgent"/>
    <x v="0"/>
    <s v="Neurology A"/>
    <s v="Riverside Clinic"/>
    <n v="45"/>
    <n v="12"/>
    <x v="2"/>
  </r>
  <r>
    <s v="APT02712"/>
    <d v="2025-04-09T00:00:00"/>
    <x v="392"/>
    <x v="2"/>
    <s v="New"/>
    <s v="Routine"/>
    <x v="0"/>
    <s v="Gastro B"/>
    <s v="Royal South Hospital"/>
    <n v="30"/>
    <n v="15"/>
    <x v="0"/>
  </r>
  <r>
    <s v="APT02713"/>
    <d v="2026-03-09T00:00:00"/>
    <x v="348"/>
    <x v="0"/>
    <s v="Follow-up"/>
    <s v="Routine"/>
    <x v="0"/>
    <s v="Dermatology A"/>
    <s v="Royal South Hospital"/>
    <n v="30"/>
    <n v="42"/>
    <x v="1"/>
  </r>
  <r>
    <s v="APT02714"/>
    <d v="2025-10-07T00:00:00"/>
    <x v="350"/>
    <x v="4"/>
    <s v="Follow-up"/>
    <s v="Routine"/>
    <x v="0"/>
    <s v="Orthopaedics B"/>
    <s v="Royal South Hospital"/>
    <n v="15"/>
    <n v="68"/>
    <x v="4"/>
  </r>
  <r>
    <s v="APT02715"/>
    <d v="2025-10-02T00:00:00"/>
    <x v="10"/>
    <x v="4"/>
    <s v="Follow-up"/>
    <s v="Routine"/>
    <x v="0"/>
    <s v="Orthopaedics B"/>
    <s v="Riverside Clinic"/>
    <n v="15"/>
    <n v="42"/>
    <x v="1"/>
  </r>
  <r>
    <s v="APT02716"/>
    <d v="2025-09-16T00:00:00"/>
    <x v="108"/>
    <x v="4"/>
    <s v="Follow-up"/>
    <s v="Routine"/>
    <x v="0"/>
    <s v="Orthopaedics B"/>
    <s v="Royal South Hospital"/>
    <n v="15"/>
    <n v="28"/>
    <x v="0"/>
  </r>
  <r>
    <s v="APT02717"/>
    <d v="2025-09-05T00:00:00"/>
    <x v="48"/>
    <x v="3"/>
    <s v="New"/>
    <s v="Routine"/>
    <x v="0"/>
    <s v="Neurology B"/>
    <s v="Central Outpatients"/>
    <n v="45"/>
    <n v="48"/>
    <x v="3"/>
  </r>
  <r>
    <s v="APT02718"/>
    <d v="2025-12-08T00:00:00"/>
    <x v="100"/>
    <x v="4"/>
    <s v="Follow-up"/>
    <s v="Routine"/>
    <x v="1"/>
    <s v="Orthopaedics A"/>
    <s v="Royal South Hospital"/>
    <n v="15"/>
    <n v="30"/>
    <x v="1"/>
  </r>
  <r>
    <s v="APT02719"/>
    <d v="2025-10-29T00:00:00"/>
    <x v="25"/>
    <x v="0"/>
    <s v="New"/>
    <s v="Routine"/>
    <x v="0"/>
    <s v="Dermatology A"/>
    <s v="Royal South Hospital"/>
    <n v="30"/>
    <n v="28"/>
    <x v="0"/>
  </r>
  <r>
    <s v="APT02720"/>
    <d v="2025-05-30T00:00:00"/>
    <x v="226"/>
    <x v="3"/>
    <s v="New"/>
    <s v="Routine"/>
    <x v="0"/>
    <s v="Neurology A"/>
    <s v="Royal South Hospital"/>
    <n v="45"/>
    <n v="17"/>
    <x v="0"/>
  </r>
  <r>
    <s v="APT02721"/>
    <d v="2025-11-15T00:00:00"/>
    <x v="302"/>
    <x v="2"/>
    <s v="Follow-up"/>
    <s v="Routine"/>
    <x v="0"/>
    <s v="Gastro A"/>
    <s v="Riverside Clinic"/>
    <n v="15"/>
    <n v="60"/>
    <x v="4"/>
  </r>
  <r>
    <s v="APT02722"/>
    <d v="2025-11-30T00:00:00"/>
    <x v="106"/>
    <x v="2"/>
    <s v="Follow-up"/>
    <s v="Routine"/>
    <x v="2"/>
    <s v="Gastro B"/>
    <s v="Royal South Hospital"/>
    <n v="15"/>
    <n v="2"/>
    <x v="2"/>
  </r>
  <r>
    <s v="APT02723"/>
    <d v="2025-05-12T00:00:00"/>
    <x v="160"/>
    <x v="4"/>
    <s v="New"/>
    <s v="Routine"/>
    <x v="2"/>
    <s v="Orthopaedics A"/>
    <s v="Royal South Hospital"/>
    <n v="30"/>
    <n v="49"/>
    <x v="3"/>
  </r>
  <r>
    <s v="APT02724"/>
    <d v="2025-08-16T00:00:00"/>
    <x v="37"/>
    <x v="4"/>
    <s v="New"/>
    <s v="Routine"/>
    <x v="0"/>
    <s v="Orthopaedics B"/>
    <s v="Royal South Hospital"/>
    <n v="45"/>
    <n v="26"/>
    <x v="0"/>
  </r>
  <r>
    <s v="APT02725"/>
    <d v="2026-01-13T00:00:00"/>
    <x v="185"/>
    <x v="2"/>
    <s v="Follow-up"/>
    <s v="Routine"/>
    <x v="0"/>
    <s v="Gastro B"/>
    <s v="Royal South Hospital"/>
    <n v="30"/>
    <n v="27"/>
    <x v="0"/>
  </r>
  <r>
    <s v="APT02726"/>
    <d v="2025-11-12T00:00:00"/>
    <x v="7"/>
    <x v="2"/>
    <s v="New"/>
    <s v="Routine"/>
    <x v="0"/>
    <s v="Gastro B"/>
    <s v="Royal South Hospital"/>
    <n v="30"/>
    <n v="65"/>
    <x v="4"/>
  </r>
  <r>
    <s v="APT02727"/>
    <d v="2025-05-20T00:00:00"/>
    <x v="127"/>
    <x v="4"/>
    <s v="Follow-up"/>
    <s v="Routine"/>
    <x v="0"/>
    <s v="Orthopaedics A"/>
    <s v="Riverside Clinic"/>
    <n v="30"/>
    <n v="22"/>
    <x v="0"/>
  </r>
  <r>
    <s v="APT02728"/>
    <d v="2025-04-15T00:00:00"/>
    <x v="399"/>
    <x v="4"/>
    <s v="Follow-up"/>
    <s v="Urgent"/>
    <x v="1"/>
    <s v="Orthopaedics A"/>
    <s v="Riverside Clinic"/>
    <n v="15"/>
    <n v="22"/>
    <x v="0"/>
  </r>
  <r>
    <s v="APT02729"/>
    <d v="2025-10-29T00:00:00"/>
    <x v="179"/>
    <x v="4"/>
    <s v="New"/>
    <s v="Urgent"/>
    <x v="2"/>
    <s v="Orthopaedics B"/>
    <s v="Riverside Clinic"/>
    <n v="30"/>
    <n v="32"/>
    <x v="1"/>
  </r>
  <r>
    <s v="APT02730"/>
    <d v="2025-09-16T00:00:00"/>
    <x v="88"/>
    <x v="1"/>
    <s v="New"/>
    <s v="Urgent"/>
    <x v="0"/>
    <s v="Cardiology B"/>
    <s v="Central Outpatients"/>
    <n v="45"/>
    <n v="42"/>
    <x v="1"/>
  </r>
  <r>
    <s v="APT02731"/>
    <d v="2026-03-16T00:00:00"/>
    <x v="192"/>
    <x v="0"/>
    <s v="New"/>
    <s v="Urgent"/>
    <x v="1"/>
    <s v="Dermatology A"/>
    <s v="Royal South Hospital"/>
    <n v="45"/>
    <n v="27"/>
    <x v="0"/>
  </r>
  <r>
    <s v="APT02732"/>
    <d v="2025-10-08T00:00:00"/>
    <x v="108"/>
    <x v="4"/>
    <s v="Follow-up"/>
    <s v="Routine"/>
    <x v="0"/>
    <s v="Orthopaedics A"/>
    <s v="Central Outpatients"/>
    <n v="30"/>
    <n v="6"/>
    <x v="2"/>
  </r>
  <r>
    <s v="APT02733"/>
    <d v="2026-03-06T00:00:00"/>
    <x v="291"/>
    <x v="4"/>
    <s v="New"/>
    <s v="Urgent"/>
    <x v="0"/>
    <s v="Orthopaedics A"/>
    <s v="Royal South Hospital"/>
    <n v="30"/>
    <n v="19"/>
    <x v="0"/>
  </r>
  <r>
    <s v="APT02734"/>
    <d v="2025-06-18T00:00:00"/>
    <x v="167"/>
    <x v="3"/>
    <s v="Follow-up"/>
    <s v="Routine"/>
    <x v="1"/>
    <s v="Neurology A"/>
    <s v="Royal South Hospital"/>
    <n v="15"/>
    <n v="58"/>
    <x v="4"/>
  </r>
  <r>
    <s v="APT02735"/>
    <d v="2025-09-10T00:00:00"/>
    <x v="276"/>
    <x v="3"/>
    <s v="New"/>
    <s v="Routine"/>
    <x v="0"/>
    <s v="Neurology A"/>
    <s v="Riverside Clinic"/>
    <n v="30"/>
    <n v="36"/>
    <x v="1"/>
  </r>
  <r>
    <s v="APT02736"/>
    <d v="2025-05-21T00:00:00"/>
    <x v="190"/>
    <x v="2"/>
    <s v="Follow-up"/>
    <s v="Urgent"/>
    <x v="2"/>
    <s v="Gastro B"/>
    <s v="Royal South Hospital"/>
    <n v="15"/>
    <n v="43"/>
    <x v="3"/>
  </r>
  <r>
    <s v="APT02737"/>
    <d v="2025-10-27T00:00:00"/>
    <x v="25"/>
    <x v="2"/>
    <s v="New"/>
    <s v="Routine"/>
    <x v="0"/>
    <s v="Gastro A"/>
    <s v="Royal South Hospital"/>
    <n v="30"/>
    <n v="30"/>
    <x v="1"/>
  </r>
  <r>
    <s v="APT02738"/>
    <d v="2025-06-08T00:00:00"/>
    <x v="30"/>
    <x v="4"/>
    <s v="New"/>
    <s v="Routine"/>
    <x v="0"/>
    <s v="Orthopaedics B"/>
    <s v="Riverside Clinic"/>
    <n v="30"/>
    <n v="23"/>
    <x v="0"/>
  </r>
  <r>
    <s v="APT02739"/>
    <d v="2025-09-27T00:00:00"/>
    <x v="38"/>
    <x v="0"/>
    <s v="Follow-up"/>
    <s v="Routine"/>
    <x v="0"/>
    <s v="Dermatology A"/>
    <s v="Royal South Hospital"/>
    <n v="15"/>
    <n v="65"/>
    <x v="4"/>
  </r>
  <r>
    <s v="APT02740"/>
    <d v="2025-08-04T00:00:00"/>
    <x v="388"/>
    <x v="3"/>
    <s v="Follow-up"/>
    <s v="Routine"/>
    <x v="1"/>
    <s v="Neurology A"/>
    <s v="Royal South Hospital"/>
    <n v="15"/>
    <n v="31"/>
    <x v="1"/>
  </r>
  <r>
    <s v="APT02741"/>
    <d v="2025-06-07T00:00:00"/>
    <x v="39"/>
    <x v="3"/>
    <s v="New"/>
    <s v="Routine"/>
    <x v="0"/>
    <s v="Neurology A"/>
    <s v="Central Outpatients"/>
    <n v="30"/>
    <n v="27"/>
    <x v="0"/>
  </r>
  <r>
    <s v="APT02742"/>
    <d v="2025-05-06T00:00:00"/>
    <x v="130"/>
    <x v="4"/>
    <s v="New"/>
    <s v="Urgent"/>
    <x v="0"/>
    <s v="Orthopaedics A"/>
    <s v="Royal South Hospital"/>
    <n v="30"/>
    <n v="54"/>
    <x v="3"/>
  </r>
  <r>
    <s v="APT02743"/>
    <d v="2025-10-04T00:00:00"/>
    <x v="102"/>
    <x v="0"/>
    <s v="Follow-up"/>
    <s v="Routine"/>
    <x v="0"/>
    <s v="Dermatology B"/>
    <s v="Royal South Hospital"/>
    <n v="30"/>
    <n v="21"/>
    <x v="0"/>
  </r>
  <r>
    <s v="APT02744"/>
    <d v="2026-03-11T00:00:00"/>
    <x v="153"/>
    <x v="3"/>
    <s v="New"/>
    <s v="Routine"/>
    <x v="0"/>
    <s v="Neurology B"/>
    <s v="Royal South Hospital"/>
    <n v="30"/>
    <n v="24"/>
    <x v="0"/>
  </r>
  <r>
    <s v="APT02745"/>
    <d v="2025-06-12T00:00:00"/>
    <x v="174"/>
    <x v="1"/>
    <s v="New"/>
    <s v="Routine"/>
    <x v="0"/>
    <s v="Cardiology B"/>
    <s v="Central Outpatients"/>
    <n v="30"/>
    <n v="35"/>
    <x v="1"/>
  </r>
  <r>
    <s v="APT02746"/>
    <d v="2025-08-26T00:00:00"/>
    <x v="149"/>
    <x v="1"/>
    <s v="Follow-up"/>
    <s v="Routine"/>
    <x v="0"/>
    <s v="Cardiology A"/>
    <s v="Central Outpatients"/>
    <n v="15"/>
    <n v="35"/>
    <x v="1"/>
  </r>
  <r>
    <s v="APT02747"/>
    <d v="2025-06-21T00:00:00"/>
    <x v="382"/>
    <x v="2"/>
    <s v="New"/>
    <s v="Routine"/>
    <x v="0"/>
    <s v="Gastro B"/>
    <s v="Riverside Clinic"/>
    <n v="45"/>
    <n v="39"/>
    <x v="1"/>
  </r>
  <r>
    <s v="APT02748"/>
    <d v="2026-01-20T00:00:00"/>
    <x v="320"/>
    <x v="1"/>
    <s v="Follow-up"/>
    <s v="Routine"/>
    <x v="0"/>
    <s v="Cardiology A"/>
    <s v="Royal South Hospital"/>
    <n v="15"/>
    <n v="72"/>
    <x v="4"/>
  </r>
  <r>
    <s v="APT02749"/>
    <d v="2025-08-30T00:00:00"/>
    <x v="370"/>
    <x v="4"/>
    <s v="Follow-up"/>
    <s v="Routine"/>
    <x v="0"/>
    <s v="Orthopaedics B"/>
    <s v="Royal South Hospital"/>
    <n v="15"/>
    <n v="41"/>
    <x v="1"/>
  </r>
  <r>
    <s v="APT02750"/>
    <d v="2026-03-21T00:00:00"/>
    <x v="76"/>
    <x v="4"/>
    <s v="Follow-up"/>
    <s v="Routine"/>
    <x v="0"/>
    <s v="Orthopaedics B"/>
    <s v="Royal South Hospital"/>
    <n v="30"/>
    <n v="2"/>
    <x v="2"/>
  </r>
  <r>
    <s v="APT02751"/>
    <d v="2025-06-29T00:00:00"/>
    <x v="107"/>
    <x v="1"/>
    <s v="Follow-up"/>
    <s v="Routine"/>
    <x v="2"/>
    <s v="Cardiology A"/>
    <s v="Central Outpatients"/>
    <n v="30"/>
    <n v="40"/>
    <x v="1"/>
  </r>
  <r>
    <s v="APT02752"/>
    <d v="2025-04-30T00:00:00"/>
    <x v="31"/>
    <x v="4"/>
    <s v="Follow-up"/>
    <s v="Routine"/>
    <x v="1"/>
    <s v="Orthopaedics B"/>
    <s v="Riverside Clinic"/>
    <n v="15"/>
    <n v="35"/>
    <x v="1"/>
  </r>
  <r>
    <s v="APT02753"/>
    <d v="2025-10-30T00:00:00"/>
    <x v="306"/>
    <x v="2"/>
    <s v="Follow-up"/>
    <s v="Routine"/>
    <x v="0"/>
    <s v="Gastro A"/>
    <s v="Riverside Clinic"/>
    <n v="15"/>
    <n v="35"/>
    <x v="1"/>
  </r>
  <r>
    <s v="APT02754"/>
    <d v="2025-11-24T00:00:00"/>
    <x v="246"/>
    <x v="3"/>
    <s v="New"/>
    <s v="Routine"/>
    <x v="2"/>
    <s v="Neurology A"/>
    <s v="Royal South Hospital"/>
    <n v="30"/>
    <n v="39"/>
    <x v="1"/>
  </r>
  <r>
    <s v="APT02755"/>
    <d v="2026-03-27T00:00:00"/>
    <x v="301"/>
    <x v="4"/>
    <s v="New"/>
    <s v="Routine"/>
    <x v="1"/>
    <s v="Orthopaedics B"/>
    <s v="Central Outpatients"/>
    <n v="30"/>
    <n v="34"/>
    <x v="1"/>
  </r>
  <r>
    <s v="APT02756"/>
    <d v="2026-02-12T00:00:00"/>
    <x v="148"/>
    <x v="2"/>
    <s v="Follow-up"/>
    <s v="Routine"/>
    <x v="0"/>
    <s v="Gastro B"/>
    <s v="Royal South Hospital"/>
    <n v="30"/>
    <n v="34"/>
    <x v="1"/>
  </r>
  <r>
    <s v="APT02757"/>
    <d v="2026-02-16T00:00:00"/>
    <x v="241"/>
    <x v="1"/>
    <s v="New"/>
    <s v="Routine"/>
    <x v="0"/>
    <s v="Cardiology B"/>
    <s v="Royal South Hospital"/>
    <n v="30"/>
    <n v="46"/>
    <x v="3"/>
  </r>
  <r>
    <s v="APT02758"/>
    <d v="2025-11-17T00:00:00"/>
    <x v="168"/>
    <x v="1"/>
    <s v="New"/>
    <s v="Routine"/>
    <x v="0"/>
    <s v="Cardiology B"/>
    <s v="Royal South Hospital"/>
    <n v="45"/>
    <n v="25"/>
    <x v="0"/>
  </r>
  <r>
    <s v="APT02759"/>
    <d v="2025-08-09T00:00:00"/>
    <x v="255"/>
    <x v="2"/>
    <s v="New"/>
    <s v="Urgent"/>
    <x v="0"/>
    <s v="Gastro A"/>
    <s v="Riverside Clinic"/>
    <n v="30"/>
    <n v="17"/>
    <x v="0"/>
  </r>
  <r>
    <s v="APT02760"/>
    <d v="2025-09-04T00:00:00"/>
    <x v="106"/>
    <x v="4"/>
    <s v="Follow-up"/>
    <s v="Routine"/>
    <x v="0"/>
    <s v="Orthopaedics A"/>
    <s v="Central Outpatients"/>
    <n v="15"/>
    <n v="89"/>
    <x v="4"/>
  </r>
  <r>
    <s v="APT02761"/>
    <d v="2025-05-19T00:00:00"/>
    <x v="92"/>
    <x v="2"/>
    <s v="New"/>
    <s v="Urgent"/>
    <x v="0"/>
    <s v="Gastro B"/>
    <s v="Royal South Hospital"/>
    <n v="30"/>
    <n v="22"/>
    <x v="0"/>
  </r>
  <r>
    <s v="APT02762"/>
    <d v="2025-09-04T00:00:00"/>
    <x v="370"/>
    <x v="0"/>
    <s v="Follow-up"/>
    <s v="Routine"/>
    <x v="0"/>
    <s v="Dermatology A"/>
    <s v="Central Outpatients"/>
    <n v="15"/>
    <n v="36"/>
    <x v="1"/>
  </r>
  <r>
    <s v="APT02763"/>
    <d v="2025-08-11T00:00:00"/>
    <x v="196"/>
    <x v="1"/>
    <s v="Follow-up"/>
    <s v="Routine"/>
    <x v="0"/>
    <s v="Cardiology B"/>
    <s v="Royal South Hospital"/>
    <n v="30"/>
    <n v="8"/>
    <x v="2"/>
  </r>
  <r>
    <s v="APT02764"/>
    <d v="2025-04-14T00:00:00"/>
    <x v="284"/>
    <x v="4"/>
    <s v="Follow-up"/>
    <s v="Urgent"/>
    <x v="0"/>
    <s v="Orthopaedics A"/>
    <s v="Royal South Hospital"/>
    <n v="15"/>
    <n v="37"/>
    <x v="1"/>
  </r>
  <r>
    <s v="APT02765"/>
    <d v="2025-06-14T00:00:00"/>
    <x v="279"/>
    <x v="0"/>
    <s v="New"/>
    <s v="Routine"/>
    <x v="0"/>
    <s v="Dermatology A"/>
    <s v="Royal South Hospital"/>
    <n v="30"/>
    <n v="18"/>
    <x v="0"/>
  </r>
  <r>
    <s v="APT02766"/>
    <d v="2025-10-12T00:00:00"/>
    <x v="16"/>
    <x v="3"/>
    <s v="Follow-up"/>
    <s v="Urgent"/>
    <x v="0"/>
    <s v="Neurology A"/>
    <s v="Royal South Hospital"/>
    <n v="30"/>
    <n v="27"/>
    <x v="0"/>
  </r>
  <r>
    <s v="APT02767"/>
    <d v="2025-08-13T00:00:00"/>
    <x v="29"/>
    <x v="3"/>
    <s v="New"/>
    <s v="Routine"/>
    <x v="1"/>
    <s v="Neurology A"/>
    <s v="Central Outpatients"/>
    <n v="30"/>
    <n v="53"/>
    <x v="3"/>
  </r>
  <r>
    <s v="APT02768"/>
    <d v="2026-03-28T00:00:00"/>
    <x v="400"/>
    <x v="0"/>
    <s v="Follow-up"/>
    <s v="Routine"/>
    <x v="0"/>
    <s v="Dermatology B"/>
    <s v="Royal South Hospital"/>
    <n v="30"/>
    <n v="43"/>
    <x v="3"/>
  </r>
  <r>
    <s v="APT02769"/>
    <d v="2025-09-22T00:00:00"/>
    <x v="129"/>
    <x v="1"/>
    <s v="Follow-up"/>
    <s v="Urgent"/>
    <x v="0"/>
    <s v="Cardiology A"/>
    <s v="Royal South Hospital"/>
    <n v="15"/>
    <n v="45"/>
    <x v="3"/>
  </r>
  <r>
    <s v="APT02770"/>
    <d v="2026-03-15T00:00:00"/>
    <x v="148"/>
    <x v="0"/>
    <s v="New"/>
    <s v="Urgent"/>
    <x v="0"/>
    <s v="Dermatology A"/>
    <s v="Royal South Hospital"/>
    <n v="45"/>
    <n v="3"/>
    <x v="2"/>
  </r>
  <r>
    <s v="APT02771"/>
    <d v="2025-11-27T00:00:00"/>
    <x v="12"/>
    <x v="0"/>
    <s v="Follow-up"/>
    <s v="Routine"/>
    <x v="0"/>
    <s v="Dermatology B"/>
    <s v="Riverside Clinic"/>
    <n v="15"/>
    <n v="68"/>
    <x v="4"/>
  </r>
  <r>
    <s v="APT02772"/>
    <d v="2025-04-15T00:00:00"/>
    <x v="345"/>
    <x v="3"/>
    <s v="Follow-up"/>
    <s v="Routine"/>
    <x v="1"/>
    <s v="Neurology B"/>
    <s v="Central Outpatients"/>
    <n v="15"/>
    <n v="13"/>
    <x v="2"/>
  </r>
  <r>
    <s v="APT02773"/>
    <d v="2025-06-14T00:00:00"/>
    <x v="167"/>
    <x v="4"/>
    <s v="Follow-up"/>
    <s v="Routine"/>
    <x v="0"/>
    <s v="Orthopaedics A"/>
    <s v="Central Outpatients"/>
    <n v="15"/>
    <n v="62"/>
    <x v="4"/>
  </r>
  <r>
    <s v="APT02774"/>
    <d v="2025-12-13T00:00:00"/>
    <x v="161"/>
    <x v="0"/>
    <s v="Follow-up"/>
    <s v="Urgent"/>
    <x v="1"/>
    <s v="Dermatology A"/>
    <s v="Royal South Hospital"/>
    <n v="15"/>
    <n v="53"/>
    <x v="3"/>
  </r>
  <r>
    <s v="APT02775"/>
    <d v="2025-10-16T00:00:00"/>
    <x v="179"/>
    <x v="2"/>
    <s v="Follow-up"/>
    <s v="Urgent"/>
    <x v="2"/>
    <s v="Gastro B"/>
    <s v="Royal South Hospital"/>
    <n v="15"/>
    <n v="45"/>
    <x v="3"/>
  </r>
  <r>
    <s v="APT02776"/>
    <d v="2025-07-19T00:00:00"/>
    <x v="77"/>
    <x v="1"/>
    <s v="Follow-up"/>
    <s v="Urgent"/>
    <x v="0"/>
    <s v="Cardiology B"/>
    <s v="Royal South Hospital"/>
    <n v="15"/>
    <n v="19"/>
    <x v="0"/>
  </r>
  <r>
    <s v="APT02777"/>
    <d v="2025-10-08T00:00:00"/>
    <x v="64"/>
    <x v="1"/>
    <s v="Follow-up"/>
    <s v="Routine"/>
    <x v="0"/>
    <s v="Cardiology A"/>
    <s v="Central Outpatients"/>
    <n v="15"/>
    <n v="37"/>
    <x v="1"/>
  </r>
  <r>
    <s v="APT02778"/>
    <d v="2026-02-23T00:00:00"/>
    <x v="243"/>
    <x v="4"/>
    <s v="New"/>
    <s v="Routine"/>
    <x v="0"/>
    <s v="Orthopaedics B"/>
    <s v="Royal South Hospital"/>
    <n v="30"/>
    <n v="26"/>
    <x v="0"/>
  </r>
  <r>
    <s v="APT02779"/>
    <d v="2025-08-20T00:00:00"/>
    <x v="156"/>
    <x v="4"/>
    <s v="Follow-up"/>
    <s v="Routine"/>
    <x v="0"/>
    <s v="Orthopaedics B"/>
    <s v="Central Outpatients"/>
    <n v="30"/>
    <n v="35"/>
    <x v="1"/>
  </r>
  <r>
    <s v="APT02780"/>
    <d v="2025-04-17T00:00:00"/>
    <x v="164"/>
    <x v="4"/>
    <s v="Follow-up"/>
    <s v="Routine"/>
    <x v="0"/>
    <s v="Orthopaedics B"/>
    <s v="Central Outpatients"/>
    <n v="15"/>
    <n v="30"/>
    <x v="1"/>
  </r>
  <r>
    <s v="APT02781"/>
    <d v="2025-07-23T00:00:00"/>
    <x v="200"/>
    <x v="1"/>
    <s v="Follow-up"/>
    <s v="Routine"/>
    <x v="0"/>
    <s v="Cardiology B"/>
    <s v="Riverside Clinic"/>
    <n v="30"/>
    <n v="2"/>
    <x v="2"/>
  </r>
  <r>
    <s v="APT02782"/>
    <d v="2026-03-07T00:00:00"/>
    <x v="220"/>
    <x v="2"/>
    <s v="Follow-up"/>
    <s v="Routine"/>
    <x v="0"/>
    <s v="Gastro B"/>
    <s v="Riverside Clinic"/>
    <n v="15"/>
    <n v="55"/>
    <x v="3"/>
  </r>
  <r>
    <s v="APT02783"/>
    <d v="2026-01-03T00:00:00"/>
    <x v="51"/>
    <x v="2"/>
    <s v="New"/>
    <s v="Routine"/>
    <x v="0"/>
    <s v="Gastro B"/>
    <s v="Royal South Hospital"/>
    <n v="30"/>
    <n v="33"/>
    <x v="1"/>
  </r>
  <r>
    <s v="APT02784"/>
    <d v="2026-01-30T00:00:00"/>
    <x v="40"/>
    <x v="4"/>
    <s v="Follow-up"/>
    <s v="Routine"/>
    <x v="0"/>
    <s v="Orthopaedics B"/>
    <s v="Royal South Hospital"/>
    <n v="15"/>
    <n v="26"/>
    <x v="0"/>
  </r>
  <r>
    <s v="APT02785"/>
    <d v="2026-02-26T00:00:00"/>
    <x v="368"/>
    <x v="3"/>
    <s v="New"/>
    <s v="Routine"/>
    <x v="0"/>
    <s v="Neurology B"/>
    <s v="Royal South Hospital"/>
    <n v="30"/>
    <n v="24"/>
    <x v="0"/>
  </r>
  <r>
    <s v="APT02786"/>
    <d v="2025-05-13T00:00:00"/>
    <x v="225"/>
    <x v="4"/>
    <s v="New"/>
    <s v="Routine"/>
    <x v="0"/>
    <s v="Orthopaedics A"/>
    <s v="Royal South Hospital"/>
    <n v="45"/>
    <n v="41"/>
    <x v="1"/>
  </r>
  <r>
    <s v="APT02787"/>
    <d v="2025-07-12T00:00:00"/>
    <x v="382"/>
    <x v="1"/>
    <s v="Follow-up"/>
    <s v="Routine"/>
    <x v="0"/>
    <s v="Cardiology B"/>
    <s v="Riverside Clinic"/>
    <n v="15"/>
    <n v="18"/>
    <x v="0"/>
  </r>
  <r>
    <s v="APT02788"/>
    <d v="2025-04-22T00:00:00"/>
    <x v="392"/>
    <x v="2"/>
    <s v="New"/>
    <s v="Routine"/>
    <x v="0"/>
    <s v="Gastro B"/>
    <s v="Royal South Hospital"/>
    <n v="45"/>
    <n v="2"/>
    <x v="2"/>
  </r>
  <r>
    <s v="APT02789"/>
    <d v="2025-04-02T00:00:00"/>
    <x v="126"/>
    <x v="4"/>
    <s v="New"/>
    <s v="Urgent"/>
    <x v="0"/>
    <s v="Orthopaedics A"/>
    <s v="Central Outpatients"/>
    <n v="45"/>
    <n v="42"/>
    <x v="1"/>
  </r>
  <r>
    <s v="APT02790"/>
    <d v="2026-01-29T00:00:00"/>
    <x v="131"/>
    <x v="0"/>
    <s v="New"/>
    <s v="Routine"/>
    <x v="0"/>
    <s v="Dermatology B"/>
    <s v="Central Outpatients"/>
    <n v="30"/>
    <n v="44"/>
    <x v="3"/>
  </r>
  <r>
    <s v="APT02791"/>
    <d v="2026-03-08T00:00:00"/>
    <x v="295"/>
    <x v="3"/>
    <s v="Follow-up"/>
    <s v="Routine"/>
    <x v="0"/>
    <s v="Neurology B"/>
    <s v="Royal South Hospital"/>
    <n v="15"/>
    <n v="31"/>
    <x v="1"/>
  </r>
  <r>
    <s v="APT02792"/>
    <d v="2025-05-27T00:00:00"/>
    <x v="92"/>
    <x v="2"/>
    <s v="Follow-up"/>
    <s v="Routine"/>
    <x v="0"/>
    <s v="Gastro B"/>
    <s v="Royal South Hospital"/>
    <n v="15"/>
    <n v="14"/>
    <x v="2"/>
  </r>
  <r>
    <s v="APT02793"/>
    <d v="2025-12-19T00:00:00"/>
    <x v="15"/>
    <x v="4"/>
    <s v="Follow-up"/>
    <s v="Routine"/>
    <x v="0"/>
    <s v="Orthopaedics B"/>
    <s v="Royal South Hospital"/>
    <n v="15"/>
    <n v="36"/>
    <x v="1"/>
  </r>
  <r>
    <s v="APT02794"/>
    <d v="2025-10-12T00:00:00"/>
    <x v="240"/>
    <x v="1"/>
    <s v="New"/>
    <s v="Routine"/>
    <x v="0"/>
    <s v="Cardiology A"/>
    <s v="Royal South Hospital"/>
    <n v="30"/>
    <n v="8"/>
    <x v="2"/>
  </r>
  <r>
    <s v="APT02795"/>
    <d v="2025-04-26T00:00:00"/>
    <x v="407"/>
    <x v="4"/>
    <s v="Follow-up"/>
    <s v="Routine"/>
    <x v="0"/>
    <s v="Orthopaedics A"/>
    <s v="Riverside Clinic"/>
    <n v="30"/>
    <n v="16"/>
    <x v="0"/>
  </r>
  <r>
    <s v="APT02796"/>
    <d v="2026-02-28T00:00:00"/>
    <x v="243"/>
    <x v="2"/>
    <s v="New"/>
    <s v="Routine"/>
    <x v="0"/>
    <s v="Gastro A"/>
    <s v="Riverside Clinic"/>
    <n v="30"/>
    <n v="21"/>
    <x v="0"/>
  </r>
  <r>
    <s v="APT02797"/>
    <d v="2026-02-12T00:00:00"/>
    <x v="241"/>
    <x v="2"/>
    <s v="Follow-up"/>
    <s v="Routine"/>
    <x v="0"/>
    <s v="Gastro B"/>
    <s v="Riverside Clinic"/>
    <n v="15"/>
    <n v="50"/>
    <x v="3"/>
  </r>
  <r>
    <s v="APT02798"/>
    <d v="2025-10-24T00:00:00"/>
    <x v="265"/>
    <x v="2"/>
    <s v="Follow-up"/>
    <s v="Routine"/>
    <x v="0"/>
    <s v="Gastro A"/>
    <s v="Royal South Hospital"/>
    <n v="15"/>
    <n v="28"/>
    <x v="0"/>
  </r>
  <r>
    <s v="APT02799"/>
    <d v="2025-12-14T00:00:00"/>
    <x v="341"/>
    <x v="0"/>
    <s v="New"/>
    <s v="Routine"/>
    <x v="2"/>
    <s v="Dermatology A"/>
    <s v="Central Outpatients"/>
    <n v="45"/>
    <n v="26"/>
    <x v="0"/>
  </r>
  <r>
    <s v="APT02800"/>
    <d v="2025-08-23T00:00:00"/>
    <x v="89"/>
    <x v="4"/>
    <s v="Follow-up"/>
    <s v="Routine"/>
    <x v="0"/>
    <s v="Orthopaedics B"/>
    <s v="Riverside Clinic"/>
    <n v="15"/>
    <n v="70"/>
    <x v="4"/>
  </r>
  <r>
    <s v="APT02801"/>
    <d v="2026-01-14T00:00:00"/>
    <x v="230"/>
    <x v="4"/>
    <s v="New"/>
    <s v="Routine"/>
    <x v="0"/>
    <s v="Orthopaedics B"/>
    <s v="Central Outpatients"/>
    <n v="45"/>
    <n v="41"/>
    <x v="1"/>
  </r>
  <r>
    <s v="APT02802"/>
    <d v="2025-09-09T00:00:00"/>
    <x v="240"/>
    <x v="4"/>
    <s v="Follow-up"/>
    <s v="Routine"/>
    <x v="0"/>
    <s v="Orthopaedics A"/>
    <s v="Central Outpatients"/>
    <n v="30"/>
    <n v="41"/>
    <x v="1"/>
  </r>
  <r>
    <s v="APT02803"/>
    <d v="2026-03-27T00:00:00"/>
    <x v="394"/>
    <x v="4"/>
    <s v="New"/>
    <s v="Routine"/>
    <x v="0"/>
    <s v="Orthopaedics B"/>
    <s v="Riverside Clinic"/>
    <n v="30"/>
    <n v="28"/>
    <x v="0"/>
  </r>
  <r>
    <s v="APT02804"/>
    <d v="2025-04-23T00:00:00"/>
    <x v="164"/>
    <x v="3"/>
    <s v="Follow-up"/>
    <s v="Routine"/>
    <x v="2"/>
    <s v="Neurology A"/>
    <s v="Royal South Hospital"/>
    <n v="30"/>
    <n v="24"/>
    <x v="0"/>
  </r>
  <r>
    <s v="APT02805"/>
    <d v="2025-06-02T00:00:00"/>
    <x v="31"/>
    <x v="2"/>
    <s v="Follow-up"/>
    <s v="Routine"/>
    <x v="2"/>
    <s v="Gastro B"/>
    <s v="Central Outpatients"/>
    <n v="15"/>
    <n v="2"/>
    <x v="2"/>
  </r>
  <r>
    <s v="APT02806"/>
    <d v="2026-03-19T00:00:00"/>
    <x v="400"/>
    <x v="4"/>
    <s v="Follow-up"/>
    <s v="Routine"/>
    <x v="0"/>
    <s v="Orthopaedics B"/>
    <s v="Royal South Hospital"/>
    <n v="15"/>
    <n v="52"/>
    <x v="3"/>
  </r>
  <r>
    <s v="APT02807"/>
    <d v="2025-07-15T00:00:00"/>
    <x v="26"/>
    <x v="1"/>
    <s v="Follow-up"/>
    <s v="Routine"/>
    <x v="2"/>
    <s v="Cardiology A"/>
    <s v="Royal South Hospital"/>
    <n v="15"/>
    <n v="43"/>
    <x v="3"/>
  </r>
  <r>
    <s v="APT02808"/>
    <d v="2025-07-23T00:00:00"/>
    <x v="372"/>
    <x v="4"/>
    <s v="New"/>
    <s v="Routine"/>
    <x v="0"/>
    <s v="Orthopaedics A"/>
    <s v="Royal South Hospital"/>
    <n v="30"/>
    <n v="31"/>
    <x v="1"/>
  </r>
  <r>
    <s v="APT02809"/>
    <d v="2026-01-14T00:00:00"/>
    <x v="236"/>
    <x v="2"/>
    <s v="Follow-up"/>
    <s v="Routine"/>
    <x v="0"/>
    <s v="Gastro A"/>
    <s v="Royal South Hospital"/>
    <n v="15"/>
    <n v="32"/>
    <x v="1"/>
  </r>
  <r>
    <s v="APT02810"/>
    <d v="2025-06-08T00:00:00"/>
    <x v="133"/>
    <x v="3"/>
    <s v="Follow-up"/>
    <s v="Routine"/>
    <x v="0"/>
    <s v="Neurology B"/>
    <s v="Royal South Hospital"/>
    <n v="30"/>
    <n v="48"/>
    <x v="3"/>
  </r>
  <r>
    <s v="APT02811"/>
    <d v="2025-10-04T00:00:00"/>
    <x v="251"/>
    <x v="0"/>
    <s v="New"/>
    <s v="Routine"/>
    <x v="0"/>
    <s v="Dermatology A"/>
    <s v="Royal South Hospital"/>
    <n v="30"/>
    <n v="7"/>
    <x v="2"/>
  </r>
  <r>
    <s v="APT02812"/>
    <d v="2025-07-14T00:00:00"/>
    <x v="77"/>
    <x v="0"/>
    <s v="New"/>
    <s v="Routine"/>
    <x v="0"/>
    <s v="Dermatology A"/>
    <s v="Central Outpatients"/>
    <n v="45"/>
    <n v="24"/>
    <x v="0"/>
  </r>
  <r>
    <s v="APT02813"/>
    <d v="2025-06-12T00:00:00"/>
    <x v="349"/>
    <x v="1"/>
    <s v="New"/>
    <s v="Routine"/>
    <x v="0"/>
    <s v="Cardiology A"/>
    <s v="Riverside Clinic"/>
    <n v="30"/>
    <n v="14"/>
    <x v="2"/>
  </r>
  <r>
    <s v="APT02814"/>
    <d v="2026-03-18T00:00:00"/>
    <x v="408"/>
    <x v="2"/>
    <s v="New"/>
    <s v="Routine"/>
    <x v="0"/>
    <s v="Gastro B"/>
    <s v="Central Outpatients"/>
    <n v="45"/>
    <n v="66"/>
    <x v="4"/>
  </r>
  <r>
    <s v="APT02815"/>
    <d v="2025-06-12T00:00:00"/>
    <x v="208"/>
    <x v="2"/>
    <s v="Follow-up"/>
    <s v="Urgent"/>
    <x v="2"/>
    <s v="Gastro A"/>
    <s v="Central Outpatients"/>
    <n v="15"/>
    <n v="50"/>
    <x v="3"/>
  </r>
  <r>
    <s v="APT02816"/>
    <d v="2025-05-05T00:00:00"/>
    <x v="399"/>
    <x v="0"/>
    <s v="Follow-up"/>
    <s v="Routine"/>
    <x v="0"/>
    <s v="Dermatology A"/>
    <s v="Royal South Hospital"/>
    <n v="30"/>
    <n v="2"/>
    <x v="2"/>
  </r>
  <r>
    <s v="APT02817"/>
    <d v="2025-12-02T00:00:00"/>
    <x v="140"/>
    <x v="0"/>
    <s v="Follow-up"/>
    <s v="Routine"/>
    <x v="0"/>
    <s v="Dermatology A"/>
    <s v="Central Outpatients"/>
    <n v="15"/>
    <n v="7"/>
    <x v="2"/>
  </r>
  <r>
    <s v="APT02818"/>
    <d v="2026-02-10T00:00:00"/>
    <x v="131"/>
    <x v="2"/>
    <s v="Follow-up"/>
    <s v="Routine"/>
    <x v="2"/>
    <s v="Gastro B"/>
    <s v="Riverside Clinic"/>
    <n v="15"/>
    <n v="32"/>
    <x v="1"/>
  </r>
  <r>
    <s v="APT02819"/>
    <d v="2025-05-17T00:00:00"/>
    <x v="248"/>
    <x v="0"/>
    <s v="New"/>
    <s v="Routine"/>
    <x v="0"/>
    <s v="Dermatology A"/>
    <s v="Royal South Hospital"/>
    <n v="30"/>
    <n v="26"/>
    <x v="0"/>
  </r>
  <r>
    <s v="APT02820"/>
    <d v="2025-12-14T00:00:00"/>
    <x v="199"/>
    <x v="4"/>
    <s v="Follow-up"/>
    <s v="Routine"/>
    <x v="0"/>
    <s v="Orthopaedics B"/>
    <s v="Central Outpatients"/>
    <n v="30"/>
    <n v="11"/>
    <x v="2"/>
  </r>
  <r>
    <s v="APT02821"/>
    <d v="2025-10-14T00:00:00"/>
    <x v="374"/>
    <x v="1"/>
    <s v="New"/>
    <s v="Urgent"/>
    <x v="0"/>
    <s v="Cardiology A"/>
    <s v="Central Outpatients"/>
    <n v="30"/>
    <n v="70"/>
    <x v="4"/>
  </r>
  <r>
    <s v="APT02822"/>
    <d v="2026-01-28T00:00:00"/>
    <x v="359"/>
    <x v="2"/>
    <s v="New"/>
    <s v="Routine"/>
    <x v="0"/>
    <s v="Gastro A"/>
    <s v="Royal South Hospital"/>
    <n v="30"/>
    <n v="40"/>
    <x v="1"/>
  </r>
  <r>
    <s v="APT02823"/>
    <d v="2025-05-17T00:00:00"/>
    <x v="130"/>
    <x v="1"/>
    <s v="New"/>
    <s v="Routine"/>
    <x v="0"/>
    <s v="Cardiology B"/>
    <s v="Central Outpatients"/>
    <n v="30"/>
    <n v="43"/>
    <x v="3"/>
  </r>
  <r>
    <s v="APT02824"/>
    <d v="2026-03-22T00:00:00"/>
    <x v="221"/>
    <x v="2"/>
    <s v="New"/>
    <s v="Routine"/>
    <x v="0"/>
    <s v="Gastro A"/>
    <s v="Royal South Hospital"/>
    <n v="30"/>
    <n v="22"/>
    <x v="0"/>
  </r>
  <r>
    <s v="APT02825"/>
    <d v="2025-11-12T00:00:00"/>
    <x v="334"/>
    <x v="2"/>
    <s v="New"/>
    <s v="Urgent"/>
    <x v="0"/>
    <s v="Gastro B"/>
    <s v="Central Outpatients"/>
    <n v="30"/>
    <n v="48"/>
    <x v="3"/>
  </r>
  <r>
    <s v="APT02826"/>
    <d v="2026-02-01T00:00:00"/>
    <x v="97"/>
    <x v="3"/>
    <s v="Follow-up"/>
    <s v="Urgent"/>
    <x v="0"/>
    <s v="Neurology B"/>
    <s v="Riverside Clinic"/>
    <n v="30"/>
    <n v="28"/>
    <x v="0"/>
  </r>
  <r>
    <s v="APT02827"/>
    <d v="2025-08-10T00:00:00"/>
    <x v="139"/>
    <x v="2"/>
    <s v="New"/>
    <s v="Urgent"/>
    <x v="1"/>
    <s v="Gastro B"/>
    <s v="Royal South Hospital"/>
    <n v="30"/>
    <n v="29"/>
    <x v="1"/>
  </r>
  <r>
    <s v="APT02828"/>
    <d v="2026-03-10T00:00:00"/>
    <x v="394"/>
    <x v="2"/>
    <s v="New"/>
    <s v="Routine"/>
    <x v="2"/>
    <s v="Gastro B"/>
    <s v="Central Outpatients"/>
    <n v="45"/>
    <n v="45"/>
    <x v="3"/>
  </r>
  <r>
    <s v="APT02829"/>
    <d v="2025-11-14T00:00:00"/>
    <x v="303"/>
    <x v="1"/>
    <s v="Follow-up"/>
    <s v="Routine"/>
    <x v="0"/>
    <s v="Cardiology B"/>
    <s v="Riverside Clinic"/>
    <n v="15"/>
    <n v="5"/>
    <x v="2"/>
  </r>
  <r>
    <s v="APT02830"/>
    <d v="2025-05-17T00:00:00"/>
    <x v="328"/>
    <x v="2"/>
    <s v="New"/>
    <s v="Routine"/>
    <x v="2"/>
    <s v="Gastro A"/>
    <s v="Royal South Hospital"/>
    <n v="30"/>
    <n v="63"/>
    <x v="4"/>
  </r>
  <r>
    <s v="APT02831"/>
    <d v="2026-03-02T00:00:00"/>
    <x v="307"/>
    <x v="0"/>
    <s v="Follow-up"/>
    <s v="Routine"/>
    <x v="1"/>
    <s v="Dermatology A"/>
    <s v="Central Outpatients"/>
    <n v="30"/>
    <n v="38"/>
    <x v="1"/>
  </r>
  <r>
    <s v="APT02832"/>
    <d v="2026-01-15T00:00:00"/>
    <x v="131"/>
    <x v="3"/>
    <s v="Follow-up"/>
    <s v="Routine"/>
    <x v="2"/>
    <s v="Neurology B"/>
    <s v="Central Outpatients"/>
    <n v="15"/>
    <n v="58"/>
    <x v="4"/>
  </r>
  <r>
    <s v="APT02833"/>
    <d v="2025-07-19T00:00:00"/>
    <x v="116"/>
    <x v="2"/>
    <s v="Follow-up"/>
    <s v="Urgent"/>
    <x v="0"/>
    <s v="Gastro A"/>
    <s v="Royal South Hospital"/>
    <n v="15"/>
    <n v="15"/>
    <x v="0"/>
  </r>
  <r>
    <s v="APT02834"/>
    <d v="2025-10-16T00:00:00"/>
    <x v="122"/>
    <x v="4"/>
    <s v="Follow-up"/>
    <s v="Routine"/>
    <x v="0"/>
    <s v="Orthopaedics A"/>
    <s v="Riverside Clinic"/>
    <n v="15"/>
    <n v="18"/>
    <x v="0"/>
  </r>
  <r>
    <s v="APT02835"/>
    <d v="2025-08-20T00:00:00"/>
    <x v="141"/>
    <x v="2"/>
    <s v="Follow-up"/>
    <s v="Routine"/>
    <x v="0"/>
    <s v="Gastro A"/>
    <s v="Royal South Hospital"/>
    <n v="15"/>
    <n v="14"/>
    <x v="2"/>
  </r>
  <r>
    <s v="APT02836"/>
    <d v="2025-10-15T00:00:00"/>
    <x v="264"/>
    <x v="0"/>
    <s v="Follow-up"/>
    <s v="Routine"/>
    <x v="2"/>
    <s v="Dermatology A"/>
    <s v="Royal South Hospital"/>
    <n v="15"/>
    <n v="39"/>
    <x v="1"/>
  </r>
  <r>
    <s v="APT02837"/>
    <d v="2026-03-18T00:00:00"/>
    <x v="266"/>
    <x v="0"/>
    <s v="Follow-up"/>
    <s v="Routine"/>
    <x v="0"/>
    <s v="Dermatology B"/>
    <s v="Riverside Clinic"/>
    <n v="15"/>
    <n v="36"/>
    <x v="1"/>
  </r>
  <r>
    <s v="APT02838"/>
    <d v="2026-02-22T00:00:00"/>
    <x v="357"/>
    <x v="1"/>
    <s v="Follow-up"/>
    <s v="Routine"/>
    <x v="2"/>
    <s v="Cardiology A"/>
    <s v="Royal South Hospital"/>
    <n v="15"/>
    <n v="26"/>
    <x v="0"/>
  </r>
  <r>
    <s v="APT02839"/>
    <d v="2025-06-18T00:00:00"/>
    <x v="39"/>
    <x v="2"/>
    <s v="Follow-up"/>
    <s v="Urgent"/>
    <x v="0"/>
    <s v="Gastro A"/>
    <s v="Royal South Hospital"/>
    <n v="30"/>
    <n v="16"/>
    <x v="0"/>
  </r>
  <r>
    <s v="APT02840"/>
    <d v="2026-03-20T00:00:00"/>
    <x v="260"/>
    <x v="4"/>
    <s v="Follow-up"/>
    <s v="Routine"/>
    <x v="0"/>
    <s v="Orthopaedics A"/>
    <s v="Central Outpatients"/>
    <n v="30"/>
    <n v="12"/>
    <x v="2"/>
  </r>
  <r>
    <s v="APT02841"/>
    <d v="2025-09-07T00:00:00"/>
    <x v="251"/>
    <x v="4"/>
    <s v="Follow-up"/>
    <s v="Routine"/>
    <x v="0"/>
    <s v="Orthopaedics B"/>
    <s v="Central Outpatients"/>
    <n v="30"/>
    <n v="34"/>
    <x v="1"/>
  </r>
  <r>
    <s v="APT02842"/>
    <d v="2025-12-13T00:00:00"/>
    <x v="362"/>
    <x v="2"/>
    <s v="New"/>
    <s v="Routine"/>
    <x v="2"/>
    <s v="Gastro A"/>
    <s v="Riverside Clinic"/>
    <n v="30"/>
    <n v="26"/>
    <x v="0"/>
  </r>
  <r>
    <s v="APT02843"/>
    <d v="2026-01-04T00:00:00"/>
    <x v="237"/>
    <x v="1"/>
    <s v="Follow-up"/>
    <s v="Routine"/>
    <x v="0"/>
    <s v="Cardiology B"/>
    <s v="Riverside Clinic"/>
    <n v="30"/>
    <n v="22"/>
    <x v="0"/>
  </r>
  <r>
    <s v="APT02844"/>
    <d v="2025-09-23T00:00:00"/>
    <x v="71"/>
    <x v="4"/>
    <s v="Follow-up"/>
    <s v="Routine"/>
    <x v="0"/>
    <s v="Orthopaedics A"/>
    <s v="Central Outpatients"/>
    <n v="15"/>
    <n v="62"/>
    <x v="4"/>
  </r>
  <r>
    <s v="APT02845"/>
    <d v="2025-09-14T00:00:00"/>
    <x v="285"/>
    <x v="1"/>
    <s v="Follow-up"/>
    <s v="Routine"/>
    <x v="2"/>
    <s v="Cardiology A"/>
    <s v="Central Outpatients"/>
    <n v="15"/>
    <n v="33"/>
    <x v="1"/>
  </r>
  <r>
    <s v="APT02846"/>
    <d v="2025-09-14T00:00:00"/>
    <x v="323"/>
    <x v="0"/>
    <s v="New"/>
    <s v="Routine"/>
    <x v="0"/>
    <s v="Dermatology A"/>
    <s v="Royal South Hospital"/>
    <n v="30"/>
    <n v="57"/>
    <x v="4"/>
  </r>
  <r>
    <s v="APT02847"/>
    <d v="2026-02-08T00:00:00"/>
    <x v="327"/>
    <x v="4"/>
    <s v="New"/>
    <s v="Routine"/>
    <x v="0"/>
    <s v="Orthopaedics A"/>
    <s v="Royal South Hospital"/>
    <n v="45"/>
    <n v="25"/>
    <x v="0"/>
  </r>
  <r>
    <s v="APT02848"/>
    <d v="2025-08-19T00:00:00"/>
    <x v="409"/>
    <x v="0"/>
    <s v="New"/>
    <s v="Urgent"/>
    <x v="0"/>
    <s v="Dermatology A"/>
    <s v="Royal South Hospital"/>
    <n v="30"/>
    <n v="39"/>
    <x v="1"/>
  </r>
  <r>
    <s v="APT02849"/>
    <d v="2025-07-11T00:00:00"/>
    <x v="355"/>
    <x v="1"/>
    <s v="Follow-up"/>
    <s v="Routine"/>
    <x v="1"/>
    <s v="Cardiology A"/>
    <s v="Royal South Hospital"/>
    <n v="15"/>
    <n v="34"/>
    <x v="1"/>
  </r>
  <r>
    <s v="APT02850"/>
    <d v="2025-08-10T00:00:00"/>
    <x v="355"/>
    <x v="0"/>
    <s v="Follow-up"/>
    <s v="Routine"/>
    <x v="0"/>
    <s v="Dermatology B"/>
    <s v="Royal South Hospital"/>
    <n v="15"/>
    <n v="4"/>
    <x v="2"/>
  </r>
  <r>
    <s v="APT02851"/>
    <d v="2025-06-10T00:00:00"/>
    <x v="228"/>
    <x v="3"/>
    <s v="Follow-up"/>
    <s v="Urgent"/>
    <x v="0"/>
    <s v="Neurology A"/>
    <s v="Riverside Clinic"/>
    <n v="15"/>
    <n v="60"/>
    <x v="4"/>
  </r>
  <r>
    <s v="APT02852"/>
    <d v="2025-08-21T00:00:00"/>
    <x v="117"/>
    <x v="1"/>
    <s v="New"/>
    <s v="Routine"/>
    <x v="0"/>
    <s v="Cardiology B"/>
    <s v="Central Outpatients"/>
    <n v="30"/>
    <n v="32"/>
    <x v="1"/>
  </r>
  <r>
    <s v="APT02853"/>
    <d v="2025-05-12T00:00:00"/>
    <x v="130"/>
    <x v="3"/>
    <s v="New"/>
    <s v="Urgent"/>
    <x v="0"/>
    <s v="Neurology B"/>
    <s v="Central Outpatients"/>
    <n v="45"/>
    <n v="48"/>
    <x v="3"/>
  </r>
  <r>
    <s v="APT02854"/>
    <d v="2025-05-03T00:00:00"/>
    <x v="42"/>
    <x v="2"/>
    <s v="Follow-up"/>
    <s v="Urgent"/>
    <x v="0"/>
    <s v="Gastro A"/>
    <s v="Royal South Hospital"/>
    <n v="15"/>
    <n v="21"/>
    <x v="0"/>
  </r>
  <r>
    <s v="APT02855"/>
    <d v="2025-12-20T00:00:00"/>
    <x v="118"/>
    <x v="0"/>
    <s v="Follow-up"/>
    <s v="Urgent"/>
    <x v="0"/>
    <s v="Dermatology B"/>
    <s v="Royal South Hospital"/>
    <n v="15"/>
    <n v="32"/>
    <x v="1"/>
  </r>
  <r>
    <s v="APT02856"/>
    <d v="2025-04-29T00:00:00"/>
    <x v="305"/>
    <x v="0"/>
    <s v="Follow-up"/>
    <s v="Routine"/>
    <x v="1"/>
    <s v="Dermatology A"/>
    <s v="Royal South Hospital"/>
    <n v="30"/>
    <n v="19"/>
    <x v="0"/>
  </r>
  <r>
    <s v="APT02857"/>
    <d v="2025-10-24T00:00:00"/>
    <x v="95"/>
    <x v="4"/>
    <s v="New"/>
    <s v="Routine"/>
    <x v="0"/>
    <s v="Orthopaedics A"/>
    <s v="Royal South Hospital"/>
    <n v="45"/>
    <n v="57"/>
    <x v="4"/>
  </r>
  <r>
    <s v="APT02858"/>
    <d v="2026-01-09T00:00:00"/>
    <x v="84"/>
    <x v="0"/>
    <s v="New"/>
    <s v="Routine"/>
    <x v="1"/>
    <s v="Dermatology B"/>
    <s v="Royal South Hospital"/>
    <n v="45"/>
    <n v="40"/>
    <x v="1"/>
  </r>
  <r>
    <s v="APT02859"/>
    <d v="2025-12-20T00:00:00"/>
    <x v="213"/>
    <x v="3"/>
    <s v="Follow-up"/>
    <s v="Routine"/>
    <x v="2"/>
    <s v="Neurology B"/>
    <s v="Central Outpatients"/>
    <n v="15"/>
    <n v="41"/>
    <x v="1"/>
  </r>
  <r>
    <s v="APT02860"/>
    <d v="2025-09-10T00:00:00"/>
    <x v="16"/>
    <x v="2"/>
    <s v="Follow-up"/>
    <s v="Urgent"/>
    <x v="0"/>
    <s v="Gastro B"/>
    <s v="Royal South Hospital"/>
    <n v="30"/>
    <n v="59"/>
    <x v="4"/>
  </r>
  <r>
    <s v="APT02861"/>
    <d v="2025-06-10T00:00:00"/>
    <x v="311"/>
    <x v="1"/>
    <s v="New"/>
    <s v="Routine"/>
    <x v="0"/>
    <s v="Cardiology A"/>
    <s v="Riverside Clinic"/>
    <n v="45"/>
    <n v="55"/>
    <x v="3"/>
  </r>
  <r>
    <s v="APT02862"/>
    <d v="2026-03-05T00:00:00"/>
    <x v="11"/>
    <x v="2"/>
    <s v="Follow-up"/>
    <s v="Routine"/>
    <x v="0"/>
    <s v="Gastro B"/>
    <s v="Royal South Hospital"/>
    <n v="15"/>
    <n v="48"/>
    <x v="3"/>
  </r>
  <r>
    <s v="APT02863"/>
    <d v="2026-01-29T00:00:00"/>
    <x v="249"/>
    <x v="2"/>
    <s v="Follow-up"/>
    <s v="Routine"/>
    <x v="0"/>
    <s v="Gastro A"/>
    <s v="Riverside Clinic"/>
    <n v="15"/>
    <n v="9"/>
    <x v="2"/>
  </r>
  <r>
    <s v="APT02864"/>
    <d v="2025-11-09T00:00:00"/>
    <x v="38"/>
    <x v="2"/>
    <s v="Follow-up"/>
    <s v="Routine"/>
    <x v="0"/>
    <s v="Gastro A"/>
    <s v="Central Outpatients"/>
    <n v="15"/>
    <n v="22"/>
    <x v="0"/>
  </r>
  <r>
    <s v="APT02865"/>
    <d v="2025-05-02T00:00:00"/>
    <x v="305"/>
    <x v="4"/>
    <s v="Follow-up"/>
    <s v="Routine"/>
    <x v="0"/>
    <s v="Orthopaedics A"/>
    <s v="Central Outpatients"/>
    <n v="30"/>
    <n v="16"/>
    <x v="0"/>
  </r>
  <r>
    <s v="APT02866"/>
    <d v="2025-04-13T00:00:00"/>
    <x v="69"/>
    <x v="4"/>
    <s v="Follow-up"/>
    <s v="Routine"/>
    <x v="0"/>
    <s v="Orthopaedics A"/>
    <s v="Royal South Hospital"/>
    <n v="30"/>
    <n v="48"/>
    <x v="3"/>
  </r>
  <r>
    <s v="APT02867"/>
    <d v="2025-07-24T00:00:00"/>
    <x v="105"/>
    <x v="4"/>
    <s v="Follow-up"/>
    <s v="Routine"/>
    <x v="0"/>
    <s v="Orthopaedics A"/>
    <s v="Central Outpatients"/>
    <n v="15"/>
    <n v="38"/>
    <x v="1"/>
  </r>
  <r>
    <s v="APT02868"/>
    <d v="2025-05-28T00:00:00"/>
    <x v="34"/>
    <x v="2"/>
    <s v="Follow-up"/>
    <s v="Urgent"/>
    <x v="0"/>
    <s v="Gastro A"/>
    <s v="Royal South Hospital"/>
    <n v="15"/>
    <n v="9"/>
    <x v="2"/>
  </r>
  <r>
    <s v="APT02869"/>
    <d v="2026-02-08T00:00:00"/>
    <x v="292"/>
    <x v="2"/>
    <s v="Follow-up"/>
    <s v="Routine"/>
    <x v="0"/>
    <s v="Gastro A"/>
    <s v="Central Outpatients"/>
    <n v="30"/>
    <n v="31"/>
    <x v="1"/>
  </r>
  <r>
    <s v="APT02870"/>
    <d v="2025-06-14T00:00:00"/>
    <x v="244"/>
    <x v="3"/>
    <s v="Follow-up"/>
    <s v="Urgent"/>
    <x v="0"/>
    <s v="Neurology B"/>
    <s v="Royal South Hospital"/>
    <n v="15"/>
    <n v="8"/>
    <x v="2"/>
  </r>
  <r>
    <s v="APT02871"/>
    <d v="2025-07-12T00:00:00"/>
    <x v="167"/>
    <x v="0"/>
    <s v="Follow-up"/>
    <s v="Routine"/>
    <x v="0"/>
    <s v="Dermatology B"/>
    <s v="Riverside Clinic"/>
    <n v="15"/>
    <n v="34"/>
    <x v="1"/>
  </r>
  <r>
    <s v="APT02872"/>
    <d v="2026-03-22T00:00:00"/>
    <x v="371"/>
    <x v="4"/>
    <s v="New"/>
    <s v="Routine"/>
    <x v="0"/>
    <s v="Orthopaedics A"/>
    <s v="Riverside Clinic"/>
    <n v="45"/>
    <n v="5"/>
    <x v="2"/>
  </r>
  <r>
    <s v="APT02873"/>
    <d v="2026-01-23T00:00:00"/>
    <x v="377"/>
    <x v="4"/>
    <s v="New"/>
    <s v="Routine"/>
    <x v="0"/>
    <s v="Orthopaedics A"/>
    <s v="Central Outpatients"/>
    <n v="30"/>
    <n v="44"/>
    <x v="3"/>
  </r>
  <r>
    <s v="APT02874"/>
    <d v="2025-06-19T00:00:00"/>
    <x v="382"/>
    <x v="0"/>
    <s v="Follow-up"/>
    <s v="Routine"/>
    <x v="0"/>
    <s v="Dermatology A"/>
    <s v="Central Outpatients"/>
    <n v="15"/>
    <n v="41"/>
    <x v="1"/>
  </r>
  <r>
    <s v="APT02875"/>
    <d v="2025-08-18T00:00:00"/>
    <x v="184"/>
    <x v="4"/>
    <s v="New"/>
    <s v="Urgent"/>
    <x v="0"/>
    <s v="Orthopaedics A"/>
    <s v="Royal South Hospital"/>
    <n v="45"/>
    <n v="69"/>
    <x v="4"/>
  </r>
  <r>
    <s v="APT02876"/>
    <d v="2025-10-05T00:00:00"/>
    <x v="71"/>
    <x v="4"/>
    <s v="Follow-up"/>
    <s v="Routine"/>
    <x v="0"/>
    <s v="Orthopaedics A"/>
    <s v="Central Outpatients"/>
    <n v="30"/>
    <n v="50"/>
    <x v="3"/>
  </r>
  <r>
    <s v="APT02877"/>
    <d v="2025-11-28T00:00:00"/>
    <x v="199"/>
    <x v="2"/>
    <s v="Follow-up"/>
    <s v="Routine"/>
    <x v="0"/>
    <s v="Gastro A"/>
    <s v="Royal South Hospital"/>
    <n v="15"/>
    <n v="27"/>
    <x v="0"/>
  </r>
  <r>
    <s v="APT02878"/>
    <d v="2026-03-07T00:00:00"/>
    <x v="157"/>
    <x v="4"/>
    <s v="Follow-up"/>
    <s v="Routine"/>
    <x v="2"/>
    <s v="Orthopaedics B"/>
    <s v="Royal South Hospital"/>
    <n v="15"/>
    <n v="49"/>
    <x v="3"/>
  </r>
  <r>
    <s v="APT02879"/>
    <d v="2026-02-12T00:00:00"/>
    <x v="261"/>
    <x v="1"/>
    <s v="Follow-up"/>
    <s v="Routine"/>
    <x v="0"/>
    <s v="Cardiology B"/>
    <s v="Royal South Hospital"/>
    <n v="15"/>
    <n v="9"/>
    <x v="2"/>
  </r>
  <r>
    <s v="APT02880"/>
    <d v="2026-03-22T00:00:00"/>
    <x v="295"/>
    <x v="1"/>
    <s v="Follow-up"/>
    <s v="Urgent"/>
    <x v="0"/>
    <s v="Cardiology A"/>
    <s v="Royal South Hospital"/>
    <n v="15"/>
    <n v="17"/>
    <x v="0"/>
  </r>
  <r>
    <s v="APT02881"/>
    <d v="2025-04-15T00:00:00"/>
    <x v="242"/>
    <x v="0"/>
    <s v="Follow-up"/>
    <s v="Routine"/>
    <x v="0"/>
    <s v="Dermatology A"/>
    <s v="Royal South Hospital"/>
    <n v="30"/>
    <n v="40"/>
    <x v="1"/>
  </r>
  <r>
    <s v="APT02882"/>
    <d v="2025-06-26T00:00:00"/>
    <x v="61"/>
    <x v="2"/>
    <s v="Follow-up"/>
    <s v="Urgent"/>
    <x v="1"/>
    <s v="Gastro B"/>
    <s v="Riverside Clinic"/>
    <n v="30"/>
    <n v="2"/>
    <x v="2"/>
  </r>
  <r>
    <s v="APT02883"/>
    <d v="2025-10-22T00:00:00"/>
    <x v="20"/>
    <x v="0"/>
    <s v="New"/>
    <s v="Routine"/>
    <x v="2"/>
    <s v="Dermatology B"/>
    <s v="Royal South Hospital"/>
    <n v="30"/>
    <n v="34"/>
    <x v="1"/>
  </r>
  <r>
    <s v="APT02884"/>
    <d v="2025-04-18T00:00:00"/>
    <x v="379"/>
    <x v="4"/>
    <s v="New"/>
    <s v="Routine"/>
    <x v="0"/>
    <s v="Orthopaedics A"/>
    <s v="Riverside Clinic"/>
    <n v="30"/>
    <n v="16"/>
    <x v="0"/>
  </r>
  <r>
    <s v="APT02885"/>
    <d v="2025-08-08T00:00:00"/>
    <x v="180"/>
    <x v="0"/>
    <s v="Follow-up"/>
    <s v="Urgent"/>
    <x v="0"/>
    <s v="Dermatology B"/>
    <s v="Royal South Hospital"/>
    <n v="15"/>
    <n v="36"/>
    <x v="1"/>
  </r>
  <r>
    <s v="APT02886"/>
    <d v="2025-05-26T00:00:00"/>
    <x v="92"/>
    <x v="0"/>
    <s v="Follow-up"/>
    <s v="Routine"/>
    <x v="0"/>
    <s v="Dermatology A"/>
    <s v="Riverside Clinic"/>
    <n v="15"/>
    <n v="15"/>
    <x v="0"/>
  </r>
  <r>
    <s v="APT02887"/>
    <d v="2026-03-06T00:00:00"/>
    <x v="289"/>
    <x v="3"/>
    <s v="Follow-up"/>
    <s v="Routine"/>
    <x v="0"/>
    <s v="Neurology B"/>
    <s v="Royal South Hospital"/>
    <n v="15"/>
    <n v="42"/>
    <x v="1"/>
  </r>
  <r>
    <s v="APT02888"/>
    <d v="2025-04-24T00:00:00"/>
    <x v="229"/>
    <x v="1"/>
    <s v="New"/>
    <s v="Routine"/>
    <x v="0"/>
    <s v="Cardiology A"/>
    <s v="Royal South Hospital"/>
    <n v="30"/>
    <n v="35"/>
    <x v="1"/>
  </r>
  <r>
    <s v="APT02889"/>
    <d v="2025-05-25T00:00:00"/>
    <x v="365"/>
    <x v="3"/>
    <s v="Follow-up"/>
    <s v="Routine"/>
    <x v="2"/>
    <s v="Neurology A"/>
    <s v="Riverside Clinic"/>
    <n v="30"/>
    <n v="60"/>
    <x v="4"/>
  </r>
  <r>
    <s v="APT02890"/>
    <d v="2025-06-11T00:00:00"/>
    <x v="178"/>
    <x v="0"/>
    <s v="Follow-up"/>
    <s v="Routine"/>
    <x v="0"/>
    <s v="Dermatology B"/>
    <s v="Central Outpatients"/>
    <n v="30"/>
    <n v="35"/>
    <x v="1"/>
  </r>
  <r>
    <s v="APT02891"/>
    <d v="2025-05-25T00:00:00"/>
    <x v="322"/>
    <x v="4"/>
    <s v="Follow-up"/>
    <s v="Routine"/>
    <x v="0"/>
    <s v="Orthopaedics A"/>
    <s v="Central Outpatients"/>
    <n v="15"/>
    <n v="21"/>
    <x v="0"/>
  </r>
  <r>
    <s v="APT02892"/>
    <d v="2025-10-24T00:00:00"/>
    <x v="264"/>
    <x v="3"/>
    <s v="New"/>
    <s v="Routine"/>
    <x v="0"/>
    <s v="Neurology A"/>
    <s v="Royal South Hospital"/>
    <n v="45"/>
    <n v="30"/>
    <x v="1"/>
  </r>
  <r>
    <s v="APT02893"/>
    <d v="2025-08-11T00:00:00"/>
    <x v="198"/>
    <x v="1"/>
    <s v="Follow-up"/>
    <s v="Urgent"/>
    <x v="0"/>
    <s v="Cardiology B"/>
    <s v="Central Outpatients"/>
    <n v="15"/>
    <n v="10"/>
    <x v="2"/>
  </r>
  <r>
    <s v="APT02894"/>
    <d v="2026-02-27T00:00:00"/>
    <x v="340"/>
    <x v="1"/>
    <s v="Follow-up"/>
    <s v="Routine"/>
    <x v="0"/>
    <s v="Cardiology A"/>
    <s v="Riverside Clinic"/>
    <n v="15"/>
    <n v="42"/>
    <x v="1"/>
  </r>
  <r>
    <s v="APT02895"/>
    <d v="2025-07-04T00:00:00"/>
    <x v="146"/>
    <x v="1"/>
    <s v="Follow-up"/>
    <s v="Routine"/>
    <x v="0"/>
    <s v="Cardiology A"/>
    <s v="Central Outpatients"/>
    <n v="15"/>
    <n v="45"/>
    <x v="3"/>
  </r>
  <r>
    <s v="APT02896"/>
    <d v="2025-10-13T00:00:00"/>
    <x v="68"/>
    <x v="4"/>
    <s v="New"/>
    <s v="Routine"/>
    <x v="0"/>
    <s v="Orthopaedics B"/>
    <s v="Royal South Hospital"/>
    <n v="30"/>
    <n v="79"/>
    <x v="4"/>
  </r>
  <r>
    <s v="APT02897"/>
    <d v="2025-11-27T00:00:00"/>
    <x v="95"/>
    <x v="3"/>
    <s v="Follow-up"/>
    <s v="Routine"/>
    <x v="0"/>
    <s v="Neurology A"/>
    <s v="Royal South Hospital"/>
    <n v="15"/>
    <n v="23"/>
    <x v="0"/>
  </r>
  <r>
    <s v="APT02898"/>
    <d v="2025-11-14T00:00:00"/>
    <x v="350"/>
    <x v="2"/>
    <s v="New"/>
    <s v="Routine"/>
    <x v="0"/>
    <s v="Gastro A"/>
    <s v="Royal South Hospital"/>
    <n v="30"/>
    <n v="30"/>
    <x v="1"/>
  </r>
  <r>
    <s v="APT02899"/>
    <d v="2026-01-15T00:00:00"/>
    <x v="203"/>
    <x v="1"/>
    <s v="Follow-up"/>
    <s v="Routine"/>
    <x v="2"/>
    <s v="Cardiology B"/>
    <s v="Central Outpatients"/>
    <n v="15"/>
    <n v="24"/>
    <x v="0"/>
  </r>
  <r>
    <s v="APT02900"/>
    <d v="2025-06-13T00:00:00"/>
    <x v="280"/>
    <x v="4"/>
    <s v="New"/>
    <s v="Routine"/>
    <x v="1"/>
    <s v="Orthopaedics A"/>
    <s v="Royal South Hospital"/>
    <n v="45"/>
    <n v="38"/>
    <x v="1"/>
  </r>
  <r>
    <s v="APT02901"/>
    <d v="2025-10-02T00:00:00"/>
    <x v="134"/>
    <x v="1"/>
    <s v="Follow-up"/>
    <s v="Routine"/>
    <x v="0"/>
    <s v="Cardiology B"/>
    <s v="Royal South Hospital"/>
    <n v="15"/>
    <n v="41"/>
    <x v="1"/>
  </r>
  <r>
    <s v="APT02902"/>
    <d v="2026-01-17T00:00:00"/>
    <x v="81"/>
    <x v="3"/>
    <s v="Follow-up"/>
    <s v="Routine"/>
    <x v="0"/>
    <s v="Neurology A"/>
    <s v="Riverside Clinic"/>
    <n v="15"/>
    <n v="34"/>
    <x v="1"/>
  </r>
  <r>
    <s v="APT02903"/>
    <d v="2026-02-09T00:00:00"/>
    <x v="153"/>
    <x v="4"/>
    <s v="New"/>
    <s v="Routine"/>
    <x v="2"/>
    <s v="Orthopaedics B"/>
    <s v="Central Outpatients"/>
    <n v="45"/>
    <n v="54"/>
    <x v="3"/>
  </r>
  <r>
    <s v="APT02904"/>
    <d v="2025-11-11T00:00:00"/>
    <x v="306"/>
    <x v="0"/>
    <s v="New"/>
    <s v="Urgent"/>
    <x v="0"/>
    <s v="Dermatology B"/>
    <s v="Riverside Clinic"/>
    <n v="30"/>
    <n v="23"/>
    <x v="0"/>
  </r>
  <r>
    <s v="APT02905"/>
    <d v="2025-11-24T00:00:00"/>
    <x v="63"/>
    <x v="2"/>
    <s v="New"/>
    <s v="Routine"/>
    <x v="2"/>
    <s v="Gastro B"/>
    <s v="Riverside Clinic"/>
    <n v="30"/>
    <n v="52"/>
    <x v="3"/>
  </r>
  <r>
    <s v="APT02906"/>
    <d v="2026-02-09T00:00:00"/>
    <x v="291"/>
    <x v="0"/>
    <s v="New"/>
    <s v="Routine"/>
    <x v="1"/>
    <s v="Dermatology A"/>
    <s v="Royal South Hospital"/>
    <n v="30"/>
    <n v="44"/>
    <x v="3"/>
  </r>
  <r>
    <s v="APT02907"/>
    <d v="2025-11-14T00:00:00"/>
    <x v="288"/>
    <x v="0"/>
    <s v="Follow-up"/>
    <s v="Urgent"/>
    <x v="0"/>
    <s v="Dermatology B"/>
    <s v="Central Outpatients"/>
    <n v="30"/>
    <n v="34"/>
    <x v="1"/>
  </r>
  <r>
    <s v="APT02908"/>
    <d v="2026-03-12T00:00:00"/>
    <x v="340"/>
    <x v="4"/>
    <s v="New"/>
    <s v="Routine"/>
    <x v="0"/>
    <s v="Orthopaedics B"/>
    <s v="Royal South Hospital"/>
    <n v="30"/>
    <n v="29"/>
    <x v="1"/>
  </r>
  <r>
    <s v="APT02909"/>
    <d v="2025-05-17T00:00:00"/>
    <x v="116"/>
    <x v="3"/>
    <s v="New"/>
    <s v="Routine"/>
    <x v="0"/>
    <s v="Neurology B"/>
    <s v="Royal South Hospital"/>
    <n v="30"/>
    <n v="78"/>
    <x v="4"/>
  </r>
  <r>
    <s v="APT02910"/>
    <d v="2025-08-05T00:00:00"/>
    <x v="147"/>
    <x v="4"/>
    <s v="Follow-up"/>
    <s v="Routine"/>
    <x v="0"/>
    <s v="Orthopaedics B"/>
    <s v="Royal South Hospital"/>
    <n v="15"/>
    <n v="20"/>
    <x v="0"/>
  </r>
  <r>
    <s v="APT02911"/>
    <d v="2025-05-11T00:00:00"/>
    <x v="326"/>
    <x v="2"/>
    <s v="New"/>
    <s v="Routine"/>
    <x v="0"/>
    <s v="Gastro A"/>
    <s v="Royal South Hospital"/>
    <n v="30"/>
    <n v="40"/>
    <x v="1"/>
  </r>
  <r>
    <s v="APT02912"/>
    <d v="2025-05-03T00:00:00"/>
    <x v="42"/>
    <x v="0"/>
    <s v="Follow-up"/>
    <s v="Urgent"/>
    <x v="2"/>
    <s v="Dermatology B"/>
    <s v="Riverside Clinic"/>
    <n v="30"/>
    <n v="21"/>
    <x v="0"/>
  </r>
  <r>
    <s v="APT02913"/>
    <d v="2025-09-19T00:00:00"/>
    <x v="20"/>
    <x v="3"/>
    <s v="Follow-up"/>
    <s v="Routine"/>
    <x v="0"/>
    <s v="Neurology B"/>
    <s v="Riverside Clinic"/>
    <n v="15"/>
    <n v="67"/>
    <x v="4"/>
  </r>
  <r>
    <s v="APT02914"/>
    <d v="2025-06-22T00:00:00"/>
    <x v="254"/>
    <x v="2"/>
    <s v="Follow-up"/>
    <s v="Routine"/>
    <x v="0"/>
    <s v="Gastro A"/>
    <s v="Royal South Hospital"/>
    <n v="15"/>
    <n v="50"/>
    <x v="3"/>
  </r>
  <r>
    <s v="APT02915"/>
    <d v="2025-08-27T00:00:00"/>
    <x v="245"/>
    <x v="1"/>
    <s v="Follow-up"/>
    <s v="Routine"/>
    <x v="0"/>
    <s v="Cardiology B"/>
    <s v="Royal South Hospital"/>
    <n v="15"/>
    <n v="22"/>
    <x v="0"/>
  </r>
  <r>
    <s v="APT02916"/>
    <d v="2025-09-07T00:00:00"/>
    <x v="49"/>
    <x v="2"/>
    <s v="New"/>
    <s v="Urgent"/>
    <x v="0"/>
    <s v="Gastro B"/>
    <s v="Royal South Hospital"/>
    <n v="30"/>
    <n v="44"/>
    <x v="3"/>
  </r>
  <r>
    <s v="APT02917"/>
    <d v="2025-11-13T00:00:00"/>
    <x v="396"/>
    <x v="3"/>
    <s v="Follow-up"/>
    <s v="Urgent"/>
    <x v="0"/>
    <s v="Neurology A"/>
    <s v="Royal South Hospital"/>
    <n v="15"/>
    <n v="39"/>
    <x v="1"/>
  </r>
  <r>
    <s v="APT02918"/>
    <d v="2026-03-11T00:00:00"/>
    <x v="132"/>
    <x v="3"/>
    <s v="Follow-up"/>
    <s v="Routine"/>
    <x v="2"/>
    <s v="Neurology B"/>
    <s v="Central Outpatients"/>
    <n v="15"/>
    <n v="25"/>
    <x v="0"/>
  </r>
  <r>
    <s v="APT02919"/>
    <d v="2026-02-04T00:00:00"/>
    <x v="214"/>
    <x v="0"/>
    <s v="New"/>
    <s v="Routine"/>
    <x v="0"/>
    <s v="Dermatology A"/>
    <s v="Riverside Clinic"/>
    <n v="30"/>
    <n v="48"/>
    <x v="3"/>
  </r>
  <r>
    <s v="APT02920"/>
    <d v="2025-08-16T00:00:00"/>
    <x v="409"/>
    <x v="4"/>
    <s v="Follow-up"/>
    <s v="Routine"/>
    <x v="1"/>
    <s v="Orthopaedics B"/>
    <s v="Royal South Hospital"/>
    <n v="15"/>
    <n v="42"/>
    <x v="1"/>
  </r>
  <r>
    <s v="APT02921"/>
    <d v="2025-07-28T00:00:00"/>
    <x v="388"/>
    <x v="0"/>
    <s v="Follow-up"/>
    <s v="Urgent"/>
    <x v="1"/>
    <s v="Dermatology B"/>
    <s v="Royal South Hospital"/>
    <n v="15"/>
    <n v="38"/>
    <x v="1"/>
  </r>
  <r>
    <s v="APT02922"/>
    <d v="2026-01-06T00:00:00"/>
    <x v="185"/>
    <x v="0"/>
    <s v="Follow-up"/>
    <s v="Routine"/>
    <x v="0"/>
    <s v="Dermatology A"/>
    <s v="Central Outpatients"/>
    <n v="15"/>
    <n v="34"/>
    <x v="1"/>
  </r>
  <r>
    <s v="APT02923"/>
    <d v="2025-05-16T00:00:00"/>
    <x v="80"/>
    <x v="1"/>
    <s v="Follow-up"/>
    <s v="Routine"/>
    <x v="1"/>
    <s v="Cardiology B"/>
    <s v="Central Outpatients"/>
    <n v="15"/>
    <n v="42"/>
    <x v="1"/>
  </r>
  <r>
    <s v="APT02924"/>
    <d v="2025-10-14T00:00:00"/>
    <x v="318"/>
    <x v="4"/>
    <s v="New"/>
    <s v="Urgent"/>
    <x v="0"/>
    <s v="Orthopaedics B"/>
    <s v="Central Outpatients"/>
    <n v="45"/>
    <n v="39"/>
    <x v="1"/>
  </r>
  <r>
    <s v="APT02925"/>
    <d v="2025-09-01T00:00:00"/>
    <x v="144"/>
    <x v="0"/>
    <s v="Follow-up"/>
    <s v="Urgent"/>
    <x v="0"/>
    <s v="Dermatology A"/>
    <s v="Royal South Hospital"/>
    <n v="15"/>
    <n v="36"/>
    <x v="1"/>
  </r>
  <r>
    <s v="APT02926"/>
    <d v="2025-06-06T00:00:00"/>
    <x v="130"/>
    <x v="2"/>
    <s v="Follow-up"/>
    <s v="Routine"/>
    <x v="0"/>
    <s v="Gastro B"/>
    <s v="Riverside Clinic"/>
    <n v="15"/>
    <n v="23"/>
    <x v="0"/>
  </r>
  <r>
    <s v="APT02927"/>
    <d v="2025-11-11T00:00:00"/>
    <x v="63"/>
    <x v="0"/>
    <s v="Follow-up"/>
    <s v="Urgent"/>
    <x v="0"/>
    <s v="Dermatology B"/>
    <s v="Royal South Hospital"/>
    <n v="15"/>
    <n v="65"/>
    <x v="4"/>
  </r>
  <r>
    <s v="APT02928"/>
    <d v="2025-07-26T00:00:00"/>
    <x v="254"/>
    <x v="3"/>
    <s v="New"/>
    <s v="Routine"/>
    <x v="0"/>
    <s v="Neurology B"/>
    <s v="Central Outpatients"/>
    <n v="30"/>
    <n v="16"/>
    <x v="0"/>
  </r>
  <r>
    <s v="APT02929"/>
    <d v="2025-06-07T00:00:00"/>
    <x v="328"/>
    <x v="4"/>
    <s v="Follow-up"/>
    <s v="Routine"/>
    <x v="0"/>
    <s v="Orthopaedics A"/>
    <s v="Royal South Hospital"/>
    <n v="15"/>
    <n v="42"/>
    <x v="1"/>
  </r>
  <r>
    <s v="APT02930"/>
    <d v="2025-11-24T00:00:00"/>
    <x v="374"/>
    <x v="0"/>
    <s v="Follow-up"/>
    <s v="Urgent"/>
    <x v="0"/>
    <s v="Dermatology A"/>
    <s v="Riverside Clinic"/>
    <n v="30"/>
    <n v="29"/>
    <x v="1"/>
  </r>
  <r>
    <s v="APT02931"/>
    <d v="2025-06-03T00:00:00"/>
    <x v="107"/>
    <x v="4"/>
    <s v="New"/>
    <s v="Routine"/>
    <x v="2"/>
    <s v="Orthopaedics A"/>
    <s v="Royal South Hospital"/>
    <n v="45"/>
    <n v="66"/>
    <x v="4"/>
  </r>
  <r>
    <s v="APT02932"/>
    <d v="2025-12-01T00:00:00"/>
    <x v="312"/>
    <x v="1"/>
    <s v="Follow-up"/>
    <s v="Routine"/>
    <x v="0"/>
    <s v="Cardiology B"/>
    <s v="Riverside Clinic"/>
    <n v="30"/>
    <n v="18"/>
    <x v="0"/>
  </r>
  <r>
    <s v="APT02933"/>
    <d v="2025-05-30T00:00:00"/>
    <x v="326"/>
    <x v="1"/>
    <s v="Follow-up"/>
    <s v="Routine"/>
    <x v="0"/>
    <s v="Cardiology B"/>
    <s v="Royal South Hospital"/>
    <n v="15"/>
    <n v="21"/>
    <x v="0"/>
  </r>
  <r>
    <s v="APT02934"/>
    <d v="2025-09-06T00:00:00"/>
    <x v="4"/>
    <x v="2"/>
    <s v="Follow-up"/>
    <s v="Routine"/>
    <x v="2"/>
    <s v="Gastro B"/>
    <s v="Central Outpatients"/>
    <n v="15"/>
    <n v="17"/>
    <x v="0"/>
  </r>
  <r>
    <s v="APT02935"/>
    <d v="2026-01-20T00:00:00"/>
    <x v="97"/>
    <x v="3"/>
    <s v="Follow-up"/>
    <s v="Routine"/>
    <x v="0"/>
    <s v="Neurology A"/>
    <s v="Royal South Hospital"/>
    <n v="15"/>
    <n v="40"/>
    <x v="1"/>
  </r>
  <r>
    <s v="APT02936"/>
    <d v="2025-06-23T00:00:00"/>
    <x v="190"/>
    <x v="0"/>
    <s v="New"/>
    <s v="Routine"/>
    <x v="0"/>
    <s v="Dermatology B"/>
    <s v="Central Outpatients"/>
    <n v="45"/>
    <n v="10"/>
    <x v="2"/>
  </r>
  <r>
    <s v="APT02937"/>
    <d v="2026-01-05T00:00:00"/>
    <x v="165"/>
    <x v="2"/>
    <s v="Follow-up"/>
    <s v="Routine"/>
    <x v="0"/>
    <s v="Gastro A"/>
    <s v="Royal South Hospital"/>
    <n v="30"/>
    <n v="26"/>
    <x v="0"/>
  </r>
  <r>
    <s v="APT02938"/>
    <d v="2025-12-19T00:00:00"/>
    <x v="135"/>
    <x v="0"/>
    <s v="Follow-up"/>
    <s v="Routine"/>
    <x v="0"/>
    <s v="Dermatology B"/>
    <s v="Riverside Clinic"/>
    <n v="30"/>
    <n v="2"/>
    <x v="2"/>
  </r>
  <r>
    <s v="APT02939"/>
    <d v="2026-02-23T00:00:00"/>
    <x v="241"/>
    <x v="2"/>
    <s v="Follow-up"/>
    <s v="Urgent"/>
    <x v="0"/>
    <s v="Gastro B"/>
    <s v="Riverside Clinic"/>
    <n v="15"/>
    <n v="39"/>
    <x v="1"/>
  </r>
  <r>
    <s v="APT02940"/>
    <d v="2025-06-01T00:00:00"/>
    <x v="349"/>
    <x v="3"/>
    <s v="New"/>
    <s v="Routine"/>
    <x v="0"/>
    <s v="Neurology B"/>
    <s v="Royal South Hospital"/>
    <n v="30"/>
    <n v="25"/>
    <x v="0"/>
  </r>
  <r>
    <s v="APT02941"/>
    <d v="2025-12-17T00:00:00"/>
    <x v="199"/>
    <x v="4"/>
    <s v="New"/>
    <s v="Routine"/>
    <x v="0"/>
    <s v="Orthopaedics B"/>
    <s v="Royal South Hospital"/>
    <n v="30"/>
    <n v="8"/>
    <x v="2"/>
  </r>
  <r>
    <s v="APT02942"/>
    <d v="2026-03-07T00:00:00"/>
    <x v="301"/>
    <x v="2"/>
    <s v="Follow-up"/>
    <s v="Routine"/>
    <x v="0"/>
    <s v="Gastro A"/>
    <s v="Royal South Hospital"/>
    <n v="15"/>
    <n v="54"/>
    <x v="3"/>
  </r>
  <r>
    <s v="APT02943"/>
    <d v="2026-01-03T00:00:00"/>
    <x v="302"/>
    <x v="3"/>
    <s v="Follow-up"/>
    <s v="Routine"/>
    <x v="0"/>
    <s v="Neurology A"/>
    <s v="Royal South Hospital"/>
    <n v="30"/>
    <n v="11"/>
    <x v="2"/>
  </r>
  <r>
    <s v="APT02944"/>
    <d v="2025-06-08T00:00:00"/>
    <x v="145"/>
    <x v="2"/>
    <s v="Follow-up"/>
    <s v="Routine"/>
    <x v="0"/>
    <s v="Gastro A"/>
    <s v="Riverside Clinic"/>
    <n v="15"/>
    <n v="49"/>
    <x v="3"/>
  </r>
  <r>
    <s v="APT02945"/>
    <d v="2026-01-25T00:00:00"/>
    <x v="173"/>
    <x v="0"/>
    <s v="Follow-up"/>
    <s v="Urgent"/>
    <x v="0"/>
    <s v="Dermatology B"/>
    <s v="Royal South Hospital"/>
    <n v="15"/>
    <n v="22"/>
    <x v="0"/>
  </r>
  <r>
    <s v="APT02946"/>
    <d v="2025-05-10T00:00:00"/>
    <x v="286"/>
    <x v="0"/>
    <s v="Follow-up"/>
    <s v="Urgent"/>
    <x v="0"/>
    <s v="Dermatology A"/>
    <s v="Royal South Hospital"/>
    <n v="15"/>
    <n v="63"/>
    <x v="4"/>
  </r>
  <r>
    <s v="APT02947"/>
    <d v="2025-11-01T00:00:00"/>
    <x v="312"/>
    <x v="4"/>
    <s v="New"/>
    <s v="Routine"/>
    <x v="2"/>
    <s v="Orthopaedics A"/>
    <s v="Royal South Hospital"/>
    <n v="30"/>
    <n v="48"/>
    <x v="3"/>
  </r>
  <r>
    <s v="APT02948"/>
    <d v="2025-09-29T00:00:00"/>
    <x v="57"/>
    <x v="1"/>
    <s v="Follow-up"/>
    <s v="Urgent"/>
    <x v="2"/>
    <s v="Cardiology B"/>
    <s v="Royal South Hospital"/>
    <n v="15"/>
    <n v="16"/>
    <x v="0"/>
  </r>
  <r>
    <s v="APT02949"/>
    <d v="2025-10-11T00:00:00"/>
    <x v="85"/>
    <x v="4"/>
    <s v="New"/>
    <s v="Routine"/>
    <x v="0"/>
    <s v="Orthopaedics B"/>
    <s v="Royal South Hospital"/>
    <n v="30"/>
    <n v="18"/>
    <x v="0"/>
  </r>
  <r>
    <s v="APT02950"/>
    <d v="2025-10-07T00:00:00"/>
    <x v="265"/>
    <x v="1"/>
    <s v="Follow-up"/>
    <s v="Routine"/>
    <x v="0"/>
    <s v="Cardiology A"/>
    <s v="Riverside Clinic"/>
    <n v="30"/>
    <n v="45"/>
    <x v="3"/>
  </r>
  <r>
    <s v="APT02951"/>
    <d v="2025-04-12T00:00:00"/>
    <x v="407"/>
    <x v="4"/>
    <s v="Follow-up"/>
    <s v="Routine"/>
    <x v="0"/>
    <s v="Orthopaedics B"/>
    <s v="Royal South Hospital"/>
    <n v="15"/>
    <n v="30"/>
    <x v="1"/>
  </r>
  <r>
    <s v="APT02952"/>
    <d v="2025-10-02T00:00:00"/>
    <x v="28"/>
    <x v="1"/>
    <s v="Follow-up"/>
    <s v="Routine"/>
    <x v="0"/>
    <s v="Cardiology B"/>
    <s v="Central Outpatients"/>
    <n v="15"/>
    <n v="31"/>
    <x v="1"/>
  </r>
  <r>
    <s v="APT02953"/>
    <d v="2026-03-07T00:00:00"/>
    <x v="352"/>
    <x v="4"/>
    <s v="New"/>
    <s v="Urgent"/>
    <x v="0"/>
    <s v="Orthopaedics B"/>
    <s v="Riverside Clinic"/>
    <n v="30"/>
    <n v="57"/>
    <x v="4"/>
  </r>
  <r>
    <s v="APT02954"/>
    <d v="2025-09-06T00:00:00"/>
    <x v="409"/>
    <x v="3"/>
    <s v="New"/>
    <s v="Routine"/>
    <x v="0"/>
    <s v="Neurology B"/>
    <s v="Royal South Hospital"/>
    <n v="30"/>
    <n v="21"/>
    <x v="0"/>
  </r>
  <r>
    <s v="APT02955"/>
    <d v="2025-07-10T00:00:00"/>
    <x v="167"/>
    <x v="1"/>
    <s v="Follow-up"/>
    <s v="Routine"/>
    <x v="0"/>
    <s v="Cardiology B"/>
    <s v="Central Outpatients"/>
    <n v="15"/>
    <n v="36"/>
    <x v="1"/>
  </r>
  <r>
    <s v="APT02956"/>
    <d v="2026-03-29T00:00:00"/>
    <x v="353"/>
    <x v="3"/>
    <s v="Follow-up"/>
    <s v="Routine"/>
    <x v="0"/>
    <s v="Neurology B"/>
    <s v="Riverside Clinic"/>
    <n v="15"/>
    <n v="52"/>
    <x v="3"/>
  </r>
  <r>
    <s v="APT02957"/>
    <d v="2025-05-07T00:00:00"/>
    <x v="124"/>
    <x v="3"/>
    <s v="Follow-up"/>
    <s v="Routine"/>
    <x v="0"/>
    <s v="Neurology B"/>
    <s v="Riverside Clinic"/>
    <n v="30"/>
    <n v="49"/>
    <x v="3"/>
  </r>
  <r>
    <s v="APT02958"/>
    <d v="2025-09-25T00:00:00"/>
    <x v="354"/>
    <x v="0"/>
    <s v="Follow-up"/>
    <s v="Routine"/>
    <x v="1"/>
    <s v="Dermatology B"/>
    <s v="Royal South Hospital"/>
    <n v="30"/>
    <n v="32"/>
    <x v="1"/>
  </r>
  <r>
    <s v="APT02959"/>
    <d v="2025-10-04T00:00:00"/>
    <x v="28"/>
    <x v="0"/>
    <s v="Follow-up"/>
    <s v="Urgent"/>
    <x v="0"/>
    <s v="Dermatology B"/>
    <s v="Riverside Clinic"/>
    <n v="30"/>
    <n v="29"/>
    <x v="1"/>
  </r>
  <r>
    <s v="APT02960"/>
    <d v="2025-09-21T00:00:00"/>
    <x v="156"/>
    <x v="3"/>
    <s v="Follow-up"/>
    <s v="Routine"/>
    <x v="0"/>
    <s v="Neurology B"/>
    <s v="Royal South Hospital"/>
    <n v="15"/>
    <n v="3"/>
    <x v="2"/>
  </r>
  <r>
    <s v="APT02961"/>
    <d v="2026-03-02T00:00:00"/>
    <x v="27"/>
    <x v="3"/>
    <s v="Follow-up"/>
    <s v="Routine"/>
    <x v="0"/>
    <s v="Neurology B"/>
    <s v="Riverside Clinic"/>
    <n v="15"/>
    <n v="15"/>
    <x v="0"/>
  </r>
  <r>
    <s v="APT02962"/>
    <d v="2025-09-01T00:00:00"/>
    <x v="251"/>
    <x v="0"/>
    <s v="Follow-up"/>
    <s v="Routine"/>
    <x v="1"/>
    <s v="Dermatology A"/>
    <s v="Royal South Hospital"/>
    <n v="15"/>
    <n v="40"/>
    <x v="1"/>
  </r>
  <r>
    <s v="APT02963"/>
    <d v="2026-03-21T00:00:00"/>
    <x v="11"/>
    <x v="4"/>
    <s v="Follow-up"/>
    <s v="Routine"/>
    <x v="0"/>
    <s v="Orthopaedics A"/>
    <s v="Royal South Hospital"/>
    <n v="30"/>
    <n v="32"/>
    <x v="1"/>
  </r>
  <r>
    <s v="APT02964"/>
    <d v="2025-04-25T00:00:00"/>
    <x v="69"/>
    <x v="0"/>
    <s v="New"/>
    <s v="Routine"/>
    <x v="0"/>
    <s v="Dermatology A"/>
    <s v="Riverside Clinic"/>
    <n v="30"/>
    <n v="36"/>
    <x v="1"/>
  </r>
  <r>
    <s v="APT02965"/>
    <d v="2025-12-24T00:00:00"/>
    <x v="236"/>
    <x v="1"/>
    <s v="Follow-up"/>
    <s v="Routine"/>
    <x v="0"/>
    <s v="Cardiology A"/>
    <s v="Royal South Hospital"/>
    <n v="30"/>
    <n v="53"/>
    <x v="3"/>
  </r>
  <r>
    <s v="APT02966"/>
    <d v="2025-11-02T00:00:00"/>
    <x v="96"/>
    <x v="2"/>
    <s v="New"/>
    <s v="Routine"/>
    <x v="0"/>
    <s v="Gastro B"/>
    <s v="Royal South Hospital"/>
    <n v="30"/>
    <n v="13"/>
    <x v="2"/>
  </r>
  <r>
    <s v="APT02967"/>
    <d v="2025-06-27T00:00:00"/>
    <x v="145"/>
    <x v="1"/>
    <s v="Follow-up"/>
    <s v="Routine"/>
    <x v="1"/>
    <s v="Cardiology A"/>
    <s v="Central Outpatients"/>
    <n v="15"/>
    <n v="30"/>
    <x v="1"/>
  </r>
  <r>
    <s v="APT02968"/>
    <d v="2025-06-22T00:00:00"/>
    <x v="382"/>
    <x v="0"/>
    <s v="Follow-up"/>
    <s v="Routine"/>
    <x v="0"/>
    <s v="Dermatology B"/>
    <s v="Royal South Hospital"/>
    <n v="15"/>
    <n v="38"/>
    <x v="1"/>
  </r>
  <r>
    <s v="APT02969"/>
    <d v="2025-12-18T00:00:00"/>
    <x v="341"/>
    <x v="2"/>
    <s v="Follow-up"/>
    <s v="Routine"/>
    <x v="0"/>
    <s v="Gastro B"/>
    <s v="Royal South Hospital"/>
    <n v="15"/>
    <n v="22"/>
    <x v="0"/>
  </r>
  <r>
    <s v="APT02970"/>
    <d v="2025-11-19T00:00:00"/>
    <x v="177"/>
    <x v="0"/>
    <s v="Follow-up"/>
    <s v="Routine"/>
    <x v="0"/>
    <s v="Dermatology A"/>
    <s v="Royal South Hospital"/>
    <n v="15"/>
    <n v="60"/>
    <x v="4"/>
  </r>
  <r>
    <s v="APT02971"/>
    <d v="2025-11-09T00:00:00"/>
    <x v="334"/>
    <x v="1"/>
    <s v="New"/>
    <s v="Routine"/>
    <x v="0"/>
    <s v="Cardiology B"/>
    <s v="Central Outpatients"/>
    <n v="30"/>
    <n v="51"/>
    <x v="3"/>
  </r>
  <r>
    <s v="APT02972"/>
    <d v="2025-04-19T00:00:00"/>
    <x v="229"/>
    <x v="3"/>
    <s v="New"/>
    <s v="Routine"/>
    <x v="0"/>
    <s v="Neurology A"/>
    <s v="Riverside Clinic"/>
    <n v="30"/>
    <n v="40"/>
    <x v="1"/>
  </r>
  <r>
    <s v="APT02973"/>
    <d v="2025-11-04T00:00:00"/>
    <x v="205"/>
    <x v="2"/>
    <s v="New"/>
    <s v="Routine"/>
    <x v="0"/>
    <s v="Gastro B"/>
    <s v="Riverside Clinic"/>
    <n v="30"/>
    <n v="67"/>
    <x v="4"/>
  </r>
  <r>
    <s v="APT02974"/>
    <d v="2026-03-24T00:00:00"/>
    <x v="260"/>
    <x v="4"/>
    <s v="New"/>
    <s v="Routine"/>
    <x v="0"/>
    <s v="Orthopaedics B"/>
    <s v="Central Outpatients"/>
    <n v="30"/>
    <n v="8"/>
    <x v="2"/>
  </r>
  <r>
    <s v="APT02975"/>
    <d v="2025-04-07T00:00:00"/>
    <x v="9"/>
    <x v="2"/>
    <s v="Follow-up"/>
    <s v="Routine"/>
    <x v="2"/>
    <s v="Gastro B"/>
    <s v="Riverside Clinic"/>
    <n v="15"/>
    <n v="34"/>
    <x v="1"/>
  </r>
  <r>
    <s v="APT02976"/>
    <d v="2025-09-18T00:00:00"/>
    <x v="85"/>
    <x v="2"/>
    <s v="New"/>
    <s v="Routine"/>
    <x v="0"/>
    <s v="Gastro A"/>
    <s v="Central Outpatients"/>
    <n v="30"/>
    <n v="41"/>
    <x v="1"/>
  </r>
  <r>
    <s v="APT02977"/>
    <d v="2025-09-27T00:00:00"/>
    <x v="57"/>
    <x v="0"/>
    <s v="New"/>
    <s v="Urgent"/>
    <x v="0"/>
    <s v="Dermatology A"/>
    <s v="Riverside Clinic"/>
    <n v="30"/>
    <n v="18"/>
    <x v="0"/>
  </r>
  <r>
    <s v="APT02978"/>
    <d v="2026-02-21T00:00:00"/>
    <x v="320"/>
    <x v="4"/>
    <s v="Follow-up"/>
    <s v="Urgent"/>
    <x v="2"/>
    <s v="Orthopaedics B"/>
    <s v="Central Outpatients"/>
    <n v="15"/>
    <n v="40"/>
    <x v="1"/>
  </r>
  <r>
    <s v="APT02979"/>
    <d v="2025-07-12T00:00:00"/>
    <x v="145"/>
    <x v="1"/>
    <s v="New"/>
    <s v="Routine"/>
    <x v="0"/>
    <s v="Cardiology A"/>
    <s v="Riverside Clinic"/>
    <n v="45"/>
    <n v="15"/>
    <x v="0"/>
  </r>
  <r>
    <s v="APT02980"/>
    <d v="2025-09-21T00:00:00"/>
    <x v="300"/>
    <x v="0"/>
    <s v="New"/>
    <s v="Routine"/>
    <x v="0"/>
    <s v="Dermatology A"/>
    <s v="Royal South Hospital"/>
    <n v="30"/>
    <n v="47"/>
    <x v="3"/>
  </r>
  <r>
    <s v="APT02981"/>
    <d v="2025-12-18T00:00:00"/>
    <x v="195"/>
    <x v="4"/>
    <s v="Follow-up"/>
    <s v="Routine"/>
    <x v="0"/>
    <s v="Orthopaedics A"/>
    <s v="Royal South Hospital"/>
    <n v="30"/>
    <n v="54"/>
    <x v="3"/>
  </r>
  <r>
    <s v="APT02982"/>
    <d v="2025-04-22T00:00:00"/>
    <x v="69"/>
    <x v="3"/>
    <s v="New"/>
    <s v="Urgent"/>
    <x v="0"/>
    <s v="Neurology B"/>
    <s v="Royal South Hospital"/>
    <n v="45"/>
    <n v="39"/>
    <x v="1"/>
  </r>
  <r>
    <s v="APT02983"/>
    <d v="2026-01-17T00:00:00"/>
    <x v="310"/>
    <x v="3"/>
    <s v="New"/>
    <s v="Routine"/>
    <x v="1"/>
    <s v="Neurology B"/>
    <s v="Riverside Clinic"/>
    <n v="30"/>
    <n v="2"/>
    <x v="2"/>
  </r>
  <r>
    <s v="APT02984"/>
    <d v="2026-01-25T00:00:00"/>
    <x v="24"/>
    <x v="1"/>
    <s v="Follow-up"/>
    <s v="Routine"/>
    <x v="0"/>
    <s v="Cardiology B"/>
    <s v="Central Outpatients"/>
    <n v="30"/>
    <n v="17"/>
    <x v="0"/>
  </r>
  <r>
    <s v="APT02985"/>
    <d v="2025-12-18T00:00:00"/>
    <x v="53"/>
    <x v="1"/>
    <s v="New"/>
    <s v="Routine"/>
    <x v="2"/>
    <s v="Cardiology A"/>
    <s v="Riverside Clinic"/>
    <n v="30"/>
    <n v="45"/>
    <x v="3"/>
  </r>
  <r>
    <s v="APT02986"/>
    <d v="2025-11-22T00:00:00"/>
    <x v="166"/>
    <x v="2"/>
    <s v="New"/>
    <s v="Routine"/>
    <x v="0"/>
    <s v="Gastro B"/>
    <s v="Riverside Clinic"/>
    <n v="45"/>
    <n v="35"/>
    <x v="1"/>
  </r>
  <r>
    <s v="APT02987"/>
    <d v="2025-12-29T00:00:00"/>
    <x v="68"/>
    <x v="3"/>
    <s v="New"/>
    <s v="Routine"/>
    <x v="0"/>
    <s v="Neurology A"/>
    <s v="Riverside Clinic"/>
    <n v="30"/>
    <n v="2"/>
    <x v="2"/>
  </r>
  <r>
    <s v="APT02988"/>
    <d v="2026-01-10T00:00:00"/>
    <x v="377"/>
    <x v="2"/>
    <s v="New"/>
    <s v="Routine"/>
    <x v="0"/>
    <s v="Gastro B"/>
    <s v="Central Outpatients"/>
    <n v="30"/>
    <n v="57"/>
    <x v="4"/>
  </r>
  <r>
    <s v="APT02989"/>
    <d v="2026-02-23T00:00:00"/>
    <x v="260"/>
    <x v="1"/>
    <s v="Follow-up"/>
    <s v="Urgent"/>
    <x v="0"/>
    <s v="Cardiology B"/>
    <s v="Riverside Clinic"/>
    <n v="15"/>
    <n v="37"/>
    <x v="1"/>
  </r>
  <r>
    <s v="APT02990"/>
    <d v="2025-09-03T00:00:00"/>
    <x v="4"/>
    <x v="1"/>
    <s v="Follow-up"/>
    <s v="Urgent"/>
    <x v="0"/>
    <s v="Cardiology A"/>
    <s v="Royal South Hospital"/>
    <n v="15"/>
    <n v="20"/>
    <x v="0"/>
  </r>
  <r>
    <s v="APT02991"/>
    <d v="2025-09-14T00:00:00"/>
    <x v="191"/>
    <x v="2"/>
    <s v="New"/>
    <s v="Routine"/>
    <x v="0"/>
    <s v="Gastro B"/>
    <s v="Royal South Hospital"/>
    <n v="30"/>
    <n v="52"/>
    <x v="3"/>
  </r>
  <r>
    <s v="APT02992"/>
    <d v="2025-11-19T00:00:00"/>
    <x v="169"/>
    <x v="3"/>
    <s v="New"/>
    <s v="Routine"/>
    <x v="0"/>
    <s v="Neurology A"/>
    <s v="Royal South Hospital"/>
    <n v="45"/>
    <n v="22"/>
    <x v="0"/>
  </r>
  <r>
    <s v="APT02993"/>
    <d v="2025-06-10T00:00:00"/>
    <x v="279"/>
    <x v="1"/>
    <s v="Follow-up"/>
    <s v="Urgent"/>
    <x v="2"/>
    <s v="Cardiology B"/>
    <s v="Royal South Hospital"/>
    <n v="15"/>
    <n v="22"/>
    <x v="0"/>
  </r>
  <r>
    <s v="APT02994"/>
    <d v="2026-02-06T00:00:00"/>
    <x v="35"/>
    <x v="1"/>
    <s v="New"/>
    <s v="Routine"/>
    <x v="0"/>
    <s v="Cardiology B"/>
    <s v="Royal South Hospital"/>
    <n v="30"/>
    <n v="41"/>
    <x v="1"/>
  </r>
  <r>
    <s v="APT02995"/>
    <d v="2026-01-06T00:00:00"/>
    <x v="131"/>
    <x v="0"/>
    <s v="Follow-up"/>
    <s v="Urgent"/>
    <x v="0"/>
    <s v="Dermatology A"/>
    <s v="Royal South Hospital"/>
    <n v="15"/>
    <n v="67"/>
    <x v="4"/>
  </r>
  <r>
    <s v="APT02996"/>
    <d v="2025-11-16T00:00:00"/>
    <x v="310"/>
    <x v="1"/>
    <s v="New"/>
    <s v="Urgent"/>
    <x v="0"/>
    <s v="Cardiology A"/>
    <s v="Royal South Hospital"/>
    <n v="30"/>
    <n v="64"/>
    <x v="4"/>
  </r>
  <r>
    <s v="APT02997"/>
    <d v="2025-07-19T00:00:00"/>
    <x v="112"/>
    <x v="2"/>
    <s v="Follow-up"/>
    <s v="Routine"/>
    <x v="0"/>
    <s v="Gastro A"/>
    <s v="Royal South Hospital"/>
    <n v="15"/>
    <n v="41"/>
    <x v="1"/>
  </r>
  <r>
    <s v="APT02998"/>
    <d v="2025-08-05T00:00:00"/>
    <x v="73"/>
    <x v="1"/>
    <s v="New"/>
    <s v="Routine"/>
    <x v="0"/>
    <s v="Cardiology B"/>
    <s v="Central Outpatients"/>
    <n v="30"/>
    <n v="43"/>
    <x v="3"/>
  </r>
  <r>
    <s v="APT02999"/>
    <d v="2025-09-06T00:00:00"/>
    <x v="102"/>
    <x v="3"/>
    <s v="New"/>
    <s v="Routine"/>
    <x v="0"/>
    <s v="Neurology B"/>
    <s v="Royal South Hospital"/>
    <n v="30"/>
    <n v="49"/>
    <x v="3"/>
  </r>
  <r>
    <s v="APT03000"/>
    <d v="2025-11-28T00:00:00"/>
    <x v="257"/>
    <x v="4"/>
    <s v="Follow-up"/>
    <s v="Routine"/>
    <x v="0"/>
    <s v="Orthopaedics A"/>
    <s v="Central Outpatients"/>
    <n v="15"/>
    <n v="12"/>
    <x v="2"/>
  </r>
  <r>
    <s v="APT03001"/>
    <d v="2026-01-09T00:00:00"/>
    <x v="230"/>
    <x v="4"/>
    <s v="New"/>
    <s v="Routine"/>
    <x v="0"/>
    <s v="Orthopaedics B"/>
    <s v="Royal South Hospital"/>
    <n v="30"/>
    <n v="46"/>
    <x v="3"/>
  </r>
  <r>
    <s v="APT03002"/>
    <d v="2025-12-01T00:00:00"/>
    <x v="396"/>
    <x v="4"/>
    <s v="Follow-up"/>
    <s v="Routine"/>
    <x v="0"/>
    <s v="Orthopaedics B"/>
    <s v="Central Outpatients"/>
    <n v="15"/>
    <n v="21"/>
    <x v="0"/>
  </r>
  <r>
    <s v="APT03003"/>
    <d v="2026-03-05T00:00:00"/>
    <x v="275"/>
    <x v="0"/>
    <s v="Follow-up"/>
    <s v="Routine"/>
    <x v="0"/>
    <s v="Dermatology A"/>
    <s v="Riverside Clinic"/>
    <n v="30"/>
    <n v="40"/>
    <x v="1"/>
  </r>
  <r>
    <s v="APT03004"/>
    <d v="2026-03-16T00:00:00"/>
    <x v="114"/>
    <x v="1"/>
    <s v="Follow-up"/>
    <s v="Routine"/>
    <x v="0"/>
    <s v="Cardiology A"/>
    <s v="Central Outpatients"/>
    <n v="15"/>
    <n v="30"/>
    <x v="1"/>
  </r>
  <r>
    <s v="APT03005"/>
    <d v="2025-12-13T00:00:00"/>
    <x v="237"/>
    <x v="0"/>
    <s v="New"/>
    <s v="Routine"/>
    <x v="0"/>
    <s v="Dermatology B"/>
    <s v="Riverside Clinic"/>
    <n v="30"/>
    <n v="44"/>
    <x v="3"/>
  </r>
  <r>
    <s v="APT03006"/>
    <d v="2025-08-14T00:00:00"/>
    <x v="273"/>
    <x v="3"/>
    <s v="Follow-up"/>
    <s v="Routine"/>
    <x v="0"/>
    <s v="Neurology B"/>
    <s v="Riverside Clinic"/>
    <n v="15"/>
    <n v="37"/>
    <x v="1"/>
  </r>
  <r>
    <s v="APT03007"/>
    <d v="2025-11-05T00:00:00"/>
    <x v="300"/>
    <x v="1"/>
    <s v="New"/>
    <s v="Routine"/>
    <x v="2"/>
    <s v="Cardiology B"/>
    <s v="Royal South Hospital"/>
    <n v="30"/>
    <n v="2"/>
    <x v="2"/>
  </r>
  <r>
    <s v="APT03008"/>
    <d v="2025-09-02T00:00:00"/>
    <x v="370"/>
    <x v="0"/>
    <s v="Follow-up"/>
    <s v="Routine"/>
    <x v="0"/>
    <s v="Dermatology B"/>
    <s v="Royal South Hospital"/>
    <n v="15"/>
    <n v="38"/>
    <x v="1"/>
  </r>
  <r>
    <s v="APT03009"/>
    <d v="2025-11-15T00:00:00"/>
    <x v="68"/>
    <x v="0"/>
    <s v="Follow-up"/>
    <s v="Routine"/>
    <x v="0"/>
    <s v="Dermatology A"/>
    <s v="Riverside Clinic"/>
    <n v="15"/>
    <n v="46"/>
    <x v="3"/>
  </r>
  <r>
    <s v="APT03010"/>
    <d v="2026-01-21T00:00:00"/>
    <x v="327"/>
    <x v="1"/>
    <s v="Follow-up"/>
    <s v="Routine"/>
    <x v="0"/>
    <s v="Cardiology A"/>
    <s v="Royal South Hospital"/>
    <n v="30"/>
    <n v="43"/>
    <x v="3"/>
  </r>
  <r>
    <s v="APT03011"/>
    <d v="2025-08-13T00:00:00"/>
    <x v="93"/>
    <x v="3"/>
    <s v="Follow-up"/>
    <s v="Routine"/>
    <x v="0"/>
    <s v="Neurology A"/>
    <s v="Royal South Hospital"/>
    <n v="15"/>
    <n v="33"/>
    <x v="1"/>
  </r>
  <r>
    <s v="APT03012"/>
    <d v="2025-10-02T00:00:00"/>
    <x v="197"/>
    <x v="3"/>
    <s v="Follow-up"/>
    <s v="Routine"/>
    <x v="0"/>
    <s v="Neurology A"/>
    <s v="Central Outpatients"/>
    <n v="15"/>
    <n v="64"/>
    <x v="4"/>
  </r>
  <r>
    <s v="APT03013"/>
    <d v="2025-04-17T00:00:00"/>
    <x v="333"/>
    <x v="2"/>
    <s v="Follow-up"/>
    <s v="Urgent"/>
    <x v="0"/>
    <s v="Gastro A"/>
    <s v="Royal South Hospital"/>
    <n v="15"/>
    <n v="40"/>
    <x v="1"/>
  </r>
  <r>
    <s v="APT03014"/>
    <d v="2025-12-25T00:00:00"/>
    <x v="51"/>
    <x v="4"/>
    <s v="New"/>
    <s v="Routine"/>
    <x v="0"/>
    <s v="Orthopaedics B"/>
    <s v="Riverside Clinic"/>
    <n v="30"/>
    <n v="42"/>
    <x v="1"/>
  </r>
  <r>
    <s v="APT03015"/>
    <d v="2025-09-26T00:00:00"/>
    <x v="281"/>
    <x v="1"/>
    <s v="Follow-up"/>
    <s v="Routine"/>
    <x v="0"/>
    <s v="Cardiology A"/>
    <s v="Royal South Hospital"/>
    <n v="15"/>
    <n v="53"/>
    <x v="3"/>
  </r>
  <r>
    <s v="APT03016"/>
    <d v="2025-09-15T00:00:00"/>
    <x v="184"/>
    <x v="1"/>
    <s v="New"/>
    <s v="Urgent"/>
    <x v="0"/>
    <s v="Cardiology B"/>
    <s v="Royal South Hospital"/>
    <n v="30"/>
    <n v="41"/>
    <x v="1"/>
  </r>
  <r>
    <s v="APT03017"/>
    <d v="2025-10-11T00:00:00"/>
    <x v="85"/>
    <x v="0"/>
    <s v="New"/>
    <s v="Routine"/>
    <x v="0"/>
    <s v="Dermatology A"/>
    <s v="Royal South Hospital"/>
    <n v="30"/>
    <n v="18"/>
    <x v="0"/>
  </r>
  <r>
    <s v="APT03018"/>
    <d v="2025-06-18T00:00:00"/>
    <x v="326"/>
    <x v="3"/>
    <s v="Follow-up"/>
    <s v="Urgent"/>
    <x v="0"/>
    <s v="Neurology B"/>
    <s v="Royal South Hospital"/>
    <n v="15"/>
    <n v="2"/>
    <x v="2"/>
  </r>
  <r>
    <s v="APT03019"/>
    <d v="2025-11-04T00:00:00"/>
    <x v="179"/>
    <x v="2"/>
    <s v="New"/>
    <s v="Routine"/>
    <x v="2"/>
    <s v="Gastro B"/>
    <s v="Central Outpatients"/>
    <n v="30"/>
    <n v="26"/>
    <x v="0"/>
  </r>
  <r>
    <s v="APT03020"/>
    <d v="2025-12-28T00:00:00"/>
    <x v="299"/>
    <x v="1"/>
    <s v="Follow-up"/>
    <s v="Routine"/>
    <x v="0"/>
    <s v="Cardiology B"/>
    <s v="Central Outpatients"/>
    <n v="30"/>
    <n v="48"/>
    <x v="3"/>
  </r>
  <r>
    <s v="APT03021"/>
    <d v="2025-08-06T00:00:00"/>
    <x v="141"/>
    <x v="4"/>
    <s v="New"/>
    <s v="Routine"/>
    <x v="0"/>
    <s v="Orthopaedics B"/>
    <s v="Royal South Hospital"/>
    <n v="30"/>
    <n v="28"/>
    <x v="0"/>
  </r>
  <r>
    <s v="APT03022"/>
    <d v="2025-05-18T00:00:00"/>
    <x v="314"/>
    <x v="0"/>
    <s v="Follow-up"/>
    <s v="Routine"/>
    <x v="0"/>
    <s v="Dermatology B"/>
    <s v="Royal South Hospital"/>
    <n v="15"/>
    <n v="49"/>
    <x v="3"/>
  </r>
  <r>
    <s v="APT03023"/>
    <d v="2025-08-19T00:00:00"/>
    <x v="297"/>
    <x v="0"/>
    <s v="Follow-up"/>
    <s v="Urgent"/>
    <x v="0"/>
    <s v="Dermatology B"/>
    <s v="Central Outpatients"/>
    <n v="15"/>
    <n v="37"/>
    <x v="1"/>
  </r>
  <r>
    <s v="APT03024"/>
    <d v="2025-06-12T00:00:00"/>
    <x v="228"/>
    <x v="3"/>
    <s v="New"/>
    <s v="Routine"/>
    <x v="2"/>
    <s v="Neurology B"/>
    <s v="Royal South Hospital"/>
    <n v="45"/>
    <n v="58"/>
    <x v="4"/>
  </r>
  <r>
    <s v="APT03025"/>
    <d v="2025-08-15T00:00:00"/>
    <x v="180"/>
    <x v="4"/>
    <s v="Follow-up"/>
    <s v="Routine"/>
    <x v="0"/>
    <s v="Orthopaedics A"/>
    <s v="Royal South Hospital"/>
    <n v="15"/>
    <n v="29"/>
    <x v="1"/>
  </r>
  <r>
    <s v="APT03026"/>
    <d v="2025-11-15T00:00:00"/>
    <x v="128"/>
    <x v="3"/>
    <s v="Follow-up"/>
    <s v="Routine"/>
    <x v="0"/>
    <s v="Neurology B"/>
    <s v="Royal South Hospital"/>
    <n v="15"/>
    <n v="43"/>
    <x v="3"/>
  </r>
  <r>
    <s v="APT03027"/>
    <d v="2025-05-12T00:00:00"/>
    <x v="124"/>
    <x v="4"/>
    <s v="Follow-up"/>
    <s v="Urgent"/>
    <x v="0"/>
    <s v="Orthopaedics B"/>
    <s v="Central Outpatients"/>
    <n v="15"/>
    <n v="44"/>
    <x v="3"/>
  </r>
  <r>
    <s v="APT03028"/>
    <d v="2025-12-29T00:00:00"/>
    <x v="97"/>
    <x v="1"/>
    <s v="New"/>
    <s v="Routine"/>
    <x v="0"/>
    <s v="Cardiology B"/>
    <s v="Royal South Hospital"/>
    <n v="30"/>
    <n v="62"/>
    <x v="4"/>
  </r>
  <r>
    <s v="APT03029"/>
    <d v="2025-06-21T00:00:00"/>
    <x v="124"/>
    <x v="3"/>
    <s v="Follow-up"/>
    <s v="Routine"/>
    <x v="0"/>
    <s v="Neurology B"/>
    <s v="Royal South Hospital"/>
    <n v="30"/>
    <n v="4"/>
    <x v="2"/>
  </r>
  <r>
    <s v="APT03030"/>
    <d v="2026-02-20T00:00:00"/>
    <x v="148"/>
    <x v="4"/>
    <s v="Follow-up"/>
    <s v="Urgent"/>
    <x v="0"/>
    <s v="Orthopaedics A"/>
    <s v="Central Outpatients"/>
    <n v="15"/>
    <n v="26"/>
    <x v="0"/>
  </r>
  <r>
    <s v="APT03031"/>
    <d v="2025-12-23T00:00:00"/>
    <x v="24"/>
    <x v="2"/>
    <s v="Follow-up"/>
    <s v="Routine"/>
    <x v="0"/>
    <s v="Gastro A"/>
    <s v="Central Outpatients"/>
    <n v="15"/>
    <n v="50"/>
    <x v="3"/>
  </r>
  <r>
    <s v="APT03032"/>
    <d v="2025-07-09T00:00:00"/>
    <x v="329"/>
    <x v="0"/>
    <s v="New"/>
    <s v="Routine"/>
    <x v="0"/>
    <s v="Dermatology B"/>
    <s v="Riverside Clinic"/>
    <n v="30"/>
    <n v="62"/>
    <x v="4"/>
  </r>
  <r>
    <s v="APT03033"/>
    <d v="2025-10-23T00:00:00"/>
    <x v="38"/>
    <x v="4"/>
    <s v="New"/>
    <s v="Routine"/>
    <x v="1"/>
    <s v="Orthopaedics B"/>
    <s v="Riverside Clinic"/>
    <n v="45"/>
    <n v="39"/>
    <x v="1"/>
  </r>
  <r>
    <s v="APT03034"/>
    <d v="2025-05-11T00:00:00"/>
    <x v="82"/>
    <x v="1"/>
    <s v="Follow-up"/>
    <s v="Routine"/>
    <x v="0"/>
    <s v="Cardiology B"/>
    <s v="Central Outpatients"/>
    <n v="15"/>
    <n v="29"/>
    <x v="1"/>
  </r>
  <r>
    <s v="APT03035"/>
    <d v="2025-05-07T00:00:00"/>
    <x v="136"/>
    <x v="2"/>
    <s v="New"/>
    <s v="Routine"/>
    <x v="0"/>
    <s v="Gastro A"/>
    <s v="Riverside Clinic"/>
    <n v="30"/>
    <n v="48"/>
    <x v="3"/>
  </r>
  <r>
    <s v="APT03036"/>
    <d v="2026-03-15T00:00:00"/>
    <x v="315"/>
    <x v="4"/>
    <s v="Follow-up"/>
    <s v="Routine"/>
    <x v="0"/>
    <s v="Orthopaedics A"/>
    <s v="Central Outpatients"/>
    <n v="15"/>
    <n v="50"/>
    <x v="3"/>
  </r>
  <r>
    <s v="APT03037"/>
    <d v="2026-01-18T00:00:00"/>
    <x v="236"/>
    <x v="4"/>
    <s v="Follow-up"/>
    <s v="Urgent"/>
    <x v="0"/>
    <s v="Orthopaedics B"/>
    <s v="Royal South Hospital"/>
    <n v="30"/>
    <n v="28"/>
    <x v="0"/>
  </r>
  <r>
    <s v="APT03038"/>
    <d v="2025-05-27T00:00:00"/>
    <x v="314"/>
    <x v="4"/>
    <s v="Follow-up"/>
    <s v="Routine"/>
    <x v="0"/>
    <s v="Orthopaedics A"/>
    <s v="Royal South Hospital"/>
    <n v="15"/>
    <n v="40"/>
    <x v="1"/>
  </r>
  <r>
    <s v="APT03039"/>
    <d v="2025-07-12T00:00:00"/>
    <x v="215"/>
    <x v="4"/>
    <s v="New"/>
    <s v="Routine"/>
    <x v="0"/>
    <s v="Orthopaedics B"/>
    <s v="Central Outpatients"/>
    <n v="45"/>
    <n v="56"/>
    <x v="3"/>
  </r>
  <r>
    <s v="APT03040"/>
    <d v="2025-06-11T00:00:00"/>
    <x v="196"/>
    <x v="1"/>
    <s v="New"/>
    <s v="Routine"/>
    <x v="0"/>
    <s v="Cardiology B"/>
    <s v="Riverside Clinic"/>
    <n v="45"/>
    <n v="69"/>
    <x v="4"/>
  </r>
  <r>
    <s v="APT03041"/>
    <d v="2025-08-22T00:00:00"/>
    <x v="294"/>
    <x v="4"/>
    <s v="Follow-up"/>
    <s v="Routine"/>
    <x v="0"/>
    <s v="Orthopaedics A"/>
    <s v="Royal South Hospital"/>
    <n v="30"/>
    <n v="48"/>
    <x v="3"/>
  </r>
  <r>
    <s v="APT03042"/>
    <d v="2025-07-16T00:00:00"/>
    <x v="271"/>
    <x v="2"/>
    <s v="Follow-up"/>
    <s v="Routine"/>
    <x v="1"/>
    <s v="Gastro B"/>
    <s v="Riverside Clinic"/>
    <n v="15"/>
    <n v="35"/>
    <x v="1"/>
  </r>
  <r>
    <s v="APT03043"/>
    <d v="2025-07-29T00:00:00"/>
    <x v="282"/>
    <x v="3"/>
    <s v="Follow-up"/>
    <s v="Routine"/>
    <x v="0"/>
    <s v="Neurology B"/>
    <s v="Central Outpatients"/>
    <n v="15"/>
    <n v="34"/>
    <x v="1"/>
  </r>
  <r>
    <s v="APT03044"/>
    <d v="2025-10-10T00:00:00"/>
    <x v="71"/>
    <x v="0"/>
    <s v="Follow-up"/>
    <s v="Routine"/>
    <x v="0"/>
    <s v="Dermatology A"/>
    <s v="Royal South Hospital"/>
    <n v="15"/>
    <n v="45"/>
    <x v="3"/>
  </r>
  <r>
    <s v="APT03045"/>
    <d v="2025-06-08T00:00:00"/>
    <x v="47"/>
    <x v="4"/>
    <s v="Follow-up"/>
    <s v="Urgent"/>
    <x v="0"/>
    <s v="Orthopaedics B"/>
    <s v="Riverside Clinic"/>
    <n v="15"/>
    <n v="32"/>
    <x v="1"/>
  </r>
  <r>
    <s v="APT03046"/>
    <d v="2026-02-16T00:00:00"/>
    <x v="23"/>
    <x v="2"/>
    <s v="New"/>
    <s v="Routine"/>
    <x v="0"/>
    <s v="Gastro B"/>
    <s v="Royal South Hospital"/>
    <n v="30"/>
    <n v="38"/>
    <x v="1"/>
  </r>
  <r>
    <s v="APT03047"/>
    <d v="2025-12-21T00:00:00"/>
    <x v="79"/>
    <x v="4"/>
    <s v="Follow-up"/>
    <s v="Routine"/>
    <x v="1"/>
    <s v="Orthopaedics A"/>
    <s v="Riverside Clinic"/>
    <n v="15"/>
    <n v="15"/>
    <x v="0"/>
  </r>
  <r>
    <s v="APT03048"/>
    <d v="2026-01-02T00:00:00"/>
    <x v="97"/>
    <x v="1"/>
    <s v="New"/>
    <s v="Routine"/>
    <x v="0"/>
    <s v="Cardiology B"/>
    <s v="Central Outpatients"/>
    <n v="30"/>
    <n v="58"/>
    <x v="4"/>
  </r>
  <r>
    <s v="APT03049"/>
    <d v="2025-06-01T00:00:00"/>
    <x v="322"/>
    <x v="1"/>
    <s v="New"/>
    <s v="Routine"/>
    <x v="2"/>
    <s v="Cardiology B"/>
    <s v="Central Outpatients"/>
    <n v="45"/>
    <n v="14"/>
    <x v="2"/>
  </r>
  <r>
    <s v="APT03050"/>
    <d v="2025-12-14T00:00:00"/>
    <x v="205"/>
    <x v="2"/>
    <s v="New"/>
    <s v="Routine"/>
    <x v="1"/>
    <s v="Gastro A"/>
    <s v="Central Outpatients"/>
    <n v="30"/>
    <n v="27"/>
    <x v="0"/>
  </r>
  <r>
    <s v="APT03051"/>
    <d v="2026-01-30T00:00:00"/>
    <x v="36"/>
    <x v="1"/>
    <s v="New"/>
    <s v="Urgent"/>
    <x v="0"/>
    <s v="Cardiology A"/>
    <s v="Riverside Clinic"/>
    <n v="30"/>
    <n v="36"/>
    <x v="1"/>
  </r>
  <r>
    <s v="APT03052"/>
    <d v="2025-06-03T00:00:00"/>
    <x v="87"/>
    <x v="3"/>
    <s v="Follow-up"/>
    <s v="Routine"/>
    <x v="0"/>
    <s v="Neurology B"/>
    <s v="Royal South Hospital"/>
    <n v="15"/>
    <n v="70"/>
    <x v="4"/>
  </r>
  <r>
    <s v="APT03053"/>
    <d v="2025-12-30T00:00:00"/>
    <x v="237"/>
    <x v="0"/>
    <s v="New"/>
    <s v="Routine"/>
    <x v="0"/>
    <s v="Dermatology B"/>
    <s v="Riverside Clinic"/>
    <n v="30"/>
    <n v="27"/>
    <x v="0"/>
  </r>
  <r>
    <s v="APT03054"/>
    <d v="2025-08-09T00:00:00"/>
    <x v="282"/>
    <x v="2"/>
    <s v="New"/>
    <s v="Routine"/>
    <x v="0"/>
    <s v="Gastro A"/>
    <s v="Royal South Hospital"/>
    <n v="30"/>
    <n v="23"/>
    <x v="0"/>
  </r>
  <r>
    <s v="APT03055"/>
    <d v="2026-01-12T00:00:00"/>
    <x v="13"/>
    <x v="1"/>
    <s v="New"/>
    <s v="Routine"/>
    <x v="0"/>
    <s v="Cardiology A"/>
    <s v="Riverside Clinic"/>
    <n v="30"/>
    <n v="25"/>
    <x v="0"/>
  </r>
  <r>
    <s v="APT03056"/>
    <d v="2025-09-22T00:00:00"/>
    <x v="20"/>
    <x v="1"/>
    <s v="Follow-up"/>
    <s v="Routine"/>
    <x v="0"/>
    <s v="Cardiology B"/>
    <s v="Riverside Clinic"/>
    <n v="15"/>
    <n v="64"/>
    <x v="4"/>
  </r>
  <r>
    <s v="APT03057"/>
    <d v="2026-01-18T00:00:00"/>
    <x v="187"/>
    <x v="3"/>
    <s v="Follow-up"/>
    <s v="Routine"/>
    <x v="0"/>
    <s v="Neurology A"/>
    <s v="Riverside Clinic"/>
    <n v="30"/>
    <n v="2"/>
    <x v="2"/>
  </r>
  <r>
    <s v="APT03058"/>
    <d v="2025-05-24T00:00:00"/>
    <x v="82"/>
    <x v="0"/>
    <s v="Follow-up"/>
    <s v="Routine"/>
    <x v="0"/>
    <s v="Dermatology A"/>
    <s v="Royal South Hospital"/>
    <n v="15"/>
    <n v="16"/>
    <x v="0"/>
  </r>
  <r>
    <s v="APT03059"/>
    <d v="2025-08-20T00:00:00"/>
    <x v="134"/>
    <x v="1"/>
    <s v="Follow-up"/>
    <s v="Routine"/>
    <x v="0"/>
    <s v="Cardiology A"/>
    <s v="Royal South Hospital"/>
    <n v="15"/>
    <n v="84"/>
    <x v="4"/>
  </r>
  <r>
    <s v="APT03060"/>
    <d v="2025-07-09T00:00:00"/>
    <x v="372"/>
    <x v="0"/>
    <s v="Follow-up"/>
    <s v="Urgent"/>
    <x v="0"/>
    <s v="Dermatology B"/>
    <s v="Royal South Hospital"/>
    <n v="15"/>
    <n v="45"/>
    <x v="3"/>
  </r>
  <r>
    <s v="APT03061"/>
    <d v="2025-06-30T00:00:00"/>
    <x v="259"/>
    <x v="1"/>
    <s v="Follow-up"/>
    <s v="Routine"/>
    <x v="0"/>
    <s v="Cardiology B"/>
    <s v="Royal South Hospital"/>
    <n v="30"/>
    <n v="15"/>
    <x v="0"/>
  </r>
  <r>
    <s v="APT03062"/>
    <d v="2025-07-22T00:00:00"/>
    <x v="147"/>
    <x v="3"/>
    <s v="New"/>
    <s v="Routine"/>
    <x v="0"/>
    <s v="Neurology A"/>
    <s v="Royal South Hospital"/>
    <n v="45"/>
    <n v="34"/>
    <x v="1"/>
  </r>
  <r>
    <s v="APT03063"/>
    <d v="2025-08-18T00:00:00"/>
    <x v="4"/>
    <x v="1"/>
    <s v="New"/>
    <s v="Routine"/>
    <x v="2"/>
    <s v="Cardiology B"/>
    <s v="Royal South Hospital"/>
    <n v="30"/>
    <n v="36"/>
    <x v="1"/>
  </r>
  <r>
    <s v="APT03064"/>
    <d v="2025-05-17T00:00:00"/>
    <x v="314"/>
    <x v="0"/>
    <s v="New"/>
    <s v="Routine"/>
    <x v="0"/>
    <s v="Dermatology B"/>
    <s v="Central Outpatients"/>
    <n v="45"/>
    <n v="50"/>
    <x v="3"/>
  </r>
  <r>
    <s v="APT03065"/>
    <d v="2025-12-14T00:00:00"/>
    <x v="81"/>
    <x v="3"/>
    <s v="Follow-up"/>
    <s v="Routine"/>
    <x v="0"/>
    <s v="Neurology B"/>
    <s v="Royal South Hospital"/>
    <n v="15"/>
    <n v="68"/>
    <x v="4"/>
  </r>
  <r>
    <s v="APT03066"/>
    <d v="2025-10-18T00:00:00"/>
    <x v="99"/>
    <x v="2"/>
    <s v="New"/>
    <s v="Routine"/>
    <x v="0"/>
    <s v="Gastro B"/>
    <s v="Central Outpatients"/>
    <n v="30"/>
    <n v="41"/>
    <x v="1"/>
  </r>
  <r>
    <s v="APT03067"/>
    <d v="2026-01-27T00:00:00"/>
    <x v="261"/>
    <x v="2"/>
    <s v="New"/>
    <s v="Routine"/>
    <x v="0"/>
    <s v="Gastro A"/>
    <s v="Royal South Hospital"/>
    <n v="30"/>
    <n v="25"/>
    <x v="0"/>
  </r>
  <r>
    <s v="APT03068"/>
    <d v="2025-12-13T00:00:00"/>
    <x v="165"/>
    <x v="0"/>
    <s v="Follow-up"/>
    <s v="Routine"/>
    <x v="0"/>
    <s v="Dermatology A"/>
    <s v="Central Outpatients"/>
    <n v="15"/>
    <n v="49"/>
    <x v="3"/>
  </r>
  <r>
    <s v="APT03069"/>
    <d v="2025-05-25T00:00:00"/>
    <x v="226"/>
    <x v="4"/>
    <s v="New"/>
    <s v="Routine"/>
    <x v="0"/>
    <s v="Orthopaedics A"/>
    <s v="Riverside Clinic"/>
    <n v="30"/>
    <n v="22"/>
    <x v="0"/>
  </r>
  <r>
    <s v="APT03070"/>
    <d v="2025-04-26T00:00:00"/>
    <x v="407"/>
    <x v="2"/>
    <s v="New"/>
    <s v="Urgent"/>
    <x v="0"/>
    <s v="Gastro B"/>
    <s v="Central Outpatients"/>
    <n v="45"/>
    <n v="16"/>
    <x v="0"/>
  </r>
  <r>
    <s v="APT03071"/>
    <d v="2025-09-01T00:00:00"/>
    <x v="388"/>
    <x v="0"/>
    <s v="New"/>
    <s v="Urgent"/>
    <x v="0"/>
    <s v="Dermatology A"/>
    <s v="Central Outpatients"/>
    <n v="30"/>
    <n v="3"/>
    <x v="2"/>
  </r>
  <r>
    <s v="APT03072"/>
    <d v="2025-09-23T00:00:00"/>
    <x v="54"/>
    <x v="4"/>
    <s v="Follow-up"/>
    <s v="Urgent"/>
    <x v="0"/>
    <s v="Orthopaedics A"/>
    <s v="Riverside Clinic"/>
    <n v="15"/>
    <n v="6"/>
    <x v="2"/>
  </r>
  <r>
    <s v="APT03073"/>
    <d v="2025-06-27T00:00:00"/>
    <x v="259"/>
    <x v="3"/>
    <s v="New"/>
    <s v="Routine"/>
    <x v="0"/>
    <s v="Neurology B"/>
    <s v="Royal South Hospital"/>
    <n v="30"/>
    <n v="18"/>
    <x v="0"/>
  </r>
  <r>
    <s v="APT03074"/>
    <d v="2026-01-10T00:00:00"/>
    <x v="277"/>
    <x v="3"/>
    <s v="New"/>
    <s v="Routine"/>
    <x v="0"/>
    <s v="Neurology B"/>
    <s v="Riverside Clinic"/>
    <n v="30"/>
    <n v="13"/>
    <x v="2"/>
  </r>
  <r>
    <s v="APT03075"/>
    <d v="2025-10-29T00:00:00"/>
    <x v="78"/>
    <x v="4"/>
    <s v="New"/>
    <s v="Routine"/>
    <x v="0"/>
    <s v="Orthopaedics A"/>
    <s v="Royal South Hospital"/>
    <n v="30"/>
    <n v="40"/>
    <x v="1"/>
  </r>
  <r>
    <s v="APT03076"/>
    <d v="2025-12-29T00:00:00"/>
    <x v="50"/>
    <x v="1"/>
    <s v="Follow-up"/>
    <s v="Routine"/>
    <x v="0"/>
    <s v="Cardiology B"/>
    <s v="Central Outpatients"/>
    <n v="15"/>
    <n v="13"/>
    <x v="2"/>
  </r>
  <r>
    <s v="APT03077"/>
    <d v="2025-05-10T00:00:00"/>
    <x v="407"/>
    <x v="4"/>
    <s v="New"/>
    <s v="Urgent"/>
    <x v="0"/>
    <s v="Orthopaedics A"/>
    <s v="Central Outpatients"/>
    <n v="30"/>
    <n v="2"/>
    <x v="2"/>
  </r>
  <r>
    <s v="APT03078"/>
    <d v="2026-01-22T00:00:00"/>
    <x v="249"/>
    <x v="3"/>
    <s v="New"/>
    <s v="Routine"/>
    <x v="0"/>
    <s v="Neurology B"/>
    <s v="Royal South Hospital"/>
    <n v="30"/>
    <n v="16"/>
    <x v="0"/>
  </r>
  <r>
    <s v="APT03079"/>
    <d v="2025-06-15T00:00:00"/>
    <x v="209"/>
    <x v="0"/>
    <s v="Follow-up"/>
    <s v="Routine"/>
    <x v="2"/>
    <s v="Dermatology B"/>
    <s v="Riverside Clinic"/>
    <n v="30"/>
    <n v="26"/>
    <x v="0"/>
  </r>
  <r>
    <s v="APT03080"/>
    <d v="2025-09-11T00:00:00"/>
    <x v="29"/>
    <x v="0"/>
    <s v="Follow-up"/>
    <s v="Urgent"/>
    <x v="2"/>
    <s v="Dermatology B"/>
    <s v="Royal South Hospital"/>
    <n v="15"/>
    <n v="24"/>
    <x v="0"/>
  </r>
  <r>
    <s v="APT03081"/>
    <d v="2025-09-07T00:00:00"/>
    <x v="16"/>
    <x v="1"/>
    <s v="New"/>
    <s v="Routine"/>
    <x v="0"/>
    <s v="Cardiology B"/>
    <s v="Riverside Clinic"/>
    <n v="30"/>
    <n v="62"/>
    <x v="4"/>
  </r>
  <r>
    <s v="APT03082"/>
    <d v="2026-01-24T00:00:00"/>
    <x v="173"/>
    <x v="4"/>
    <s v="New"/>
    <s v="Routine"/>
    <x v="0"/>
    <s v="Orthopaedics B"/>
    <s v="Riverside Clinic"/>
    <n v="30"/>
    <n v="23"/>
    <x v="0"/>
  </r>
  <r>
    <s v="APT03083"/>
    <d v="2025-07-10T00:00:00"/>
    <x v="112"/>
    <x v="1"/>
    <s v="New"/>
    <s v="Routine"/>
    <x v="0"/>
    <s v="Cardiology A"/>
    <s v="Riverside Clinic"/>
    <n v="30"/>
    <n v="50"/>
    <x v="3"/>
  </r>
  <r>
    <s v="APT03084"/>
    <d v="2025-06-27T00:00:00"/>
    <x v="8"/>
    <x v="0"/>
    <s v="Follow-up"/>
    <s v="Routine"/>
    <x v="1"/>
    <s v="Dermatology A"/>
    <s v="Central Outpatients"/>
    <n v="15"/>
    <n v="34"/>
    <x v="1"/>
  </r>
  <r>
    <s v="APT03085"/>
    <d v="2025-08-02T00:00:00"/>
    <x v="125"/>
    <x v="3"/>
    <s v="New"/>
    <s v="Urgent"/>
    <x v="1"/>
    <s v="Neurology B"/>
    <s v="Royal South Hospital"/>
    <n v="30"/>
    <n v="34"/>
    <x v="1"/>
  </r>
  <r>
    <s v="APT03086"/>
    <d v="2025-08-10T00:00:00"/>
    <x v="112"/>
    <x v="3"/>
    <s v="Follow-up"/>
    <s v="Routine"/>
    <x v="0"/>
    <s v="Neurology A"/>
    <s v="Central Outpatients"/>
    <n v="30"/>
    <n v="19"/>
    <x v="0"/>
  </r>
  <r>
    <s v="APT03087"/>
    <d v="2025-06-06T00:00:00"/>
    <x v="17"/>
    <x v="1"/>
    <s v="Follow-up"/>
    <s v="Routine"/>
    <x v="0"/>
    <s v="Cardiology B"/>
    <s v="Riverside Clinic"/>
    <n v="15"/>
    <n v="33"/>
    <x v="1"/>
  </r>
  <r>
    <s v="APT03088"/>
    <d v="2025-06-04T00:00:00"/>
    <x v="124"/>
    <x v="4"/>
    <s v="Follow-up"/>
    <s v="Routine"/>
    <x v="0"/>
    <s v="Orthopaedics A"/>
    <s v="Royal South Hospital"/>
    <n v="15"/>
    <n v="21"/>
    <x v="0"/>
  </r>
  <r>
    <s v="APT03089"/>
    <d v="2025-06-24T00:00:00"/>
    <x v="208"/>
    <x v="2"/>
    <s v="New"/>
    <s v="Urgent"/>
    <x v="0"/>
    <s v="Gastro B"/>
    <s v="Royal South Hospital"/>
    <n v="30"/>
    <n v="38"/>
    <x v="1"/>
  </r>
  <r>
    <s v="APT03090"/>
    <d v="2025-09-18T00:00:00"/>
    <x v="316"/>
    <x v="4"/>
    <s v="Follow-up"/>
    <s v="Urgent"/>
    <x v="0"/>
    <s v="Orthopaedics A"/>
    <s v="Royal South Hospital"/>
    <n v="15"/>
    <n v="30"/>
    <x v="1"/>
  </r>
  <r>
    <s v="APT03091"/>
    <d v="2025-08-03T00:00:00"/>
    <x v="271"/>
    <x v="1"/>
    <s v="Follow-up"/>
    <s v="Urgent"/>
    <x v="0"/>
    <s v="Cardiology A"/>
    <s v="Riverside Clinic"/>
    <n v="15"/>
    <n v="17"/>
    <x v="0"/>
  </r>
  <r>
    <s v="APT03092"/>
    <d v="2025-08-21T00:00:00"/>
    <x v="227"/>
    <x v="1"/>
    <s v="Follow-up"/>
    <s v="Urgent"/>
    <x v="0"/>
    <s v="Cardiology B"/>
    <s v="Central Outpatients"/>
    <n v="15"/>
    <n v="52"/>
    <x v="3"/>
  </r>
  <r>
    <s v="APT03093"/>
    <d v="2025-12-18T00:00:00"/>
    <x v="270"/>
    <x v="3"/>
    <s v="New"/>
    <s v="Routine"/>
    <x v="0"/>
    <s v="Neurology A"/>
    <s v="Royal South Hospital"/>
    <n v="45"/>
    <n v="42"/>
    <x v="1"/>
  </r>
  <r>
    <s v="APT03094"/>
    <d v="2025-06-27T00:00:00"/>
    <x v="152"/>
    <x v="1"/>
    <s v="Follow-up"/>
    <s v="Routine"/>
    <x v="0"/>
    <s v="Cardiology A"/>
    <s v="Royal South Hospital"/>
    <n v="30"/>
    <n v="26"/>
    <x v="0"/>
  </r>
  <r>
    <s v="APT03095"/>
    <d v="2026-02-26T00:00:00"/>
    <x v="153"/>
    <x v="2"/>
    <s v="Follow-up"/>
    <s v="Urgent"/>
    <x v="0"/>
    <s v="Gastro A"/>
    <s v="Royal South Hospital"/>
    <n v="30"/>
    <n v="37"/>
    <x v="1"/>
  </r>
  <r>
    <s v="APT03096"/>
    <d v="2025-12-30T00:00:00"/>
    <x v="53"/>
    <x v="1"/>
    <s v="Follow-up"/>
    <s v="Routine"/>
    <x v="1"/>
    <s v="Cardiology B"/>
    <s v="Royal South Hospital"/>
    <n v="15"/>
    <n v="33"/>
    <x v="1"/>
  </r>
  <r>
    <s v="APT03097"/>
    <d v="2025-06-03T00:00:00"/>
    <x v="244"/>
    <x v="4"/>
    <s v="Follow-up"/>
    <s v="Routine"/>
    <x v="0"/>
    <s v="Orthopaedics A"/>
    <s v="Royal South Hospital"/>
    <n v="15"/>
    <n v="19"/>
    <x v="0"/>
  </r>
  <r>
    <s v="APT03098"/>
    <d v="2025-07-24T00:00:00"/>
    <x v="112"/>
    <x v="4"/>
    <s v="Follow-up"/>
    <s v="Routine"/>
    <x v="0"/>
    <s v="Orthopaedics A"/>
    <s v="Riverside Clinic"/>
    <n v="15"/>
    <n v="36"/>
    <x v="1"/>
  </r>
  <r>
    <s v="APT03099"/>
    <d v="2025-06-06T00:00:00"/>
    <x v="130"/>
    <x v="4"/>
    <s v="Follow-up"/>
    <s v="Routine"/>
    <x v="1"/>
    <s v="Orthopaedics A"/>
    <s v="Royal South Hospital"/>
    <n v="15"/>
    <n v="23"/>
    <x v="0"/>
  </r>
  <r>
    <s v="APT03100"/>
    <d v="2025-07-09T00:00:00"/>
    <x v="133"/>
    <x v="4"/>
    <s v="Follow-up"/>
    <s v="Routine"/>
    <x v="0"/>
    <s v="Orthopaedics A"/>
    <s v="Central Outpatients"/>
    <n v="15"/>
    <n v="17"/>
    <x v="0"/>
  </r>
  <r>
    <s v="APT03101"/>
    <d v="2025-08-12T00:00:00"/>
    <x v="41"/>
    <x v="4"/>
    <s v="Follow-up"/>
    <s v="Urgent"/>
    <x v="0"/>
    <s v="Orthopaedics B"/>
    <s v="Royal South Hospital"/>
    <n v="15"/>
    <n v="5"/>
    <x v="2"/>
  </r>
  <r>
    <s v="APT03102"/>
    <d v="2025-05-18T00:00:00"/>
    <x v="322"/>
    <x v="2"/>
    <s v="Follow-up"/>
    <s v="Routine"/>
    <x v="0"/>
    <s v="Gastro B"/>
    <s v="Riverside Clinic"/>
    <n v="30"/>
    <n v="28"/>
    <x v="0"/>
  </r>
  <r>
    <s v="APT03103"/>
    <d v="2025-04-06T00:00:00"/>
    <x v="284"/>
    <x v="0"/>
    <s v="New"/>
    <s v="Routine"/>
    <x v="0"/>
    <s v="Dermatology B"/>
    <s v="Royal South Hospital"/>
    <n v="30"/>
    <n v="45"/>
    <x v="3"/>
  </r>
  <r>
    <s v="APT03104"/>
    <d v="2025-09-07T00:00:00"/>
    <x v="54"/>
    <x v="4"/>
    <s v="New"/>
    <s v="Routine"/>
    <x v="2"/>
    <s v="Orthopaedics A"/>
    <s v="Royal South Hospital"/>
    <n v="30"/>
    <n v="22"/>
    <x v="0"/>
  </r>
  <r>
    <s v="APT03105"/>
    <d v="2025-12-12T00:00:00"/>
    <x v="5"/>
    <x v="4"/>
    <s v="Follow-up"/>
    <s v="Routine"/>
    <x v="0"/>
    <s v="Orthopaedics B"/>
    <s v="Royal South Hospital"/>
    <n v="15"/>
    <n v="80"/>
    <x v="4"/>
  </r>
  <r>
    <s v="APT03106"/>
    <d v="2025-07-20T00:00:00"/>
    <x v="139"/>
    <x v="4"/>
    <s v="Follow-up"/>
    <s v="Routine"/>
    <x v="0"/>
    <s v="Orthopaedics B"/>
    <s v="Riverside Clinic"/>
    <n v="15"/>
    <n v="50"/>
    <x v="3"/>
  </r>
  <r>
    <s v="APT03107"/>
    <d v="2026-02-08T00:00:00"/>
    <x v="109"/>
    <x v="4"/>
    <s v="New"/>
    <s v="Routine"/>
    <x v="0"/>
    <s v="Orthopaedics A"/>
    <s v="Central Outpatients"/>
    <n v="30"/>
    <n v="58"/>
    <x v="4"/>
  </r>
  <r>
    <s v="APT03108"/>
    <d v="2025-08-13T00:00:00"/>
    <x v="75"/>
    <x v="1"/>
    <s v="New"/>
    <s v="Routine"/>
    <x v="2"/>
    <s v="Cardiology B"/>
    <s v="Royal South Hospital"/>
    <n v="45"/>
    <n v="49"/>
    <x v="3"/>
  </r>
  <r>
    <s v="APT03109"/>
    <d v="2026-02-22T00:00:00"/>
    <x v="220"/>
    <x v="4"/>
    <s v="Follow-up"/>
    <s v="Routine"/>
    <x v="1"/>
    <s v="Orthopaedics B"/>
    <s v="Riverside Clinic"/>
    <n v="15"/>
    <n v="68"/>
    <x v="4"/>
  </r>
  <r>
    <s v="APT03110"/>
    <d v="2025-06-25T00:00:00"/>
    <x v="259"/>
    <x v="4"/>
    <s v="Follow-up"/>
    <s v="Routine"/>
    <x v="0"/>
    <s v="Orthopaedics B"/>
    <s v="Riverside Clinic"/>
    <n v="15"/>
    <n v="20"/>
    <x v="0"/>
  </r>
  <r>
    <s v="APT03111"/>
    <d v="2025-10-14T00:00:00"/>
    <x v="276"/>
    <x v="3"/>
    <s v="New"/>
    <s v="Routine"/>
    <x v="0"/>
    <s v="Neurology B"/>
    <s v="Royal South Hospital"/>
    <n v="30"/>
    <n v="2"/>
    <x v="2"/>
  </r>
  <r>
    <s v="APT03112"/>
    <d v="2026-01-03T00:00:00"/>
    <x v="270"/>
    <x v="4"/>
    <s v="New"/>
    <s v="Routine"/>
    <x v="0"/>
    <s v="Orthopaedics B"/>
    <s v="Central Outpatients"/>
    <n v="30"/>
    <n v="26"/>
    <x v="0"/>
  </r>
  <r>
    <s v="APT03113"/>
    <d v="2025-04-22T00:00:00"/>
    <x v="34"/>
    <x v="2"/>
    <s v="New"/>
    <s v="Routine"/>
    <x v="0"/>
    <s v="Gastro B"/>
    <s v="Royal South Hospital"/>
    <n v="45"/>
    <n v="45"/>
    <x v="3"/>
  </r>
  <r>
    <s v="APT03114"/>
    <d v="2026-03-05T00:00:00"/>
    <x v="219"/>
    <x v="4"/>
    <s v="New"/>
    <s v="Routine"/>
    <x v="0"/>
    <s v="Orthopaedics B"/>
    <s v="Central Outpatients"/>
    <n v="30"/>
    <n v="37"/>
    <x v="1"/>
  </r>
  <r>
    <s v="APT03115"/>
    <d v="2025-08-11T00:00:00"/>
    <x v="121"/>
    <x v="1"/>
    <s v="Follow-up"/>
    <s v="Routine"/>
    <x v="0"/>
    <s v="Cardiology A"/>
    <s v="Riverside Clinic"/>
    <n v="15"/>
    <n v="39"/>
    <x v="1"/>
  </r>
  <r>
    <s v="APT03116"/>
    <d v="2025-09-29T00:00:00"/>
    <x v="25"/>
    <x v="4"/>
    <s v="Follow-up"/>
    <s v="Urgent"/>
    <x v="0"/>
    <s v="Orthopaedics A"/>
    <s v="Royal South Hospital"/>
    <n v="30"/>
    <n v="58"/>
    <x v="4"/>
  </r>
  <r>
    <s v="APT03117"/>
    <d v="2025-11-15T00:00:00"/>
    <x v="14"/>
    <x v="1"/>
    <s v="Follow-up"/>
    <s v="Routine"/>
    <x v="2"/>
    <s v="Cardiology B"/>
    <s v="Riverside Clinic"/>
    <n v="15"/>
    <n v="41"/>
    <x v="1"/>
  </r>
  <r>
    <s v="APT03118"/>
    <d v="2025-11-21T00:00:00"/>
    <x v="341"/>
    <x v="0"/>
    <s v="Follow-up"/>
    <s v="Routine"/>
    <x v="0"/>
    <s v="Dermatology B"/>
    <s v="Royal South Hospital"/>
    <n v="15"/>
    <n v="49"/>
    <x v="3"/>
  </r>
  <r>
    <s v="APT03119"/>
    <d v="2025-04-09T00:00:00"/>
    <x v="346"/>
    <x v="1"/>
    <s v="New"/>
    <s v="Routine"/>
    <x v="0"/>
    <s v="Cardiology B"/>
    <s v="Riverside Clinic"/>
    <n v="30"/>
    <n v="18"/>
    <x v="0"/>
  </r>
  <r>
    <s v="APT03120"/>
    <d v="2026-02-10T00:00:00"/>
    <x v="40"/>
    <x v="2"/>
    <s v="New"/>
    <s v="Routine"/>
    <x v="2"/>
    <s v="Gastro A"/>
    <s v="Central Outpatients"/>
    <n v="45"/>
    <n v="15"/>
    <x v="0"/>
  </r>
  <r>
    <s v="APT03121"/>
    <d v="2025-11-13T00:00:00"/>
    <x v="7"/>
    <x v="0"/>
    <s v="New"/>
    <s v="Routine"/>
    <x v="0"/>
    <s v="Dermatology B"/>
    <s v="Riverside Clinic"/>
    <n v="30"/>
    <n v="64"/>
    <x v="4"/>
  </r>
  <r>
    <s v="APT03122"/>
    <d v="2026-03-30T00:00:00"/>
    <x v="387"/>
    <x v="4"/>
    <s v="New"/>
    <s v="Routine"/>
    <x v="0"/>
    <s v="Orthopaedics A"/>
    <s v="Royal South Hospital"/>
    <n v="45"/>
    <n v="36"/>
    <x v="1"/>
  </r>
  <r>
    <s v="APT03123"/>
    <d v="2025-09-19T00:00:00"/>
    <x v="227"/>
    <x v="2"/>
    <s v="Follow-up"/>
    <s v="Routine"/>
    <x v="0"/>
    <s v="Gastro B"/>
    <s v="Royal South Hospital"/>
    <n v="15"/>
    <n v="23"/>
    <x v="0"/>
  </r>
  <r>
    <s v="APT03124"/>
    <d v="2025-11-10T00:00:00"/>
    <x v="252"/>
    <x v="4"/>
    <s v="New"/>
    <s v="Routine"/>
    <x v="0"/>
    <s v="Orthopaedics B"/>
    <s v="Riverside Clinic"/>
    <n v="30"/>
    <n v="23"/>
    <x v="0"/>
  </r>
  <r>
    <s v="APT03125"/>
    <d v="2025-09-08T00:00:00"/>
    <x v="75"/>
    <x v="0"/>
    <s v="Follow-up"/>
    <s v="Urgent"/>
    <x v="0"/>
    <s v="Dermatology B"/>
    <s v="Riverside Clinic"/>
    <n v="15"/>
    <n v="23"/>
    <x v="0"/>
  </r>
  <r>
    <s v="APT03126"/>
    <d v="2026-02-18T00:00:00"/>
    <x v="163"/>
    <x v="1"/>
    <s v="New"/>
    <s v="Routine"/>
    <x v="0"/>
    <s v="Cardiology B"/>
    <s v="Riverside Clinic"/>
    <n v="45"/>
    <n v="22"/>
    <x v="0"/>
  </r>
  <r>
    <s v="APT03127"/>
    <d v="2026-01-28T00:00:00"/>
    <x v="203"/>
    <x v="4"/>
    <s v="New"/>
    <s v="Urgent"/>
    <x v="0"/>
    <s v="Orthopaedics B"/>
    <s v="Royal South Hospital"/>
    <n v="30"/>
    <n v="11"/>
    <x v="2"/>
  </r>
  <r>
    <s v="APT03128"/>
    <d v="2026-02-25T00:00:00"/>
    <x v="274"/>
    <x v="3"/>
    <s v="New"/>
    <s v="Urgent"/>
    <x v="0"/>
    <s v="Neurology B"/>
    <s v="Riverside Clinic"/>
    <n v="30"/>
    <n v="7"/>
    <x v="2"/>
  </r>
  <r>
    <s v="APT03129"/>
    <d v="2025-10-01T00:00:00"/>
    <x v="89"/>
    <x v="2"/>
    <s v="Follow-up"/>
    <s v="Routine"/>
    <x v="1"/>
    <s v="Gastro A"/>
    <s v="Riverside Clinic"/>
    <n v="15"/>
    <n v="31"/>
    <x v="1"/>
  </r>
  <r>
    <s v="APT03130"/>
    <d v="2026-01-14T00:00:00"/>
    <x v="249"/>
    <x v="4"/>
    <s v="Follow-up"/>
    <s v="Routine"/>
    <x v="0"/>
    <s v="Orthopaedics B"/>
    <s v="Riverside Clinic"/>
    <n v="30"/>
    <n v="24"/>
    <x v="0"/>
  </r>
  <r>
    <s v="APT03131"/>
    <d v="2025-08-09T00:00:00"/>
    <x v="363"/>
    <x v="4"/>
    <s v="Follow-up"/>
    <s v="Routine"/>
    <x v="0"/>
    <s v="Orthopaedics B"/>
    <s v="Royal South Hospital"/>
    <n v="15"/>
    <n v="54"/>
    <x v="3"/>
  </r>
  <r>
    <s v="APT03132"/>
    <d v="2025-09-15T00:00:00"/>
    <x v="102"/>
    <x v="2"/>
    <s v="New"/>
    <s v="Routine"/>
    <x v="0"/>
    <s v="Gastro B"/>
    <s v="Royal South Hospital"/>
    <n v="30"/>
    <n v="40"/>
    <x v="1"/>
  </r>
  <r>
    <s v="APT03133"/>
    <d v="2026-01-02T00:00:00"/>
    <x v="195"/>
    <x v="4"/>
    <s v="Follow-up"/>
    <s v="Routine"/>
    <x v="0"/>
    <s v="Orthopaedics A"/>
    <s v="Royal South Hospital"/>
    <n v="15"/>
    <n v="39"/>
    <x v="1"/>
  </r>
  <r>
    <s v="APT03134"/>
    <d v="2025-04-30T00:00:00"/>
    <x v="284"/>
    <x v="3"/>
    <s v="Follow-up"/>
    <s v="Routine"/>
    <x v="0"/>
    <s v="Neurology B"/>
    <s v="Central Outpatients"/>
    <n v="15"/>
    <n v="21"/>
    <x v="0"/>
  </r>
  <r>
    <s v="APT03135"/>
    <d v="2025-12-15T00:00:00"/>
    <x v="7"/>
    <x v="3"/>
    <s v="New"/>
    <s v="Routine"/>
    <x v="0"/>
    <s v="Neurology A"/>
    <s v="Central Outpatients"/>
    <n v="45"/>
    <n v="32"/>
    <x v="1"/>
  </r>
  <r>
    <s v="APT03136"/>
    <d v="2025-04-06T00:00:00"/>
    <x v="164"/>
    <x v="0"/>
    <s v="New"/>
    <s v="Routine"/>
    <x v="0"/>
    <s v="Dermatology A"/>
    <s v="Central Outpatients"/>
    <n v="30"/>
    <n v="41"/>
    <x v="1"/>
  </r>
  <r>
    <s v="APT03137"/>
    <d v="2025-10-29T00:00:00"/>
    <x v="2"/>
    <x v="1"/>
    <s v="New"/>
    <s v="Routine"/>
    <x v="0"/>
    <s v="Cardiology B"/>
    <s v="Royal South Hospital"/>
    <n v="45"/>
    <n v="47"/>
    <x v="3"/>
  </r>
  <r>
    <s v="APT03138"/>
    <d v="2025-09-21T00:00:00"/>
    <x v="44"/>
    <x v="0"/>
    <s v="New"/>
    <s v="Routine"/>
    <x v="0"/>
    <s v="Dermatology A"/>
    <s v="Riverside Clinic"/>
    <n v="45"/>
    <n v="33"/>
    <x v="1"/>
  </r>
  <r>
    <s v="APT03139"/>
    <d v="2025-09-18T00:00:00"/>
    <x v="59"/>
    <x v="4"/>
    <s v="Follow-up"/>
    <s v="Urgent"/>
    <x v="2"/>
    <s v="Orthopaedics A"/>
    <s v="Central Outpatients"/>
    <n v="15"/>
    <n v="54"/>
    <x v="3"/>
  </r>
  <r>
    <s v="APT03140"/>
    <d v="2025-09-27T00:00:00"/>
    <x v="89"/>
    <x v="3"/>
    <s v="New"/>
    <s v="Routine"/>
    <x v="0"/>
    <s v="Neurology B"/>
    <s v="Royal South Hospital"/>
    <n v="45"/>
    <n v="35"/>
    <x v="1"/>
  </r>
  <r>
    <s v="APT03141"/>
    <d v="2025-09-27T00:00:00"/>
    <x v="96"/>
    <x v="0"/>
    <s v="Follow-up"/>
    <s v="Routine"/>
    <x v="2"/>
    <s v="Dermatology B"/>
    <s v="Royal South Hospital"/>
    <n v="30"/>
    <n v="49"/>
    <x v="3"/>
  </r>
  <r>
    <s v="APT03142"/>
    <d v="2025-08-27T00:00:00"/>
    <x v="117"/>
    <x v="3"/>
    <s v="Follow-up"/>
    <s v="Routine"/>
    <x v="0"/>
    <s v="Neurology B"/>
    <s v="Royal South Hospital"/>
    <n v="30"/>
    <n v="26"/>
    <x v="0"/>
  </r>
  <r>
    <s v="APT03143"/>
    <d v="2025-09-12T00:00:00"/>
    <x v="21"/>
    <x v="1"/>
    <s v="New"/>
    <s v="Urgent"/>
    <x v="0"/>
    <s v="Cardiology A"/>
    <s v="Riverside Clinic"/>
    <n v="30"/>
    <n v="2"/>
    <x v="2"/>
  </r>
  <r>
    <s v="APT03144"/>
    <d v="2025-10-24T00:00:00"/>
    <x v="106"/>
    <x v="0"/>
    <s v="Follow-up"/>
    <s v="Routine"/>
    <x v="0"/>
    <s v="Dermatology A"/>
    <s v="Royal South Hospital"/>
    <n v="15"/>
    <n v="39"/>
    <x v="1"/>
  </r>
  <r>
    <s v="APT03145"/>
    <d v="2026-01-03T00:00:00"/>
    <x v="81"/>
    <x v="4"/>
    <s v="New"/>
    <s v="Routine"/>
    <x v="1"/>
    <s v="Orthopaedics A"/>
    <s v="Royal South Hospital"/>
    <n v="30"/>
    <n v="48"/>
    <x v="3"/>
  </r>
  <r>
    <s v="APT03146"/>
    <d v="2025-10-18T00:00:00"/>
    <x v="106"/>
    <x v="2"/>
    <s v="Follow-up"/>
    <s v="Urgent"/>
    <x v="0"/>
    <s v="Gastro A"/>
    <s v="Riverside Clinic"/>
    <n v="30"/>
    <n v="45"/>
    <x v="3"/>
  </r>
  <r>
    <s v="APT03147"/>
    <d v="2025-11-20T00:00:00"/>
    <x v="287"/>
    <x v="0"/>
    <s v="New"/>
    <s v="Routine"/>
    <x v="2"/>
    <s v="Dermatology A"/>
    <s v="Central Outpatients"/>
    <n v="30"/>
    <n v="42"/>
    <x v="1"/>
  </r>
  <r>
    <s v="APT03148"/>
    <d v="2026-01-30T00:00:00"/>
    <x v="123"/>
    <x v="2"/>
    <s v="New"/>
    <s v="Routine"/>
    <x v="0"/>
    <s v="Gastro A"/>
    <s v="Central Outpatients"/>
    <n v="30"/>
    <n v="28"/>
    <x v="0"/>
  </r>
  <r>
    <s v="APT03149"/>
    <d v="2026-03-27T00:00:00"/>
    <x v="52"/>
    <x v="0"/>
    <s v="New"/>
    <s v="Routine"/>
    <x v="0"/>
    <s v="Dermatology A"/>
    <s v="Riverside Clinic"/>
    <n v="30"/>
    <n v="20"/>
    <x v="0"/>
  </r>
  <r>
    <s v="APT03150"/>
    <d v="2025-05-10T00:00:00"/>
    <x v="225"/>
    <x v="3"/>
    <s v="Follow-up"/>
    <s v="Routine"/>
    <x v="2"/>
    <s v="Neurology B"/>
    <s v="Central Outpatients"/>
    <n v="30"/>
    <n v="44"/>
    <x v="3"/>
  </r>
  <r>
    <s v="APT03151"/>
    <d v="2025-12-16T00:00:00"/>
    <x v="104"/>
    <x v="4"/>
    <s v="Follow-up"/>
    <s v="Routine"/>
    <x v="2"/>
    <s v="Orthopaedics B"/>
    <s v="Riverside Clinic"/>
    <n v="15"/>
    <n v="42"/>
    <x v="1"/>
  </r>
  <r>
    <s v="APT03152"/>
    <d v="2025-06-21T00:00:00"/>
    <x v="259"/>
    <x v="2"/>
    <s v="Follow-up"/>
    <s v="Routine"/>
    <x v="1"/>
    <s v="Gastro A"/>
    <s v="Central Outpatients"/>
    <n v="15"/>
    <n v="24"/>
    <x v="0"/>
  </r>
  <r>
    <s v="APT03153"/>
    <d v="2025-06-11T00:00:00"/>
    <x v="311"/>
    <x v="2"/>
    <s v="New"/>
    <s v="Routine"/>
    <x v="0"/>
    <s v="Gastro B"/>
    <s v="Royal South Hospital"/>
    <n v="30"/>
    <n v="54"/>
    <x v="3"/>
  </r>
  <r>
    <s v="APT03154"/>
    <d v="2026-01-14T00:00:00"/>
    <x v="18"/>
    <x v="0"/>
    <s v="Follow-up"/>
    <s v="Routine"/>
    <x v="1"/>
    <s v="Dermatology A"/>
    <s v="Central Outpatients"/>
    <n v="30"/>
    <n v="19"/>
    <x v="0"/>
  </r>
  <r>
    <s v="APT03155"/>
    <d v="2025-04-26T00:00:00"/>
    <x v="269"/>
    <x v="2"/>
    <s v="New"/>
    <s v="Routine"/>
    <x v="0"/>
    <s v="Gastro B"/>
    <s v="Central Outpatients"/>
    <n v="30"/>
    <n v="24"/>
    <x v="0"/>
  </r>
  <r>
    <s v="APT03156"/>
    <d v="2026-02-03T00:00:00"/>
    <x v="295"/>
    <x v="0"/>
    <s v="Follow-up"/>
    <s v="Urgent"/>
    <x v="2"/>
    <s v="Dermatology A"/>
    <s v="Riverside Clinic"/>
    <n v="15"/>
    <n v="64"/>
    <x v="4"/>
  </r>
  <r>
    <s v="APT03157"/>
    <d v="2026-01-06T00:00:00"/>
    <x v="40"/>
    <x v="1"/>
    <s v="Follow-up"/>
    <s v="Routine"/>
    <x v="2"/>
    <s v="Cardiology B"/>
    <s v="Royal South Hospital"/>
    <n v="30"/>
    <n v="50"/>
    <x v="3"/>
  </r>
  <r>
    <s v="APT03158"/>
    <d v="2026-03-29T00:00:00"/>
    <x v="183"/>
    <x v="4"/>
    <s v="Follow-up"/>
    <s v="Routine"/>
    <x v="0"/>
    <s v="Orthopaedics A"/>
    <s v="Royal South Hospital"/>
    <n v="15"/>
    <n v="28"/>
    <x v="0"/>
  </r>
  <r>
    <s v="APT03159"/>
    <d v="2025-11-30T00:00:00"/>
    <x v="341"/>
    <x v="2"/>
    <s v="Follow-up"/>
    <s v="Routine"/>
    <x v="0"/>
    <s v="Gastro A"/>
    <s v="Royal South Hospital"/>
    <n v="15"/>
    <n v="40"/>
    <x v="1"/>
  </r>
  <r>
    <s v="APT03160"/>
    <d v="2026-02-12T00:00:00"/>
    <x v="243"/>
    <x v="2"/>
    <s v="Follow-up"/>
    <s v="Routine"/>
    <x v="0"/>
    <s v="Gastro B"/>
    <s v="Royal South Hospital"/>
    <n v="15"/>
    <n v="37"/>
    <x v="1"/>
  </r>
  <r>
    <s v="APT03161"/>
    <d v="2025-05-14T00:00:00"/>
    <x v="6"/>
    <x v="1"/>
    <s v="Follow-up"/>
    <s v="Routine"/>
    <x v="2"/>
    <s v="Cardiology B"/>
    <s v="Royal South Hospital"/>
    <n v="15"/>
    <n v="2"/>
    <x v="2"/>
  </r>
  <r>
    <s v="APT03162"/>
    <d v="2026-02-18T00:00:00"/>
    <x v="377"/>
    <x v="4"/>
    <s v="New"/>
    <s v="Routine"/>
    <x v="1"/>
    <s v="Orthopaedics B"/>
    <s v="Royal South Hospital"/>
    <n v="30"/>
    <n v="18"/>
    <x v="0"/>
  </r>
  <r>
    <s v="APT03163"/>
    <d v="2025-05-29T00:00:00"/>
    <x v="279"/>
    <x v="1"/>
    <s v="Follow-up"/>
    <s v="Routine"/>
    <x v="0"/>
    <s v="Cardiology B"/>
    <s v="Royal South Hospital"/>
    <n v="30"/>
    <n v="34"/>
    <x v="1"/>
  </r>
  <r>
    <s v="APT03164"/>
    <d v="2025-07-24T00:00:00"/>
    <x v="198"/>
    <x v="2"/>
    <s v="New"/>
    <s v="Routine"/>
    <x v="2"/>
    <s v="Gastro A"/>
    <s v="Central Outpatients"/>
    <n v="30"/>
    <n v="28"/>
    <x v="0"/>
  </r>
  <r>
    <s v="APT03165"/>
    <d v="2025-05-17T00:00:00"/>
    <x v="124"/>
    <x v="4"/>
    <s v="Follow-up"/>
    <s v="Routine"/>
    <x v="0"/>
    <s v="Orthopaedics B"/>
    <s v="Riverside Clinic"/>
    <n v="15"/>
    <n v="39"/>
    <x v="1"/>
  </r>
  <r>
    <s v="APT03166"/>
    <d v="2025-08-25T00:00:00"/>
    <x v="159"/>
    <x v="2"/>
    <s v="Follow-up"/>
    <s v="Routine"/>
    <x v="2"/>
    <s v="Gastro B"/>
    <s v="Central Outpatients"/>
    <n v="15"/>
    <n v="55"/>
    <x v="3"/>
  </r>
  <r>
    <s v="APT03167"/>
    <d v="2025-12-29T00:00:00"/>
    <x v="104"/>
    <x v="4"/>
    <s v="Follow-up"/>
    <s v="Routine"/>
    <x v="0"/>
    <s v="Orthopaedics B"/>
    <s v="Royal South Hospital"/>
    <n v="15"/>
    <n v="29"/>
    <x v="1"/>
  </r>
  <r>
    <s v="APT03168"/>
    <d v="2025-07-07T00:00:00"/>
    <x v="138"/>
    <x v="1"/>
    <s v="Follow-up"/>
    <s v="Routine"/>
    <x v="0"/>
    <s v="Cardiology B"/>
    <s v="Royal South Hospital"/>
    <n v="30"/>
    <n v="15"/>
    <x v="0"/>
  </r>
  <r>
    <s v="APT03169"/>
    <d v="2026-01-25T00:00:00"/>
    <x v="250"/>
    <x v="3"/>
    <s v="New"/>
    <s v="Routine"/>
    <x v="0"/>
    <s v="Neurology B"/>
    <s v="Royal South Hospital"/>
    <n v="30"/>
    <n v="40"/>
    <x v="1"/>
  </r>
  <r>
    <s v="APT03170"/>
    <d v="2025-11-07T00:00:00"/>
    <x v="207"/>
    <x v="4"/>
    <s v="Follow-up"/>
    <s v="Routine"/>
    <x v="0"/>
    <s v="Orthopaedics B"/>
    <s v="Central Outpatients"/>
    <n v="30"/>
    <n v="29"/>
    <x v="1"/>
  </r>
  <r>
    <s v="APT03171"/>
    <d v="2025-11-15T00:00:00"/>
    <x v="324"/>
    <x v="2"/>
    <s v="New"/>
    <s v="Routine"/>
    <x v="0"/>
    <s v="Gastro B"/>
    <s v="Royal South Hospital"/>
    <n v="30"/>
    <n v="32"/>
    <x v="1"/>
  </r>
  <r>
    <s v="APT03172"/>
    <d v="2026-03-08T00:00:00"/>
    <x v="253"/>
    <x v="3"/>
    <s v="Follow-up"/>
    <s v="Routine"/>
    <x v="1"/>
    <s v="Neurology A"/>
    <s v="Riverside Clinic"/>
    <n v="15"/>
    <n v="29"/>
    <x v="1"/>
  </r>
  <r>
    <s v="APT03173"/>
    <d v="2025-09-05T00:00:00"/>
    <x v="303"/>
    <x v="0"/>
    <s v="Follow-up"/>
    <s v="Routine"/>
    <x v="0"/>
    <s v="Dermatology A"/>
    <s v="Royal South Hospital"/>
    <n v="15"/>
    <n v="75"/>
    <x v="4"/>
  </r>
  <r>
    <s v="APT03174"/>
    <d v="2025-08-04T00:00:00"/>
    <x v="391"/>
    <x v="4"/>
    <s v="Follow-up"/>
    <s v="Urgent"/>
    <x v="0"/>
    <s v="Orthopaedics A"/>
    <s v="Royal South Hospital"/>
    <n v="30"/>
    <n v="2"/>
    <x v="2"/>
  </r>
  <r>
    <s v="APT03175"/>
    <d v="2026-03-29T00:00:00"/>
    <x v="183"/>
    <x v="4"/>
    <s v="New"/>
    <s v="Routine"/>
    <x v="0"/>
    <s v="Orthopaedics B"/>
    <s v="Royal South Hospital"/>
    <n v="30"/>
    <n v="28"/>
    <x v="0"/>
  </r>
  <r>
    <s v="APT03176"/>
    <d v="2025-10-20T00:00:00"/>
    <x v="264"/>
    <x v="3"/>
    <s v="New"/>
    <s v="Routine"/>
    <x v="1"/>
    <s v="Neurology B"/>
    <s v="Royal South Hospital"/>
    <n v="30"/>
    <n v="34"/>
    <x v="1"/>
  </r>
  <r>
    <s v="APT03177"/>
    <d v="2025-11-10T00:00:00"/>
    <x v="179"/>
    <x v="4"/>
    <s v="Follow-up"/>
    <s v="Routine"/>
    <x v="0"/>
    <s v="Orthopaedics A"/>
    <s v="Royal South Hospital"/>
    <n v="15"/>
    <n v="20"/>
    <x v="0"/>
  </r>
  <r>
    <s v="APT03178"/>
    <d v="2025-07-17T00:00:00"/>
    <x v="215"/>
    <x v="2"/>
    <s v="New"/>
    <s v="Routine"/>
    <x v="0"/>
    <s v="Gastro B"/>
    <s v="Central Outpatients"/>
    <n v="45"/>
    <n v="51"/>
    <x v="3"/>
  </r>
  <r>
    <s v="APT03179"/>
    <d v="2025-06-18T00:00:00"/>
    <x v="391"/>
    <x v="2"/>
    <s v="New"/>
    <s v="Routine"/>
    <x v="0"/>
    <s v="Gastro B"/>
    <s v="Royal South Hospital"/>
    <n v="30"/>
    <n v="49"/>
    <x v="3"/>
  </r>
  <r>
    <s v="APT03180"/>
    <d v="2025-06-01T00:00:00"/>
    <x v="158"/>
    <x v="0"/>
    <s v="New"/>
    <s v="Routine"/>
    <x v="0"/>
    <s v="Dermatology A"/>
    <s v="Royal South Hospital"/>
    <n v="30"/>
    <n v="34"/>
    <x v="1"/>
  </r>
  <r>
    <s v="APT03181"/>
    <d v="2025-06-21T00:00:00"/>
    <x v="280"/>
    <x v="3"/>
    <s v="Follow-up"/>
    <s v="Routine"/>
    <x v="0"/>
    <s v="Neurology A"/>
    <s v="Royal South Hospital"/>
    <n v="15"/>
    <n v="30"/>
    <x v="1"/>
  </r>
  <r>
    <s v="APT03182"/>
    <d v="2025-06-11T00:00:00"/>
    <x v="201"/>
    <x v="4"/>
    <s v="New"/>
    <s v="Routine"/>
    <x v="0"/>
    <s v="Orthopaedics B"/>
    <s v="Central Outpatients"/>
    <n v="45"/>
    <n v="32"/>
    <x v="1"/>
  </r>
  <r>
    <s v="APT03183"/>
    <d v="2025-12-28T00:00:00"/>
    <x v="213"/>
    <x v="3"/>
    <s v="Follow-up"/>
    <s v="Routine"/>
    <x v="0"/>
    <s v="Neurology B"/>
    <s v="Riverside Clinic"/>
    <n v="15"/>
    <n v="33"/>
    <x v="1"/>
  </r>
  <r>
    <s v="APT03184"/>
    <d v="2025-04-22T00:00:00"/>
    <x v="242"/>
    <x v="0"/>
    <s v="Follow-up"/>
    <s v="Routine"/>
    <x v="0"/>
    <s v="Dermatology A"/>
    <s v="Riverside Clinic"/>
    <n v="15"/>
    <n v="33"/>
    <x v="1"/>
  </r>
  <r>
    <s v="APT03185"/>
    <d v="2025-11-16T00:00:00"/>
    <x v="324"/>
    <x v="2"/>
    <s v="Follow-up"/>
    <s v="Routine"/>
    <x v="0"/>
    <s v="Gastro A"/>
    <s v="Riverside Clinic"/>
    <n v="15"/>
    <n v="31"/>
    <x v="1"/>
  </r>
  <r>
    <s v="APT03186"/>
    <d v="2026-03-12T00:00:00"/>
    <x v="348"/>
    <x v="4"/>
    <s v="New"/>
    <s v="Routine"/>
    <x v="0"/>
    <s v="Orthopaedics A"/>
    <s v="Central Outpatients"/>
    <n v="45"/>
    <n v="39"/>
    <x v="1"/>
  </r>
  <r>
    <s v="APT03187"/>
    <d v="2026-01-04T00:00:00"/>
    <x v="261"/>
    <x v="4"/>
    <s v="New"/>
    <s v="Routine"/>
    <x v="0"/>
    <s v="Orthopaedics B"/>
    <s v="Royal South Hospital"/>
    <n v="45"/>
    <n v="48"/>
    <x v="3"/>
  </r>
  <r>
    <s v="APT03188"/>
    <d v="2025-08-25T00:00:00"/>
    <x v="215"/>
    <x v="1"/>
    <s v="New"/>
    <s v="Routine"/>
    <x v="0"/>
    <s v="Cardiology A"/>
    <s v="Central Outpatients"/>
    <n v="30"/>
    <n v="12"/>
    <x v="2"/>
  </r>
  <r>
    <s v="APT03189"/>
    <d v="2025-04-22T00:00:00"/>
    <x v="358"/>
    <x v="1"/>
    <s v="Follow-up"/>
    <s v="Routine"/>
    <x v="0"/>
    <s v="Cardiology A"/>
    <s v="Central Outpatients"/>
    <n v="30"/>
    <n v="16"/>
    <x v="0"/>
  </r>
  <r>
    <s v="APT03190"/>
    <d v="2026-01-29T00:00:00"/>
    <x v="53"/>
    <x v="2"/>
    <s v="Follow-up"/>
    <s v="Routine"/>
    <x v="0"/>
    <s v="Gastro B"/>
    <s v="Royal South Hospital"/>
    <n v="15"/>
    <n v="3"/>
    <x v="2"/>
  </r>
  <r>
    <s v="APT03191"/>
    <d v="2025-04-02T00:00:00"/>
    <x v="210"/>
    <x v="1"/>
    <s v="New"/>
    <s v="Routine"/>
    <x v="0"/>
    <s v="Cardiology B"/>
    <s v="Royal South Hospital"/>
    <n v="45"/>
    <n v="50"/>
    <x v="3"/>
  </r>
  <r>
    <s v="APT03192"/>
    <d v="2025-12-05T00:00:00"/>
    <x v="366"/>
    <x v="4"/>
    <s v="New"/>
    <s v="Urgent"/>
    <x v="0"/>
    <s v="Orthopaedics A"/>
    <s v="Riverside Clinic"/>
    <n v="30"/>
    <n v="39"/>
    <x v="1"/>
  </r>
  <r>
    <s v="APT03193"/>
    <d v="2025-12-01T00:00:00"/>
    <x v="302"/>
    <x v="2"/>
    <s v="New"/>
    <s v="Routine"/>
    <x v="0"/>
    <s v="Gastro B"/>
    <s v="Royal South Hospital"/>
    <n v="30"/>
    <n v="44"/>
    <x v="3"/>
  </r>
  <r>
    <s v="APT03194"/>
    <d v="2025-06-09T00:00:00"/>
    <x v="176"/>
    <x v="2"/>
    <s v="New"/>
    <s v="Routine"/>
    <x v="0"/>
    <s v="Gastro A"/>
    <s v="Royal South Hospital"/>
    <n v="45"/>
    <n v="9"/>
    <x v="2"/>
  </r>
  <r>
    <s v="APT03195"/>
    <d v="2025-12-26T00:00:00"/>
    <x v="293"/>
    <x v="0"/>
    <s v="Follow-up"/>
    <s v="Routine"/>
    <x v="0"/>
    <s v="Dermatology B"/>
    <s v="Royal South Hospital"/>
    <n v="30"/>
    <n v="67"/>
    <x v="4"/>
  </r>
  <r>
    <s v="APT03196"/>
    <d v="2025-06-03T00:00:00"/>
    <x v="80"/>
    <x v="2"/>
    <s v="New"/>
    <s v="Routine"/>
    <x v="0"/>
    <s v="Gastro A"/>
    <s v="Royal South Hospital"/>
    <n v="45"/>
    <n v="24"/>
    <x v="0"/>
  </r>
  <r>
    <s v="APT03197"/>
    <d v="2025-06-22T00:00:00"/>
    <x v="382"/>
    <x v="4"/>
    <s v="New"/>
    <s v="Routine"/>
    <x v="0"/>
    <s v="Orthopaedics B"/>
    <s v="Riverside Clinic"/>
    <n v="30"/>
    <n v="38"/>
    <x v="1"/>
  </r>
  <r>
    <s v="APT03198"/>
    <d v="2026-01-21T00:00:00"/>
    <x v="163"/>
    <x v="2"/>
    <s v="New"/>
    <s v="Routine"/>
    <x v="0"/>
    <s v="Gastro A"/>
    <s v="Royal South Hospital"/>
    <n v="30"/>
    <n v="50"/>
    <x v="3"/>
  </r>
  <r>
    <s v="APT03199"/>
    <d v="2026-03-23T00:00:00"/>
    <x v="307"/>
    <x v="1"/>
    <s v="New"/>
    <s v="Routine"/>
    <x v="1"/>
    <s v="Cardiology B"/>
    <s v="Riverside Clinic"/>
    <n v="45"/>
    <n v="17"/>
    <x v="0"/>
  </r>
  <r>
    <s v="APT03200"/>
    <d v="2025-07-06T00:00:00"/>
    <x v="8"/>
    <x v="0"/>
    <s v="New"/>
    <s v="Urgent"/>
    <x v="0"/>
    <s v="Dermatology A"/>
    <s v="Royal South Hospital"/>
    <n v="30"/>
    <n v="2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n v="6"/>
    <n v="10"/>
    <n v="4"/>
    <n v="-4"/>
    <n v="0.4"/>
    <n v="0.16666666666666666"/>
    <n v="0.16666666666666666"/>
    <n v="16"/>
    <n v="0"/>
  </r>
  <r>
    <x v="0"/>
    <x v="1"/>
    <n v="6"/>
    <n v="10"/>
    <n v="3"/>
    <n v="-4"/>
    <n v="0.3"/>
    <n v="0"/>
    <n v="0.5"/>
    <n v="13.333333333333334"/>
    <n v="0"/>
  </r>
  <r>
    <x v="0"/>
    <x v="2"/>
    <n v="9"/>
    <n v="10"/>
    <n v="5"/>
    <n v="-1"/>
    <n v="0.5"/>
    <n v="0.22222222222222221"/>
    <n v="0.22222222222222221"/>
    <n v="13.222222222222221"/>
    <n v="0"/>
  </r>
  <r>
    <x v="0"/>
    <x v="3"/>
    <n v="6"/>
    <n v="10"/>
    <n v="4"/>
    <n v="-4"/>
    <n v="0.4"/>
    <n v="0.16666666666666666"/>
    <n v="0.16666666666666666"/>
    <n v="15.666666666666666"/>
    <n v="0"/>
  </r>
  <r>
    <x v="0"/>
    <x v="4"/>
    <n v="10"/>
    <n v="10"/>
    <n v="10"/>
    <n v="0"/>
    <n v="1"/>
    <n v="0"/>
    <n v="0"/>
    <n v="12.7"/>
    <n v="0"/>
  </r>
  <r>
    <x v="1"/>
    <x v="0"/>
    <n v="47"/>
    <n v="41"/>
    <n v="36"/>
    <n v="6"/>
    <n v="0.87804878048780488"/>
    <n v="6.3829787234042548E-2"/>
    <n v="0.1702127659574468"/>
    <n v="24.680851063829788"/>
    <n v="6"/>
  </r>
  <r>
    <x v="1"/>
    <x v="1"/>
    <n v="35"/>
    <n v="30"/>
    <n v="25"/>
    <n v="5"/>
    <n v="0.83333333333333337"/>
    <n v="0.11428571428571428"/>
    <n v="0.17142857142857143"/>
    <n v="31.714285714285715"/>
    <n v="5"/>
  </r>
  <r>
    <x v="1"/>
    <x v="2"/>
    <n v="39"/>
    <n v="30"/>
    <n v="31"/>
    <n v="9"/>
    <n v="1.0333333333333334"/>
    <n v="0.10256410256410256"/>
    <n v="0.10256410256410256"/>
    <n v="25.76923076923077"/>
    <n v="9"/>
  </r>
  <r>
    <x v="1"/>
    <x v="3"/>
    <n v="23"/>
    <n v="19"/>
    <n v="15"/>
    <n v="4"/>
    <n v="0.78947368421052633"/>
    <n v="0.17391304347826086"/>
    <n v="0.17391304347826086"/>
    <n v="30.956521739130434"/>
    <n v="4"/>
  </r>
  <r>
    <x v="1"/>
    <x v="4"/>
    <n v="57"/>
    <n v="40"/>
    <n v="44"/>
    <n v="17"/>
    <n v="1.1000000000000001"/>
    <n v="0.14035087719298245"/>
    <n v="8.771929824561403E-2"/>
    <n v="24.701754385964911"/>
    <n v="17"/>
  </r>
  <r>
    <x v="2"/>
    <x v="0"/>
    <n v="53"/>
    <n v="50"/>
    <n v="43"/>
    <n v="3"/>
    <n v="0.86"/>
    <n v="5.6603773584905662E-2"/>
    <n v="0.13207547169811321"/>
    <n v="31.547169811320753"/>
    <n v="9"/>
  </r>
  <r>
    <x v="2"/>
    <x v="1"/>
    <n v="39"/>
    <n v="32"/>
    <n v="29"/>
    <n v="7"/>
    <n v="0.90625"/>
    <n v="0.10256410256410256"/>
    <n v="0.15384615384615385"/>
    <n v="35.615384615384613"/>
    <n v="12"/>
  </r>
  <r>
    <x v="2"/>
    <x v="2"/>
    <n v="62"/>
    <n v="48"/>
    <n v="48"/>
    <n v="14"/>
    <n v="1"/>
    <n v="9.6774193548387094E-2"/>
    <n v="0.12903225806451613"/>
    <n v="32.903225806451616"/>
    <n v="23"/>
  </r>
  <r>
    <x v="2"/>
    <x v="3"/>
    <n v="47"/>
    <n v="46"/>
    <n v="38"/>
    <n v="1"/>
    <n v="0.82608695652173914"/>
    <n v="6.3829787234042548E-2"/>
    <n v="0.1276595744680851"/>
    <n v="32.893617021276597"/>
    <n v="5"/>
  </r>
  <r>
    <x v="2"/>
    <x v="4"/>
    <n v="62"/>
    <n v="37"/>
    <n v="45"/>
    <n v="25"/>
    <n v="1.2162162162162162"/>
    <n v="0.12903225806451613"/>
    <n v="0.14516129032258066"/>
    <n v="32.032258064516128"/>
    <n v="42"/>
  </r>
  <r>
    <x v="3"/>
    <x v="0"/>
    <n v="66"/>
    <n v="56"/>
    <n v="54"/>
    <n v="10"/>
    <n v="0.9642857142857143"/>
    <n v="6.0606060606060608E-2"/>
    <n v="0.12121212121212122"/>
    <n v="32.303030303030305"/>
    <n v="19"/>
  </r>
  <r>
    <x v="3"/>
    <x v="1"/>
    <n v="57"/>
    <n v="56"/>
    <n v="46"/>
    <n v="1"/>
    <n v="0.8214285714285714"/>
    <n v="0.10526315789473684"/>
    <n v="8.771929824561403E-2"/>
    <n v="36.736842105263158"/>
    <n v="13"/>
  </r>
  <r>
    <x v="3"/>
    <x v="2"/>
    <n v="50"/>
    <n v="41"/>
    <n v="36"/>
    <n v="9"/>
    <n v="0.87804878048780488"/>
    <n v="0.06"/>
    <n v="0.22"/>
    <n v="34.54"/>
    <n v="32"/>
  </r>
  <r>
    <x v="3"/>
    <x v="3"/>
    <n v="43"/>
    <n v="41"/>
    <n v="36"/>
    <n v="2"/>
    <n v="0.87804878048780488"/>
    <n v="4.6511627906976744E-2"/>
    <n v="0.11627906976744186"/>
    <n v="39.069767441860463"/>
    <n v="7"/>
  </r>
  <r>
    <x v="3"/>
    <x v="4"/>
    <n v="60"/>
    <n v="46"/>
    <n v="47"/>
    <n v="14"/>
    <n v="1.0217391304347827"/>
    <n v="0.1"/>
    <n v="0.11666666666666667"/>
    <n v="34.35"/>
    <n v="56"/>
  </r>
  <r>
    <x v="4"/>
    <x v="0"/>
    <n v="47"/>
    <n v="39"/>
    <n v="35"/>
    <n v="8"/>
    <n v="0.89743589743589747"/>
    <n v="0.1276595744680851"/>
    <n v="0.1276595744680851"/>
    <n v="32.361702127659576"/>
    <n v="27"/>
  </r>
  <r>
    <x v="4"/>
    <x v="1"/>
    <n v="46"/>
    <n v="47"/>
    <n v="41"/>
    <n v="-1"/>
    <n v="0.87234042553191493"/>
    <n v="0"/>
    <n v="0.10869565217391304"/>
    <n v="33.195652173913047"/>
    <n v="12"/>
  </r>
  <r>
    <x v="4"/>
    <x v="2"/>
    <n v="49"/>
    <n v="37"/>
    <n v="33"/>
    <n v="12"/>
    <n v="0.89189189189189189"/>
    <n v="0.10204081632653061"/>
    <n v="0.22448979591836735"/>
    <n v="38.142857142857146"/>
    <n v="44"/>
  </r>
  <r>
    <x v="4"/>
    <x v="3"/>
    <n v="45"/>
    <n v="42"/>
    <n v="36"/>
    <n v="3"/>
    <n v="0.8571428571428571"/>
    <n v="6.6666666666666666E-2"/>
    <n v="0.13333333333333333"/>
    <n v="35.955555555555556"/>
    <n v="10"/>
  </r>
  <r>
    <x v="4"/>
    <x v="4"/>
    <n v="62"/>
    <n v="53"/>
    <n v="53"/>
    <n v="9"/>
    <n v="1"/>
    <n v="4.8387096774193547E-2"/>
    <n v="9.6774193548387094E-2"/>
    <n v="33.37096774193548"/>
    <n v="65"/>
  </r>
  <r>
    <x v="5"/>
    <x v="0"/>
    <n v="60"/>
    <n v="49"/>
    <n v="42"/>
    <n v="11"/>
    <n v="0.8571428571428571"/>
    <n v="0.15"/>
    <n v="0.15"/>
    <n v="34.56666666666667"/>
    <n v="38"/>
  </r>
  <r>
    <x v="5"/>
    <x v="1"/>
    <n v="47"/>
    <n v="49"/>
    <n v="37"/>
    <n v="-2"/>
    <n v="0.75510204081632648"/>
    <n v="0.10638297872340426"/>
    <n v="0.10638297872340426"/>
    <n v="32.723404255319146"/>
    <n v="10"/>
  </r>
  <r>
    <x v="5"/>
    <x v="2"/>
    <n v="50"/>
    <n v="38"/>
    <n v="37"/>
    <n v="12"/>
    <n v="0.97368421052631582"/>
    <n v="0.12"/>
    <n v="0.14000000000000001"/>
    <n v="31.52"/>
    <n v="56"/>
  </r>
  <r>
    <x v="5"/>
    <x v="3"/>
    <n v="51"/>
    <n v="38"/>
    <n v="36"/>
    <n v="13"/>
    <n v="0.94736842105263153"/>
    <n v="0.15686274509803921"/>
    <n v="0.13725490196078433"/>
    <n v="38.627450980392155"/>
    <n v="23"/>
  </r>
  <r>
    <x v="5"/>
    <x v="4"/>
    <n v="72"/>
    <n v="60"/>
    <n v="55"/>
    <n v="12"/>
    <n v="0.91666666666666663"/>
    <n v="8.3333333333333329E-2"/>
    <n v="0.15277777777777779"/>
    <n v="32.986111111111114"/>
    <n v="77"/>
  </r>
  <r>
    <x v="6"/>
    <x v="0"/>
    <n v="62"/>
    <n v="51"/>
    <n v="47"/>
    <n v="11"/>
    <n v="0.92156862745098034"/>
    <n v="9.6774193548387094E-2"/>
    <n v="0.14516129032258066"/>
    <n v="33.048387096774192"/>
    <n v="49"/>
  </r>
  <r>
    <x v="6"/>
    <x v="1"/>
    <n v="50"/>
    <n v="52"/>
    <n v="39"/>
    <n v="-2"/>
    <n v="0.75"/>
    <n v="0.1"/>
    <n v="0.12"/>
    <n v="31.04"/>
    <n v="8"/>
  </r>
  <r>
    <x v="6"/>
    <x v="2"/>
    <n v="51"/>
    <n v="39"/>
    <n v="41"/>
    <n v="12"/>
    <n v="1.0512820512820513"/>
    <n v="7.8431372549019607E-2"/>
    <n v="0.11764705882352941"/>
    <n v="39.568627450980394"/>
    <n v="68"/>
  </r>
  <r>
    <x v="6"/>
    <x v="3"/>
    <n v="45"/>
    <n v="44"/>
    <n v="38"/>
    <n v="1"/>
    <n v="0.86363636363636365"/>
    <n v="8.8888888888888892E-2"/>
    <n v="6.6666666666666666E-2"/>
    <n v="35.866666666666667"/>
    <n v="24"/>
  </r>
  <r>
    <x v="6"/>
    <x v="4"/>
    <n v="66"/>
    <n v="51"/>
    <n v="52"/>
    <n v="15"/>
    <n v="1.0196078431372548"/>
    <n v="7.575757575757576E-2"/>
    <n v="0.13636363636363635"/>
    <n v="32.484848484848484"/>
    <n v="92"/>
  </r>
  <r>
    <x v="7"/>
    <x v="0"/>
    <n v="66"/>
    <n v="63"/>
    <n v="57"/>
    <n v="3"/>
    <n v="0.90476190476190477"/>
    <n v="6.0606060606060608E-2"/>
    <n v="7.575757575757576E-2"/>
    <n v="35.484848484848484"/>
    <n v="52"/>
  </r>
  <r>
    <x v="7"/>
    <x v="1"/>
    <n v="54"/>
    <n v="59"/>
    <n v="46"/>
    <n v="-5"/>
    <n v="0.77966101694915257"/>
    <n v="5.5555555555555552E-2"/>
    <n v="9.2592592592592587E-2"/>
    <n v="35.518518518518519"/>
    <n v="3"/>
  </r>
  <r>
    <x v="7"/>
    <x v="2"/>
    <n v="45"/>
    <n v="26"/>
    <n v="30"/>
    <n v="19"/>
    <n v="1.1538461538461537"/>
    <n v="0.13333333333333333"/>
    <n v="0.2"/>
    <n v="30.022222222222222"/>
    <n v="87"/>
  </r>
  <r>
    <x v="7"/>
    <x v="3"/>
    <n v="33"/>
    <n v="31"/>
    <n v="26"/>
    <n v="2"/>
    <n v="0.83870967741935487"/>
    <n v="0.15151515151515152"/>
    <n v="6.0606060606060608E-2"/>
    <n v="33.393939393939391"/>
    <n v="26"/>
  </r>
  <r>
    <x v="7"/>
    <x v="4"/>
    <n v="73"/>
    <n v="54"/>
    <n v="56"/>
    <n v="19"/>
    <n v="1.037037037037037"/>
    <n v="0.1095890410958904"/>
    <n v="0.12328767123287671"/>
    <n v="38.561643835616437"/>
    <n v="111"/>
  </r>
  <r>
    <x v="8"/>
    <x v="0"/>
    <n v="58"/>
    <n v="50"/>
    <n v="45"/>
    <n v="8"/>
    <n v="0.9"/>
    <n v="0.10344827586206896"/>
    <n v="0.1206896551724138"/>
    <n v="38.172413793103445"/>
    <n v="60"/>
  </r>
  <r>
    <x v="8"/>
    <x v="1"/>
    <n v="46"/>
    <n v="45"/>
    <n v="35"/>
    <n v="1"/>
    <n v="0.77777777777777779"/>
    <n v="0.19565217391304349"/>
    <n v="4.3478260869565216E-2"/>
    <n v="34.695652173913047"/>
    <n v="4"/>
  </r>
  <r>
    <x v="8"/>
    <x v="2"/>
    <n v="65"/>
    <n v="52"/>
    <n v="54"/>
    <n v="13"/>
    <n v="1.0384615384615385"/>
    <n v="4.6153846153846156E-2"/>
    <n v="0.12307692307692308"/>
    <n v="32.246153846153845"/>
    <n v="100"/>
  </r>
  <r>
    <x v="8"/>
    <x v="3"/>
    <n v="47"/>
    <n v="38"/>
    <n v="37"/>
    <n v="9"/>
    <n v="0.97368421052631582"/>
    <n v="0.10638297872340426"/>
    <n v="0.10638297872340426"/>
    <n v="36.170212765957444"/>
    <n v="35"/>
  </r>
  <r>
    <x v="8"/>
    <x v="4"/>
    <n v="51"/>
    <n v="37"/>
    <n v="40"/>
    <n v="14"/>
    <n v="1.0810810810810811"/>
    <n v="3.9215686274509803E-2"/>
    <n v="0.17647058823529413"/>
    <n v="32.235294117647058"/>
    <n v="125"/>
  </r>
  <r>
    <x v="9"/>
    <x v="0"/>
    <n v="52"/>
    <n v="50"/>
    <n v="44"/>
    <n v="2"/>
    <n v="0.88"/>
    <n v="0"/>
    <n v="0.15384615384615385"/>
    <n v="30.923076923076923"/>
    <n v="62"/>
  </r>
  <r>
    <x v="9"/>
    <x v="1"/>
    <n v="54"/>
    <n v="54"/>
    <n v="42"/>
    <n v="0"/>
    <n v="0.77777777777777779"/>
    <n v="9.2592592592592587E-2"/>
    <n v="0.12962962962962962"/>
    <n v="37.555555555555557"/>
    <n v="4"/>
  </r>
  <r>
    <x v="9"/>
    <x v="2"/>
    <n v="45"/>
    <n v="34"/>
    <n v="34"/>
    <n v="11"/>
    <n v="1"/>
    <n v="0.1111111111111111"/>
    <n v="0.13333333333333333"/>
    <n v="34.06666666666667"/>
    <n v="111"/>
  </r>
  <r>
    <x v="9"/>
    <x v="3"/>
    <n v="46"/>
    <n v="46"/>
    <n v="36"/>
    <n v="0"/>
    <n v="0.78260869565217395"/>
    <n v="8.6956521739130432E-2"/>
    <n v="0.13043478260869565"/>
    <n v="31.195652173913043"/>
    <n v="35"/>
  </r>
  <r>
    <x v="9"/>
    <x v="4"/>
    <n v="64"/>
    <n v="47"/>
    <n v="46"/>
    <n v="17"/>
    <n v="0.97872340425531912"/>
    <n v="0.1875"/>
    <n v="9.375E-2"/>
    <n v="33.625"/>
    <n v="142"/>
  </r>
  <r>
    <x v="10"/>
    <x v="0"/>
    <n v="50"/>
    <n v="41"/>
    <n v="40"/>
    <n v="9"/>
    <n v="0.97560975609756095"/>
    <n v="0.04"/>
    <n v="0.16"/>
    <n v="33.86"/>
    <n v="71"/>
  </r>
  <r>
    <x v="10"/>
    <x v="1"/>
    <n v="53"/>
    <n v="47"/>
    <n v="39"/>
    <n v="6"/>
    <n v="0.82978723404255317"/>
    <n v="0.11320754716981132"/>
    <n v="0.15094339622641509"/>
    <n v="34.452830188679243"/>
    <n v="10"/>
  </r>
  <r>
    <x v="10"/>
    <x v="2"/>
    <n v="45"/>
    <n v="39"/>
    <n v="35"/>
    <n v="6"/>
    <n v="0.89743589743589747"/>
    <n v="0.1111111111111111"/>
    <n v="0.1111111111111111"/>
    <n v="33.422222222222224"/>
    <n v="117"/>
  </r>
  <r>
    <x v="10"/>
    <x v="3"/>
    <n v="30"/>
    <n v="28"/>
    <n v="25"/>
    <n v="2"/>
    <n v="0.8928571428571429"/>
    <n v="3.3333333333333333E-2"/>
    <n v="0.13333333333333333"/>
    <n v="33.9"/>
    <n v="37"/>
  </r>
  <r>
    <x v="10"/>
    <x v="4"/>
    <n v="55"/>
    <n v="43"/>
    <n v="47"/>
    <n v="12"/>
    <n v="1.0930232558139534"/>
    <n v="7.2727272727272724E-2"/>
    <n v="7.2727272727272724E-2"/>
    <n v="37.072727272727271"/>
    <n v="154"/>
  </r>
  <r>
    <x v="11"/>
    <x v="0"/>
    <n v="65"/>
    <n v="58"/>
    <n v="47"/>
    <n v="7"/>
    <n v="0.81034482758620685"/>
    <n v="6.1538461538461542E-2"/>
    <n v="0.2153846153846154"/>
    <n v="36.95384615384615"/>
    <n v="78"/>
  </r>
  <r>
    <x v="11"/>
    <x v="1"/>
    <n v="49"/>
    <n v="48"/>
    <n v="40"/>
    <n v="1"/>
    <n v="0.83333333333333337"/>
    <n v="8.1632653061224483E-2"/>
    <n v="0.10204081632653061"/>
    <n v="36.224489795918366"/>
    <n v="11"/>
  </r>
  <r>
    <x v="11"/>
    <x v="2"/>
    <n v="57"/>
    <n v="47"/>
    <n v="48"/>
    <n v="10"/>
    <n v="1.0212765957446808"/>
    <n v="5.2631578947368418E-2"/>
    <n v="0.10526315789473684"/>
    <n v="32.719298245614034"/>
    <n v="127"/>
  </r>
  <r>
    <x v="11"/>
    <x v="3"/>
    <n v="37"/>
    <n v="33"/>
    <n v="27"/>
    <n v="4"/>
    <n v="0.81818181818181823"/>
    <n v="0.10810810810810811"/>
    <n v="0.16216216216216217"/>
    <n v="35.621621621621621"/>
    <n v="41"/>
  </r>
  <r>
    <x v="11"/>
    <x v="4"/>
    <n v="64"/>
    <n v="47"/>
    <n v="51"/>
    <n v="17"/>
    <n v="1.0851063829787233"/>
    <n v="7.8125E-2"/>
    <n v="0.125"/>
    <n v="33.3125"/>
    <n v="1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030334-8BC2-4EDB-9695-6B381E1EE3A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125:U139" firstHeaderRow="1" firstDataRow="2" firstDataCol="1"/>
  <pivotFields count="11">
    <pivotField axis="axisRow" numFmtId="17" showAll="0">
      <items count="13">
        <item x="0"/>
        <item x="1"/>
        <item x="2"/>
        <item x="3"/>
        <item x="4"/>
        <item x="5"/>
        <item x="6"/>
        <item x="7"/>
        <item x="8"/>
        <item x="9"/>
        <item x="10"/>
        <item x="11"/>
        <item t="default"/>
      </items>
    </pivotField>
    <pivotField axis="axisCol" showAll="0">
      <items count="6">
        <item x="0"/>
        <item x="1"/>
        <item x="2"/>
        <item x="3"/>
        <item x="4"/>
        <item t="default"/>
      </items>
    </pivotField>
    <pivotField showAll="0"/>
    <pivotField showAll="0"/>
    <pivotField showAll="0"/>
    <pivotField showAll="0"/>
    <pivotField numFmtId="10" showAll="0"/>
    <pivotField numFmtId="10" showAll="0"/>
    <pivotField numFmtId="10" showAll="0"/>
    <pivotField numFmtId="164" showAll="0"/>
    <pivotField dataField="1" showAll="0"/>
  </pivotFields>
  <rowFields count="1">
    <field x="0"/>
  </rowFields>
  <rowItems count="13">
    <i>
      <x/>
    </i>
    <i>
      <x v="1"/>
    </i>
    <i>
      <x v="2"/>
    </i>
    <i>
      <x v="3"/>
    </i>
    <i>
      <x v="4"/>
    </i>
    <i>
      <x v="5"/>
    </i>
    <i>
      <x v="6"/>
    </i>
    <i>
      <x v="7"/>
    </i>
    <i>
      <x v="8"/>
    </i>
    <i>
      <x v="9"/>
    </i>
    <i>
      <x v="10"/>
    </i>
    <i>
      <x v="11"/>
    </i>
    <i t="grand">
      <x/>
    </i>
  </rowItems>
  <colFields count="1">
    <field x="1"/>
  </colFields>
  <colItems count="6">
    <i>
      <x/>
    </i>
    <i>
      <x v="1"/>
    </i>
    <i>
      <x v="2"/>
    </i>
    <i>
      <x v="3"/>
    </i>
    <i>
      <x v="4"/>
    </i>
    <i t="grand">
      <x/>
    </i>
  </colItems>
  <dataFields count="1">
    <dataField name="Max of Closing Backlog" fld="10" subtotal="max"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3" format="10" series="1">
      <pivotArea type="data" outline="0" fieldPosition="0">
        <references count="2">
          <reference field="4294967294" count="1" selected="0">
            <x v="0"/>
          </reference>
          <reference field="1" count="1" selected="0">
            <x v="0"/>
          </reference>
        </references>
      </pivotArea>
    </chartFormat>
    <chartFormat chart="3" format="11"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2"/>
          </reference>
        </references>
      </pivotArea>
    </chartFormat>
    <chartFormat chart="3" format="13" series="1">
      <pivotArea type="data" outline="0" fieldPosition="0">
        <references count="2">
          <reference field="4294967294" count="1" selected="0">
            <x v="0"/>
          </reference>
          <reference field="1" count="1" selected="0">
            <x v="3"/>
          </reference>
        </references>
      </pivotArea>
    </chartFormat>
    <chartFormat chart="3"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FDF0DB-207E-4483-97AF-3E73BF0FBC1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9:E52" firstHeaderRow="0" firstDataRow="1" firstDataCol="1"/>
  <pivotFields count="11">
    <pivotField axis="axisRow" numFmtId="17" showAll="0">
      <items count="13">
        <item x="0"/>
        <item x="1"/>
        <item x="2"/>
        <item x="3"/>
        <item x="4"/>
        <item x="5"/>
        <item x="6"/>
        <item x="7"/>
        <item x="8"/>
        <item x="9"/>
        <item x="10"/>
        <item x="11"/>
        <item t="default"/>
      </items>
    </pivotField>
    <pivotField showAll="0">
      <items count="6">
        <item x="0"/>
        <item x="1"/>
        <item x="2"/>
        <item x="3"/>
        <item x="4"/>
        <item t="default"/>
      </items>
    </pivotField>
    <pivotField dataField="1" showAll="0"/>
    <pivotField dataField="1" showAll="0"/>
    <pivotField showAll="0"/>
    <pivotField showAll="0"/>
    <pivotField numFmtId="10" showAll="0"/>
    <pivotField numFmtId="10" showAll="0"/>
    <pivotField numFmtId="10" showAll="0"/>
    <pivotField numFmtId="164" showAll="0"/>
    <pivotField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Demand " fld="2" baseField="0" baseItem="1"/>
    <dataField name="Capacity " fld="3" baseField="0" baseItem="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FABAB0-D5B9-461A-8A97-4F513A0D0A1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J9" firstHeaderRow="0" firstDataRow="1" firstDataCol="1"/>
  <pivotFields count="11">
    <pivotField numFmtId="17" showAll="0">
      <items count="13">
        <item x="0"/>
        <item x="1"/>
        <item x="2"/>
        <item x="3"/>
        <item x="4"/>
        <item x="5"/>
        <item x="6"/>
        <item x="7"/>
        <item x="8"/>
        <item x="9"/>
        <item x="10"/>
        <item x="11"/>
        <item t="default"/>
      </items>
    </pivotField>
    <pivotField axis="axisRow" showAll="0">
      <items count="6">
        <item x="0"/>
        <item x="1"/>
        <item x="2"/>
        <item x="3"/>
        <item x="4"/>
        <item t="default"/>
      </items>
    </pivotField>
    <pivotField dataField="1" showAll="0"/>
    <pivotField dataField="1" showAll="0"/>
    <pivotField dataField="1" showAll="0"/>
    <pivotField showAll="0"/>
    <pivotField numFmtId="10" showAll="0"/>
    <pivotField numFmtId="10" showAll="0"/>
    <pivotField numFmtId="10" showAll="0"/>
    <pivotField numFmtId="164" showAll="0"/>
    <pivotField showAll="0"/>
  </pivotFields>
  <rowFields count="1">
    <field x="1"/>
  </rowFields>
  <rowItems count="6">
    <i>
      <x/>
    </i>
    <i>
      <x v="1"/>
    </i>
    <i>
      <x v="2"/>
    </i>
    <i>
      <x v="3"/>
    </i>
    <i>
      <x v="4"/>
    </i>
    <i t="grand">
      <x/>
    </i>
  </rowItems>
  <colFields count="1">
    <field x="-2"/>
  </colFields>
  <colItems count="3">
    <i>
      <x/>
    </i>
    <i i="1">
      <x v="1"/>
    </i>
    <i i="2">
      <x v="2"/>
    </i>
  </colItems>
  <dataFields count="3">
    <dataField name="Demand " fld="2" baseField="1" baseItem="0"/>
    <dataField name="Capacity " fld="3" baseField="1" baseItem="0"/>
    <dataField name="Activity " fld="4" baseField="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BB7FF6-E33D-4AC6-8E66-0A3D4B0627D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16:G123" firstHeaderRow="1" firstDataRow="2" firstDataCol="1" rowPageCount="1" colPageCount="1"/>
  <pivotFields count="14">
    <pivotField showAll="0"/>
    <pivotField numFmtId="14" showAll="0"/>
    <pivotField axis="axisPage" numFmtId="14" multipleItemSelectionAllowed="1" showAll="0">
      <items count="411">
        <item x="339"/>
        <item x="389"/>
        <item x="258"/>
        <item x="234"/>
        <item x="194"/>
        <item x="338"/>
        <item x="386"/>
        <item x="290"/>
        <item x="392"/>
        <item x="278"/>
        <item x="375"/>
        <item x="346"/>
        <item x="345"/>
        <item x="336"/>
        <item x="247"/>
        <item x="361"/>
        <item x="331"/>
        <item x="171"/>
        <item x="379"/>
        <item x="395"/>
        <item x="337"/>
        <item x="399"/>
        <item x="358"/>
        <item x="115"/>
        <item x="235"/>
        <item x="9"/>
        <item x="407"/>
        <item x="103"/>
        <item x="126"/>
        <item x="182"/>
        <item x="6"/>
        <item x="164"/>
        <item x="305"/>
        <item x="186"/>
        <item x="269"/>
        <item x="284"/>
        <item x="210"/>
        <item x="325"/>
        <item x="42"/>
        <item x="242"/>
        <item x="335"/>
        <item x="333"/>
        <item x="211"/>
        <item x="229"/>
        <item x="0"/>
        <item x="69"/>
        <item x="343"/>
        <item x="222"/>
        <item x="170"/>
        <item x="31"/>
        <item x="91"/>
        <item x="34"/>
        <item x="72"/>
        <item x="58"/>
        <item x="82"/>
        <item x="92"/>
        <item x="127"/>
        <item x="248"/>
        <item x="155"/>
        <item x="378"/>
        <item x="322"/>
        <item x="226"/>
        <item x="143"/>
        <item x="176"/>
        <item x="263"/>
        <item x="326"/>
        <item x="62"/>
        <item x="244"/>
        <item x="225"/>
        <item x="136"/>
        <item x="124"/>
        <item x="349"/>
        <item x="80"/>
        <item x="61"/>
        <item x="130"/>
        <item x="160"/>
        <item x="30"/>
        <item x="279"/>
        <item x="190"/>
        <item x="39"/>
        <item x="158"/>
        <item x="314"/>
        <item x="233"/>
        <item x="304"/>
        <item x="17"/>
        <item x="47"/>
        <item x="209"/>
        <item x="286"/>
        <item x="201"/>
        <item x="110"/>
        <item x="259"/>
        <item x="178"/>
        <item x="174"/>
        <item x="380"/>
        <item x="328"/>
        <item x="22"/>
        <item x="280"/>
        <item x="138"/>
        <item x="152"/>
        <item x="365"/>
        <item x="200"/>
        <item x="133"/>
        <item x="145"/>
        <item x="393"/>
        <item x="296"/>
        <item x="382"/>
        <item x="8"/>
        <item x="208"/>
        <item x="65"/>
        <item x="116"/>
        <item x="311"/>
        <item x="212"/>
        <item x="391"/>
        <item x="77"/>
        <item x="107"/>
        <item x="228"/>
        <item x="238"/>
        <item x="254"/>
        <item x="87"/>
        <item x="66"/>
        <item x="355"/>
        <item x="167"/>
        <item x="111"/>
        <item x="41"/>
        <item x="146"/>
        <item x="196"/>
        <item x="271"/>
        <item x="198"/>
        <item x="298"/>
        <item x="372"/>
        <item x="193"/>
        <item x="147"/>
        <item x="255"/>
        <item x="26"/>
        <item x="313"/>
        <item x="112"/>
        <item x="321"/>
        <item x="105"/>
        <item x="282"/>
        <item x="175"/>
        <item x="141"/>
        <item x="388"/>
        <item x="125"/>
        <item x="215"/>
        <item x="218"/>
        <item x="139"/>
        <item x="329"/>
        <item x="360"/>
        <item x="37"/>
        <item x="206"/>
        <item x="180"/>
        <item x="21"/>
        <item x="93"/>
        <item x="232"/>
        <item x="73"/>
        <item x="245"/>
        <item x="121"/>
        <item x="273"/>
        <item x="3"/>
        <item x="117"/>
        <item x="4"/>
        <item x="156"/>
        <item x="297"/>
        <item x="137"/>
        <item x="409"/>
        <item x="342"/>
        <item x="54"/>
        <item x="149"/>
        <item x="75"/>
        <item x="363"/>
        <item x="172"/>
        <item x="188"/>
        <item x="29"/>
        <item x="319"/>
        <item x="144"/>
        <item x="369"/>
        <item x="294"/>
        <item x="370"/>
        <item x="251"/>
        <item x="227"/>
        <item x="268"/>
        <item x="108"/>
        <item x="57"/>
        <item x="276"/>
        <item x="285"/>
        <item x="316"/>
        <item x="159"/>
        <item x="240"/>
        <item x="49"/>
        <item x="19"/>
        <item x="48"/>
        <item x="44"/>
        <item x="102"/>
        <item x="184"/>
        <item x="354"/>
        <item x="88"/>
        <item x="85"/>
        <item x="90"/>
        <item x="283"/>
        <item x="89"/>
        <item x="28"/>
        <item x="122"/>
        <item x="381"/>
        <item x="191"/>
        <item x="129"/>
        <item x="300"/>
        <item x="16"/>
        <item x="32"/>
        <item x="323"/>
        <item x="59"/>
        <item x="134"/>
        <item x="10"/>
        <item x="64"/>
        <item x="96"/>
        <item x="308"/>
        <item x="101"/>
        <item x="281"/>
        <item x="303"/>
        <item x="347"/>
        <item x="265"/>
        <item x="318"/>
        <item x="264"/>
        <item x="71"/>
        <item x="20"/>
        <item x="25"/>
        <item x="67"/>
        <item x="99"/>
        <item x="202"/>
        <item x="179"/>
        <item x="38"/>
        <item x="106"/>
        <item x="252"/>
        <item x="306"/>
        <item x="197"/>
        <item x="207"/>
        <item x="120"/>
        <item x="78"/>
        <item x="140"/>
        <item x="257"/>
        <item x="169"/>
        <item x="168"/>
        <item x="217"/>
        <item x="350"/>
        <item x="2"/>
        <item x="94"/>
        <item x="324"/>
        <item x="288"/>
        <item x="312"/>
        <item x="95"/>
        <item x="135"/>
        <item x="396"/>
        <item x="374"/>
        <item x="231"/>
        <item x="199"/>
        <item x="14"/>
        <item x="166"/>
        <item x="128"/>
        <item x="364"/>
        <item x="334"/>
        <item x="68"/>
        <item x="287"/>
        <item x="246"/>
        <item x="46"/>
        <item x="86"/>
        <item x="79"/>
        <item x="223"/>
        <item x="100"/>
        <item x="362"/>
        <item x="341"/>
        <item x="205"/>
        <item x="50"/>
        <item x="390"/>
        <item x="366"/>
        <item x="302"/>
        <item x="63"/>
        <item x="7"/>
        <item x="150"/>
        <item x="177"/>
        <item x="310"/>
        <item x="187"/>
        <item x="118"/>
        <item x="154"/>
        <item x="277"/>
        <item x="15"/>
        <item x="344"/>
        <item x="237"/>
        <item x="104"/>
        <item x="60"/>
        <item x="270"/>
        <item x="213"/>
        <item x="165"/>
        <item x="53"/>
        <item x="18"/>
        <item x="12"/>
        <item x="161"/>
        <item x="51"/>
        <item x="13"/>
        <item x="249"/>
        <item x="203"/>
        <item x="185"/>
        <item x="195"/>
        <item x="24"/>
        <item x="98"/>
        <item x="1"/>
        <item x="299"/>
        <item x="236"/>
        <item x="173"/>
        <item x="224"/>
        <item x="84"/>
        <item x="74"/>
        <item x="81"/>
        <item x="261"/>
        <item x="267"/>
        <item x="317"/>
        <item x="230"/>
        <item x="40"/>
        <item x="56"/>
        <item x="123"/>
        <item x="262"/>
        <item x="97"/>
        <item x="5"/>
        <item x="293"/>
        <item x="274"/>
        <item x="327"/>
        <item x="250"/>
        <item x="36"/>
        <item x="377"/>
        <item x="359"/>
        <item x="189"/>
        <item x="292"/>
        <item x="163"/>
        <item x="83"/>
        <item x="131"/>
        <item x="162"/>
        <item x="70"/>
        <item x="27"/>
        <item x="148"/>
        <item x="35"/>
        <item x="357"/>
        <item x="243"/>
        <item x="368"/>
        <item x="76"/>
        <item x="214"/>
        <item x="291"/>
        <item x="23"/>
        <item x="371"/>
        <item x="216"/>
        <item x="256"/>
        <item x="45"/>
        <item x="33"/>
        <item x="260"/>
        <item x="320"/>
        <item x="241"/>
        <item x="153"/>
        <item x="132"/>
        <item x="253"/>
        <item x="109"/>
        <item x="295"/>
        <item x="307"/>
        <item x="340"/>
        <item x="219"/>
        <item x="192"/>
        <item x="221"/>
        <item x="275"/>
        <item x="114"/>
        <item x="52"/>
        <item x="289"/>
        <item x="181"/>
        <item x="239"/>
        <item x="348"/>
        <item x="272"/>
        <item x="11"/>
        <item x="266"/>
        <item x="394"/>
        <item x="157"/>
        <item x="183"/>
        <item x="309"/>
        <item x="401"/>
        <item x="367"/>
        <item x="301"/>
        <item x="220"/>
        <item x="332"/>
        <item x="352"/>
        <item x="315"/>
        <item x="387"/>
        <item x="113"/>
        <item x="204"/>
        <item x="151"/>
        <item x="142"/>
        <item x="400"/>
        <item x="402"/>
        <item x="398"/>
        <item x="403"/>
        <item x="55"/>
        <item x="385"/>
        <item x="356"/>
        <item x="330"/>
        <item x="43"/>
        <item x="404"/>
        <item x="353"/>
        <item x="119"/>
        <item x="351"/>
        <item x="408"/>
        <item x="406"/>
        <item x="383"/>
        <item x="405"/>
        <item x="384"/>
        <item x="373"/>
        <item x="376"/>
        <item x="397"/>
        <item t="default"/>
      </items>
    </pivotField>
    <pivotField axis="axisRow" showAll="0">
      <items count="6">
        <item x="1"/>
        <item x="0"/>
        <item x="2"/>
        <item x="3"/>
        <item x="4"/>
        <item t="default"/>
      </items>
    </pivotField>
    <pivotField showAll="0"/>
    <pivotField showAll="0"/>
    <pivotField axis="axisCol" dataField="1" showAll="0">
      <items count="4">
        <item x="0"/>
        <item x="2"/>
        <item x="1"/>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Fields count="1">
    <field x="3"/>
  </rowFields>
  <rowItems count="6">
    <i>
      <x/>
    </i>
    <i>
      <x v="1"/>
    </i>
    <i>
      <x v="2"/>
    </i>
    <i>
      <x v="3"/>
    </i>
    <i>
      <x v="4"/>
    </i>
    <i t="grand">
      <x/>
    </i>
  </rowItems>
  <colFields count="1">
    <field x="6"/>
  </colFields>
  <colItems count="4">
    <i>
      <x/>
    </i>
    <i>
      <x v="1"/>
    </i>
    <i>
      <x v="2"/>
    </i>
    <i t="grand">
      <x/>
    </i>
  </colItems>
  <pageFields count="1">
    <pageField fld="2" hier="-1"/>
  </pageFields>
  <dataFields count="1">
    <dataField name="Count of Status" fld="6" subtotal="count" baseField="0" baseItem="0"/>
  </dataFields>
  <formats count="2">
    <format dxfId="3">
      <pivotArea dataOnly="0" labelOnly="1" grandCol="1" outline="0" fieldPosition="0"/>
    </format>
    <format dxfId="2">
      <pivotArea dataOnly="0" labelOnly="1" grandCol="1" outline="0" fieldPosition="0"/>
    </format>
  </formats>
  <pivotTableStyleInfo name="PivotStyleLight16" showRowHeaders="1" showColHeaders="1" showRowStripes="0" showColStripes="0" showLastColumn="1"/>
  <filters count="1">
    <filter fld="2" type="dateBetween" evalOrder="-1" id="8" name="Appointment_Date">
      <autoFilter ref="A1">
        <filterColumn colId="0">
          <customFilters and="1">
            <customFilter operator="greaterThanOrEqual" val="45748"/>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6C2964-5173-494F-A477-48F245BBC6CC}"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164:P170" firstHeaderRow="1" firstDataRow="1" firstDataCol="1"/>
  <pivotFields count="11">
    <pivotField numFmtId="17" showAll="0"/>
    <pivotField axis="axisRow" showAll="0">
      <items count="6">
        <item x="0"/>
        <item x="1"/>
        <item x="2"/>
        <item x="3"/>
        <item x="4"/>
        <item t="default"/>
      </items>
    </pivotField>
    <pivotField showAll="0"/>
    <pivotField showAll="0"/>
    <pivotField showAll="0"/>
    <pivotField showAll="0"/>
    <pivotField dataField="1" numFmtId="10" showAll="0"/>
    <pivotField numFmtId="10" showAll="0"/>
    <pivotField numFmtId="10" showAll="0"/>
    <pivotField numFmtId="164" showAll="0"/>
    <pivotField showAll="0"/>
  </pivotFields>
  <rowFields count="1">
    <field x="1"/>
  </rowFields>
  <rowItems count="6">
    <i>
      <x/>
    </i>
    <i>
      <x v="1"/>
    </i>
    <i>
      <x v="2"/>
    </i>
    <i>
      <x v="3"/>
    </i>
    <i>
      <x v="4"/>
    </i>
    <i t="grand">
      <x/>
    </i>
  </rowItems>
  <colItems count="1">
    <i/>
  </colItems>
  <dataFields count="1">
    <dataField name="Average of Utilisation %" fld="6" subtotal="average" baseField="1" baseItem="0" numFmtId="1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681F09-053A-4005-A8E1-C4581A4BEE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9" firstHeaderRow="1" firstDataRow="1" firstDataCol="1" rowPageCount="3" colPageCount="1"/>
  <pivotFields count="14">
    <pivotField dataField="1" showAll="0"/>
    <pivotField numFmtId="14" showAll="0"/>
    <pivotField numFmtId="14" showAll="0">
      <items count="411">
        <item x="339"/>
        <item x="389"/>
        <item x="258"/>
        <item x="234"/>
        <item x="194"/>
        <item x="338"/>
        <item x="386"/>
        <item x="290"/>
        <item x="392"/>
        <item x="278"/>
        <item x="375"/>
        <item x="346"/>
        <item x="345"/>
        <item x="336"/>
        <item x="247"/>
        <item x="361"/>
        <item x="331"/>
        <item x="171"/>
        <item x="379"/>
        <item x="395"/>
        <item x="337"/>
        <item x="399"/>
        <item x="358"/>
        <item x="115"/>
        <item x="235"/>
        <item x="9"/>
        <item x="407"/>
        <item x="103"/>
        <item x="126"/>
        <item x="182"/>
        <item x="6"/>
        <item x="164"/>
        <item x="305"/>
        <item x="186"/>
        <item x="269"/>
        <item x="284"/>
        <item x="210"/>
        <item x="325"/>
        <item x="42"/>
        <item x="242"/>
        <item x="335"/>
        <item x="333"/>
        <item x="211"/>
        <item x="229"/>
        <item x="0"/>
        <item x="69"/>
        <item x="343"/>
        <item x="222"/>
        <item x="170"/>
        <item x="31"/>
        <item x="91"/>
        <item x="34"/>
        <item x="72"/>
        <item x="58"/>
        <item x="82"/>
        <item x="92"/>
        <item x="127"/>
        <item x="248"/>
        <item x="155"/>
        <item x="378"/>
        <item x="322"/>
        <item x="226"/>
        <item x="143"/>
        <item x="176"/>
        <item x="263"/>
        <item x="326"/>
        <item x="62"/>
        <item x="244"/>
        <item x="225"/>
        <item x="136"/>
        <item x="124"/>
        <item x="349"/>
        <item x="80"/>
        <item x="61"/>
        <item x="130"/>
        <item x="160"/>
        <item x="30"/>
        <item x="279"/>
        <item x="190"/>
        <item x="39"/>
        <item x="158"/>
        <item x="314"/>
        <item x="233"/>
        <item x="304"/>
        <item x="17"/>
        <item x="47"/>
        <item x="209"/>
        <item x="286"/>
        <item x="201"/>
        <item x="110"/>
        <item x="259"/>
        <item x="178"/>
        <item x="174"/>
        <item x="380"/>
        <item x="328"/>
        <item x="22"/>
        <item x="280"/>
        <item x="138"/>
        <item x="152"/>
        <item x="365"/>
        <item x="200"/>
        <item x="133"/>
        <item x="145"/>
        <item x="393"/>
        <item x="296"/>
        <item x="382"/>
        <item x="8"/>
        <item x="208"/>
        <item x="65"/>
        <item x="116"/>
        <item x="311"/>
        <item x="212"/>
        <item x="391"/>
        <item x="77"/>
        <item x="107"/>
        <item x="228"/>
        <item x="238"/>
        <item x="254"/>
        <item x="87"/>
        <item x="66"/>
        <item x="355"/>
        <item x="167"/>
        <item x="111"/>
        <item x="41"/>
        <item x="146"/>
        <item x="196"/>
        <item x="271"/>
        <item x="198"/>
        <item x="298"/>
        <item x="372"/>
        <item x="193"/>
        <item x="147"/>
        <item x="255"/>
        <item x="26"/>
        <item x="313"/>
        <item x="112"/>
        <item x="321"/>
        <item x="105"/>
        <item x="282"/>
        <item x="175"/>
        <item x="141"/>
        <item x="388"/>
        <item x="125"/>
        <item x="215"/>
        <item x="218"/>
        <item x="139"/>
        <item x="329"/>
        <item x="360"/>
        <item x="37"/>
        <item x="206"/>
        <item x="180"/>
        <item x="21"/>
        <item x="93"/>
        <item x="232"/>
        <item x="73"/>
        <item x="245"/>
        <item x="121"/>
        <item x="273"/>
        <item x="3"/>
        <item x="117"/>
        <item x="4"/>
        <item x="156"/>
        <item x="297"/>
        <item x="137"/>
        <item x="409"/>
        <item x="342"/>
        <item x="54"/>
        <item x="149"/>
        <item x="75"/>
        <item x="363"/>
        <item x="172"/>
        <item x="188"/>
        <item x="29"/>
        <item x="319"/>
        <item x="144"/>
        <item x="369"/>
        <item x="294"/>
        <item x="370"/>
        <item x="251"/>
        <item x="227"/>
        <item x="268"/>
        <item x="108"/>
        <item x="57"/>
        <item x="276"/>
        <item x="285"/>
        <item x="316"/>
        <item x="159"/>
        <item x="240"/>
        <item x="49"/>
        <item x="19"/>
        <item x="48"/>
        <item x="44"/>
        <item x="102"/>
        <item x="184"/>
        <item x="354"/>
        <item x="88"/>
        <item x="85"/>
        <item x="90"/>
        <item x="283"/>
        <item x="89"/>
        <item x="28"/>
        <item x="122"/>
        <item x="381"/>
        <item x="191"/>
        <item x="129"/>
        <item x="300"/>
        <item x="16"/>
        <item x="32"/>
        <item x="323"/>
        <item x="59"/>
        <item x="134"/>
        <item x="10"/>
        <item x="64"/>
        <item x="96"/>
        <item x="308"/>
        <item x="101"/>
        <item x="281"/>
        <item x="303"/>
        <item x="347"/>
        <item x="265"/>
        <item x="318"/>
        <item x="264"/>
        <item x="71"/>
        <item x="20"/>
        <item x="25"/>
        <item x="67"/>
        <item x="99"/>
        <item x="202"/>
        <item x="179"/>
        <item x="38"/>
        <item x="106"/>
        <item x="252"/>
        <item x="306"/>
        <item x="197"/>
        <item x="207"/>
        <item x="120"/>
        <item x="78"/>
        <item x="140"/>
        <item x="257"/>
        <item x="169"/>
        <item x="168"/>
        <item x="217"/>
        <item x="350"/>
        <item x="2"/>
        <item x="94"/>
        <item x="324"/>
        <item x="288"/>
        <item x="312"/>
        <item x="95"/>
        <item x="135"/>
        <item x="396"/>
        <item x="374"/>
        <item x="231"/>
        <item x="199"/>
        <item x="14"/>
        <item x="166"/>
        <item x="128"/>
        <item x="364"/>
        <item x="334"/>
        <item x="68"/>
        <item x="287"/>
        <item x="246"/>
        <item x="46"/>
        <item x="86"/>
        <item x="79"/>
        <item x="223"/>
        <item x="100"/>
        <item x="362"/>
        <item x="341"/>
        <item x="205"/>
        <item x="50"/>
        <item x="390"/>
        <item x="366"/>
        <item x="302"/>
        <item x="63"/>
        <item x="7"/>
        <item x="150"/>
        <item x="177"/>
        <item x="310"/>
        <item x="187"/>
        <item x="118"/>
        <item x="154"/>
        <item x="277"/>
        <item x="15"/>
        <item x="344"/>
        <item x="237"/>
        <item x="104"/>
        <item x="60"/>
        <item x="270"/>
        <item x="213"/>
        <item x="165"/>
        <item x="53"/>
        <item x="18"/>
        <item x="12"/>
        <item x="161"/>
        <item x="51"/>
        <item x="13"/>
        <item x="249"/>
        <item x="203"/>
        <item x="185"/>
        <item x="195"/>
        <item x="24"/>
        <item x="98"/>
        <item x="1"/>
        <item x="299"/>
        <item x="236"/>
        <item x="173"/>
        <item x="224"/>
        <item x="84"/>
        <item x="74"/>
        <item x="81"/>
        <item x="261"/>
        <item x="267"/>
        <item x="317"/>
        <item x="230"/>
        <item x="40"/>
        <item x="56"/>
        <item x="123"/>
        <item x="262"/>
        <item x="97"/>
        <item x="5"/>
        <item x="293"/>
        <item x="274"/>
        <item x="327"/>
        <item x="250"/>
        <item x="36"/>
        <item x="377"/>
        <item x="359"/>
        <item x="189"/>
        <item x="292"/>
        <item x="163"/>
        <item x="83"/>
        <item x="131"/>
        <item x="162"/>
        <item x="70"/>
        <item x="27"/>
        <item x="148"/>
        <item x="35"/>
        <item x="357"/>
        <item x="243"/>
        <item x="368"/>
        <item x="76"/>
        <item x="214"/>
        <item x="291"/>
        <item x="23"/>
        <item x="371"/>
        <item x="216"/>
        <item x="256"/>
        <item x="45"/>
        <item x="33"/>
        <item x="260"/>
        <item x="320"/>
        <item x="241"/>
        <item x="153"/>
        <item x="132"/>
        <item x="253"/>
        <item x="109"/>
        <item x="295"/>
        <item x="307"/>
        <item x="340"/>
        <item x="219"/>
        <item x="192"/>
        <item x="221"/>
        <item x="275"/>
        <item x="114"/>
        <item x="52"/>
        <item x="289"/>
        <item x="181"/>
        <item x="239"/>
        <item x="348"/>
        <item x="272"/>
        <item x="11"/>
        <item x="266"/>
        <item x="394"/>
        <item x="157"/>
        <item x="183"/>
        <item x="309"/>
        <item x="401"/>
        <item x="367"/>
        <item x="301"/>
        <item x="220"/>
        <item x="332"/>
        <item x="352"/>
        <item x="315"/>
        <item x="387"/>
        <item x="113"/>
        <item x="204"/>
        <item x="151"/>
        <item x="142"/>
        <item x="400"/>
        <item x="402"/>
        <item x="398"/>
        <item x="403"/>
        <item x="55"/>
        <item x="385"/>
        <item x="356"/>
        <item x="330"/>
        <item x="43"/>
        <item x="404"/>
        <item x="353"/>
        <item x="119"/>
        <item x="351"/>
        <item x="408"/>
        <item x="406"/>
        <item x="383"/>
        <item x="405"/>
        <item x="384"/>
        <item x="373"/>
        <item x="376"/>
        <item x="397"/>
        <item t="default"/>
      </items>
    </pivotField>
    <pivotField axis="axisPage" showAll="0">
      <items count="6">
        <item x="1"/>
        <item x="0"/>
        <item x="2"/>
        <item x="3"/>
        <item x="4"/>
        <item t="default"/>
      </items>
    </pivotField>
    <pivotField showAll="0"/>
    <pivotField showAll="0"/>
    <pivotField axis="axisRow" showAll="0">
      <items count="4">
        <item x="0"/>
        <item x="2"/>
        <item x="1"/>
        <item t="default"/>
      </items>
    </pivotField>
    <pivotField showAll="0"/>
    <pivotField showAll="0"/>
    <pivotField showAll="0"/>
    <pivotField showAll="0"/>
    <pivotField showAll="0"/>
    <pivotField axis="axisPage" showAll="0">
      <items count="15">
        <item x="0"/>
        <item x="1"/>
        <item x="2"/>
        <item x="3"/>
        <item x="4"/>
        <item x="5"/>
        <item x="6"/>
        <item x="7"/>
        <item x="8"/>
        <item x="9"/>
        <item x="10"/>
        <item x="11"/>
        <item x="12"/>
        <item x="13"/>
        <item t="default"/>
      </items>
    </pivotField>
    <pivotField axis="axisPage" showAll="0">
      <items count="5">
        <item x="0"/>
        <item x="1"/>
        <item x="2"/>
        <item x="3"/>
        <item t="default"/>
      </items>
    </pivotField>
  </pivotFields>
  <rowFields count="1">
    <field x="6"/>
  </rowFields>
  <rowItems count="4">
    <i>
      <x/>
    </i>
    <i>
      <x v="1"/>
    </i>
    <i>
      <x v="2"/>
    </i>
    <i t="grand">
      <x/>
    </i>
  </rowItems>
  <colItems count="1">
    <i/>
  </colItems>
  <pageFields count="3">
    <pageField fld="3" hier="-1"/>
    <pageField fld="13" item="2" hier="-1"/>
    <pageField fld="12" item="3" hier="-1"/>
  </pageFields>
  <dataFields count="1">
    <dataField name="Count of Appointm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71B2B3-7446-422E-9865-34A99B4D87C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67:U74" firstHeaderRow="1" firstDataRow="2" firstDataCol="1"/>
  <pivotFields count="14">
    <pivotField dataField="1" showAll="0"/>
    <pivotField numFmtId="14" showAll="0"/>
    <pivotField numFmtId="14" showAll="0">
      <items count="411">
        <item x="339"/>
        <item x="389"/>
        <item x="258"/>
        <item x="234"/>
        <item x="194"/>
        <item x="338"/>
        <item x="386"/>
        <item x="290"/>
        <item x="392"/>
        <item x="278"/>
        <item x="375"/>
        <item x="346"/>
        <item x="345"/>
        <item x="336"/>
        <item x="247"/>
        <item x="361"/>
        <item x="331"/>
        <item x="171"/>
        <item x="379"/>
        <item x="395"/>
        <item x="337"/>
        <item x="399"/>
        <item x="358"/>
        <item x="115"/>
        <item x="235"/>
        <item x="9"/>
        <item x="407"/>
        <item x="103"/>
        <item x="126"/>
        <item x="182"/>
        <item x="6"/>
        <item x="164"/>
        <item x="305"/>
        <item x="186"/>
        <item x="269"/>
        <item x="284"/>
        <item x="210"/>
        <item x="325"/>
        <item x="42"/>
        <item x="242"/>
        <item x="335"/>
        <item x="333"/>
        <item x="211"/>
        <item x="229"/>
        <item x="0"/>
        <item x="69"/>
        <item x="343"/>
        <item x="222"/>
        <item x="170"/>
        <item x="31"/>
        <item x="91"/>
        <item x="34"/>
        <item x="72"/>
        <item x="58"/>
        <item x="82"/>
        <item x="92"/>
        <item x="127"/>
        <item x="248"/>
        <item x="155"/>
        <item x="378"/>
        <item x="322"/>
        <item x="226"/>
        <item x="143"/>
        <item x="176"/>
        <item x="263"/>
        <item x="326"/>
        <item x="62"/>
        <item x="244"/>
        <item x="225"/>
        <item x="136"/>
        <item x="124"/>
        <item x="349"/>
        <item x="80"/>
        <item x="61"/>
        <item x="130"/>
        <item x="160"/>
        <item x="30"/>
        <item x="279"/>
        <item x="190"/>
        <item x="39"/>
        <item x="158"/>
        <item x="314"/>
        <item x="233"/>
        <item x="304"/>
        <item x="17"/>
        <item x="47"/>
        <item x="209"/>
        <item x="286"/>
        <item x="201"/>
        <item x="110"/>
        <item x="259"/>
        <item x="178"/>
        <item x="174"/>
        <item x="380"/>
        <item x="328"/>
        <item x="22"/>
        <item x="280"/>
        <item x="138"/>
        <item x="152"/>
        <item x="365"/>
        <item x="200"/>
        <item x="133"/>
        <item x="145"/>
        <item x="393"/>
        <item x="296"/>
        <item x="382"/>
        <item x="8"/>
        <item x="208"/>
        <item x="65"/>
        <item x="116"/>
        <item x="311"/>
        <item x="212"/>
        <item x="391"/>
        <item x="77"/>
        <item x="107"/>
        <item x="228"/>
        <item x="238"/>
        <item x="254"/>
        <item x="87"/>
        <item x="66"/>
        <item x="355"/>
        <item x="167"/>
        <item x="111"/>
        <item x="41"/>
        <item x="146"/>
        <item x="196"/>
        <item x="271"/>
        <item x="198"/>
        <item x="298"/>
        <item x="372"/>
        <item x="193"/>
        <item x="147"/>
        <item x="255"/>
        <item x="26"/>
        <item x="313"/>
        <item x="112"/>
        <item x="321"/>
        <item x="105"/>
        <item x="282"/>
        <item x="175"/>
        <item x="141"/>
        <item x="388"/>
        <item x="125"/>
        <item x="215"/>
        <item x="218"/>
        <item x="139"/>
        <item x="329"/>
        <item x="360"/>
        <item x="37"/>
        <item x="206"/>
        <item x="180"/>
        <item x="21"/>
        <item x="93"/>
        <item x="232"/>
        <item x="73"/>
        <item x="245"/>
        <item x="121"/>
        <item x="273"/>
        <item x="3"/>
        <item x="117"/>
        <item x="4"/>
        <item x="156"/>
        <item x="297"/>
        <item x="137"/>
        <item x="409"/>
        <item x="342"/>
        <item x="54"/>
        <item x="149"/>
        <item x="75"/>
        <item x="363"/>
        <item x="172"/>
        <item x="188"/>
        <item x="29"/>
        <item x="319"/>
        <item x="144"/>
        <item x="369"/>
        <item x="294"/>
        <item x="370"/>
        <item x="251"/>
        <item x="227"/>
        <item x="268"/>
        <item x="108"/>
        <item x="57"/>
        <item x="276"/>
        <item x="285"/>
        <item x="316"/>
        <item x="159"/>
        <item x="240"/>
        <item x="49"/>
        <item x="19"/>
        <item x="48"/>
        <item x="44"/>
        <item x="102"/>
        <item x="184"/>
        <item x="354"/>
        <item x="88"/>
        <item x="85"/>
        <item x="90"/>
        <item x="283"/>
        <item x="89"/>
        <item x="28"/>
        <item x="122"/>
        <item x="381"/>
        <item x="191"/>
        <item x="129"/>
        <item x="300"/>
        <item x="16"/>
        <item x="32"/>
        <item x="323"/>
        <item x="59"/>
        <item x="134"/>
        <item x="10"/>
        <item x="64"/>
        <item x="96"/>
        <item x="308"/>
        <item x="101"/>
        <item x="281"/>
        <item x="303"/>
        <item x="347"/>
        <item x="265"/>
        <item x="318"/>
        <item x="264"/>
        <item x="71"/>
        <item x="20"/>
        <item x="25"/>
        <item x="67"/>
        <item x="99"/>
        <item x="202"/>
        <item x="179"/>
        <item x="38"/>
        <item x="106"/>
        <item x="252"/>
        <item x="306"/>
        <item x="197"/>
        <item x="207"/>
        <item x="120"/>
        <item x="78"/>
        <item x="140"/>
        <item x="257"/>
        <item x="169"/>
        <item x="168"/>
        <item x="217"/>
        <item x="350"/>
        <item x="2"/>
        <item x="94"/>
        <item x="324"/>
        <item x="288"/>
        <item x="312"/>
        <item x="95"/>
        <item x="135"/>
        <item x="396"/>
        <item x="374"/>
        <item x="231"/>
        <item x="199"/>
        <item x="14"/>
        <item x="166"/>
        <item x="128"/>
        <item x="364"/>
        <item x="334"/>
        <item x="68"/>
        <item x="287"/>
        <item x="246"/>
        <item x="46"/>
        <item x="86"/>
        <item x="79"/>
        <item x="223"/>
        <item x="100"/>
        <item x="362"/>
        <item x="341"/>
        <item x="205"/>
        <item x="50"/>
        <item x="390"/>
        <item x="366"/>
        <item x="302"/>
        <item x="63"/>
        <item x="7"/>
        <item x="150"/>
        <item x="177"/>
        <item x="310"/>
        <item x="187"/>
        <item x="118"/>
        <item x="154"/>
        <item x="277"/>
        <item x="15"/>
        <item x="344"/>
        <item x="237"/>
        <item x="104"/>
        <item x="60"/>
        <item x="270"/>
        <item x="213"/>
        <item x="165"/>
        <item x="53"/>
        <item x="18"/>
        <item x="12"/>
        <item x="161"/>
        <item x="51"/>
        <item x="13"/>
        <item x="249"/>
        <item x="203"/>
        <item x="185"/>
        <item x="195"/>
        <item x="24"/>
        <item x="98"/>
        <item x="1"/>
        <item x="299"/>
        <item x="236"/>
        <item x="173"/>
        <item x="224"/>
        <item x="84"/>
        <item x="74"/>
        <item x="81"/>
        <item x="261"/>
        <item x="267"/>
        <item x="317"/>
        <item x="230"/>
        <item x="40"/>
        <item x="56"/>
        <item x="123"/>
        <item x="262"/>
        <item x="97"/>
        <item x="5"/>
        <item x="293"/>
        <item x="274"/>
        <item x="327"/>
        <item x="250"/>
        <item x="36"/>
        <item x="377"/>
        <item x="359"/>
        <item x="189"/>
        <item x="292"/>
        <item x="163"/>
        <item x="83"/>
        <item x="131"/>
        <item x="162"/>
        <item x="70"/>
        <item x="27"/>
        <item x="148"/>
        <item x="35"/>
        <item x="357"/>
        <item x="243"/>
        <item x="368"/>
        <item x="76"/>
        <item x="214"/>
        <item x="291"/>
        <item x="23"/>
        <item x="371"/>
        <item x="216"/>
        <item x="256"/>
        <item x="45"/>
        <item x="33"/>
        <item x="260"/>
        <item x="320"/>
        <item x="241"/>
        <item x="153"/>
        <item x="132"/>
        <item x="253"/>
        <item x="109"/>
        <item x="295"/>
        <item x="307"/>
        <item x="340"/>
        <item x="219"/>
        <item x="192"/>
        <item x="221"/>
        <item x="275"/>
        <item x="114"/>
        <item x="52"/>
        <item x="289"/>
        <item x="181"/>
        <item x="239"/>
        <item x="348"/>
        <item x="272"/>
        <item x="11"/>
        <item x="266"/>
        <item x="394"/>
        <item x="157"/>
        <item x="183"/>
        <item x="309"/>
        <item x="401"/>
        <item x="367"/>
        <item x="301"/>
        <item x="220"/>
        <item x="332"/>
        <item x="352"/>
        <item x="315"/>
        <item x="387"/>
        <item x="113"/>
        <item x="204"/>
        <item x="151"/>
        <item x="142"/>
        <item x="400"/>
        <item x="402"/>
        <item x="398"/>
        <item x="403"/>
        <item x="55"/>
        <item x="385"/>
        <item x="356"/>
        <item x="330"/>
        <item x="43"/>
        <item x="404"/>
        <item x="353"/>
        <item x="119"/>
        <item x="351"/>
        <item x="408"/>
        <item x="406"/>
        <item x="383"/>
        <item x="405"/>
        <item x="384"/>
        <item x="373"/>
        <item x="376"/>
        <item x="397"/>
        <item t="default"/>
      </items>
    </pivotField>
    <pivotField axis="axisRow" showAll="0">
      <items count="6">
        <item x="1"/>
        <item x="0"/>
        <item x="2"/>
        <item x="3"/>
        <item x="4"/>
        <item t="default"/>
      </items>
    </pivotField>
    <pivotField showAll="0"/>
    <pivotField showAll="0"/>
    <pivotField showAll="0"/>
    <pivotField showAll="0"/>
    <pivotField showAll="0"/>
    <pivotField showAll="0"/>
    <pivotField showAll="0"/>
    <pivotField axis="axisCol" showAll="0">
      <items count="6">
        <item x="2"/>
        <item x="0"/>
        <item x="1"/>
        <item x="3"/>
        <item x="4"/>
        <item t="default"/>
      </items>
    </pivotField>
    <pivotField showAll="0" defaultSubtotal="0"/>
    <pivotField showAll="0" defaultSubtotal="0">
      <items count="4">
        <item x="0"/>
        <item x="1"/>
        <item x="2"/>
        <item x="3"/>
      </items>
    </pivotField>
  </pivotFields>
  <rowFields count="1">
    <field x="3"/>
  </rowFields>
  <rowItems count="6">
    <i>
      <x/>
    </i>
    <i>
      <x v="1"/>
    </i>
    <i>
      <x v="2"/>
    </i>
    <i>
      <x v="3"/>
    </i>
    <i>
      <x v="4"/>
    </i>
    <i t="grand">
      <x/>
    </i>
  </rowItems>
  <colFields count="1">
    <field x="11"/>
  </colFields>
  <colItems count="6">
    <i>
      <x/>
    </i>
    <i>
      <x v="1"/>
    </i>
    <i>
      <x v="2"/>
    </i>
    <i>
      <x v="3"/>
    </i>
    <i>
      <x v="4"/>
    </i>
    <i t="grand">
      <x/>
    </i>
  </colItems>
  <dataFields count="1">
    <dataField name="Count of Appointment_ID" fld="0" subtotal="count" showDataAs="percentOfRow" baseField="0" baseItem="0" numFmtId="10"/>
  </dataFields>
  <chartFormats count="10">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3" format="10" series="1">
      <pivotArea type="data" outline="0" fieldPosition="0">
        <references count="2">
          <reference field="4294967294" count="1" selected="0">
            <x v="0"/>
          </reference>
          <reference field="11" count="1" selected="0">
            <x v="0"/>
          </reference>
        </references>
      </pivotArea>
    </chartFormat>
    <chartFormat chart="3" format="11" series="1">
      <pivotArea type="data" outline="0" fieldPosition="0">
        <references count="2">
          <reference field="4294967294" count="1" selected="0">
            <x v="0"/>
          </reference>
          <reference field="11" count="1" selected="0">
            <x v="1"/>
          </reference>
        </references>
      </pivotArea>
    </chartFormat>
    <chartFormat chart="3" format="12" series="1">
      <pivotArea type="data" outline="0" fieldPosition="0">
        <references count="2">
          <reference field="4294967294" count="1" selected="0">
            <x v="0"/>
          </reference>
          <reference field="11" count="1" selected="0">
            <x v="2"/>
          </reference>
        </references>
      </pivotArea>
    </chartFormat>
    <chartFormat chart="3" format="13" series="1">
      <pivotArea type="data" outline="0" fieldPosition="0">
        <references count="2">
          <reference field="4294967294" count="1" selected="0">
            <x v="0"/>
          </reference>
          <reference field="11" count="1" selected="0">
            <x v="3"/>
          </reference>
        </references>
      </pivotArea>
    </chartFormat>
    <chartFormat chart="3" format="14" series="1">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34F35C-B7E1-43BA-8D90-E8F93922B6D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95:E101" firstHeaderRow="0" firstDataRow="1" firstDataCol="1"/>
  <pivotFields count="11">
    <pivotField numFmtId="17" showAll="0">
      <items count="13">
        <item x="0"/>
        <item x="1"/>
        <item x="2"/>
        <item x="3"/>
        <item x="4"/>
        <item x="5"/>
        <item x="6"/>
        <item x="7"/>
        <item x="8"/>
        <item x="9"/>
        <item x="10"/>
        <item x="11"/>
        <item t="default"/>
      </items>
    </pivotField>
    <pivotField axis="axisRow" showAll="0">
      <items count="6">
        <item x="0"/>
        <item x="1"/>
        <item x="2"/>
        <item x="3"/>
        <item x="4"/>
        <item t="default"/>
      </items>
    </pivotField>
    <pivotField showAll="0"/>
    <pivotField showAll="0"/>
    <pivotField showAll="0"/>
    <pivotField showAll="0"/>
    <pivotField numFmtId="10" showAll="0"/>
    <pivotField dataField="1" numFmtId="10" showAll="0"/>
    <pivotField dataField="1" numFmtId="10" showAll="0"/>
    <pivotField numFmtId="164" showAll="0"/>
    <pivotField showAll="0"/>
  </pivotFields>
  <rowFields count="1">
    <field x="1"/>
  </rowFields>
  <rowItems count="6">
    <i>
      <x/>
    </i>
    <i>
      <x v="1"/>
    </i>
    <i>
      <x v="2"/>
    </i>
    <i>
      <x v="3"/>
    </i>
    <i>
      <x v="4"/>
    </i>
    <i t="grand">
      <x/>
    </i>
  </rowItems>
  <colFields count="1">
    <field x="-2"/>
  </colFields>
  <colItems count="2">
    <i>
      <x/>
    </i>
    <i i="1">
      <x v="1"/>
    </i>
  </colItems>
  <dataFields count="2">
    <dataField name="Average of DNA Rate" fld="7" subtotal="average" baseField="1" baseItem="0" numFmtId="10"/>
    <dataField name="Average of Cancellation Rate" fld="8" subtotal="average"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F593C4B-9A00-463D-9B91-8BFF77627731}" autoFormatId="16" applyNumberFormats="0" applyBorderFormats="0" applyFontFormats="0" applyPatternFormats="0" applyAlignmentFormats="0" applyWidthHeightFormats="0">
  <queryTableRefresh nextId="13">
    <queryTableFields count="12">
      <queryTableField id="1" name="Appointment_ID" tableColumnId="1"/>
      <queryTableField id="2" name="Referral_Date" tableColumnId="2"/>
      <queryTableField id="3" name="Appointment_Date" tableColumnId="3"/>
      <queryTableField id="4" name="Specialty" tableColumnId="4"/>
      <queryTableField id="5" name="Appointment_Type" tableColumnId="5"/>
      <queryTableField id="6" name="Priority" tableColumnId="6"/>
      <queryTableField id="7" name="Status" tableColumnId="7"/>
      <queryTableField id="8" name="Clinic" tableColumnId="8"/>
      <queryTableField id="9" name="Location" tableColumnId="9"/>
      <queryTableField id="10" name="Slot_Duration_Minutes" tableColumnId="10"/>
      <queryTableField id="11" name="Waiting_Days" tableColumnId="11"/>
      <queryTableField id="12" name="Waiting_Time_Band"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979A587-8690-45B8-B97A-A7633E30CDA9}" autoFormatId="16" applyNumberFormats="0" applyBorderFormats="0" applyFontFormats="0" applyPatternFormats="0" applyAlignmentFormats="0" applyWidthHeightFormats="0">
  <queryTableRefresh nextId="4">
    <queryTableFields count="3">
      <queryTableField id="1" name="Month" tableColumnId="1"/>
      <queryTableField id="2" name="Specialty" tableColumnId="2"/>
      <queryTableField id="3" name="Available_Slot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ty" xr10:uid="{69BC6785-0FC2-4128-93AE-F5A8D659A290}" sourceName="Specialty">
  <pivotTables>
    <pivotTable tabId="4" name="PivotTable2"/>
    <pivotTable tabId="4" name="PivotTable3"/>
    <pivotTable tabId="4" name="PivotTable5"/>
    <pivotTable tabId="4" name="PivotTable7"/>
    <pivotTable tabId="4" name="PivotTable8"/>
  </pivotTables>
  <data>
    <tabular pivotCacheId="812216014">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alty" xr10:uid="{6EEA8216-A32C-4BA4-8B49-EEA61AD9F2FC}" cache="Slicer_Specialty" caption="Filter by Specialt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52EE92-F17C-4591-AB74-E996258611CE}" name="Appointments" displayName="Appointments" ref="A1:L3201" tableType="queryTable" totalsRowShown="0">
  <autoFilter ref="A1:L3201" xr:uid="{FC52EE92-F17C-4591-AB74-E996258611CE}"/>
  <sortState xmlns:xlrd2="http://schemas.microsoft.com/office/spreadsheetml/2017/richdata2" ref="A2:L3201">
    <sortCondition descending="1" ref="B1:B3201"/>
  </sortState>
  <tableColumns count="12">
    <tableColumn id="1" xr3:uid="{1F2E3472-031E-47F6-BABC-CD091A39F32A}" uniqueName="1" name="Appointment_ID" queryTableFieldId="1" dataDxfId="16"/>
    <tableColumn id="2" xr3:uid="{E0CD8620-95C1-4A7D-810A-E32140C93C88}" uniqueName="2" name="Referral_Date" queryTableFieldId="2" dataDxfId="15"/>
    <tableColumn id="3" xr3:uid="{A820A98C-7843-4451-BE48-D5029C17AB41}" uniqueName="3" name="Appointment_Date" queryTableFieldId="3" dataDxfId="14"/>
    <tableColumn id="4" xr3:uid="{D6B104BD-3FFB-4B49-9DF1-A74637682DBD}" uniqueName="4" name="Specialty" queryTableFieldId="4" dataDxfId="13"/>
    <tableColumn id="5" xr3:uid="{55EF4B97-268F-4EB1-A55E-3B23F534D8FC}" uniqueName="5" name="Appointment_Type" queryTableFieldId="5" dataDxfId="12"/>
    <tableColumn id="6" xr3:uid="{5063128A-72AF-4A40-9938-4A34B5AFBFB3}" uniqueName="6" name="Priority" queryTableFieldId="6" dataDxfId="11"/>
    <tableColumn id="7" xr3:uid="{F0BBCA55-7BB5-4B2E-80DC-984EEFC46451}" uniqueName="7" name="Status" queryTableFieldId="7" dataDxfId="10"/>
    <tableColumn id="8" xr3:uid="{B962DF3A-A456-42A9-8817-20BC879B2BA9}" uniqueName="8" name="Clinic" queryTableFieldId="8" dataDxfId="9"/>
    <tableColumn id="9" xr3:uid="{C3BB1816-416C-4642-997D-16E857CD6D9E}" uniqueName="9" name="Location" queryTableFieldId="9" dataDxfId="8"/>
    <tableColumn id="10" xr3:uid="{4DB45906-93D0-4DBF-AFF9-AD703A057339}" uniqueName="10" name="Slot_Duration_Minutes" queryTableFieldId="10"/>
    <tableColumn id="11" xr3:uid="{C9D4E470-6549-4345-B168-EBD135988250}" uniqueName="11" name="Waiting_Days" queryTableFieldId="11"/>
    <tableColumn id="12" xr3:uid="{BA75171F-C45E-492E-8DF6-BE7A00E3612A}" uniqueName="12" name="Waiting_Time_Band" queryTableFieldId="12"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7A8CFE-3B4D-4209-AD65-8E5AEAED6920}" name="Capacity" displayName="Capacity" ref="A1:C61" tableType="queryTable" totalsRowShown="0">
  <autoFilter ref="A1:C61" xr:uid="{DB7A8CFE-3B4D-4209-AD65-8E5AEAED6920}"/>
  <tableColumns count="3">
    <tableColumn id="1" xr3:uid="{5DD01FCF-745A-4789-95B9-F097F06FEDA1}" uniqueName="1" name="Month" queryTableFieldId="1" dataDxfId="6"/>
    <tableColumn id="2" xr3:uid="{799F30F6-42EF-4009-80B2-4461D48C8670}" uniqueName="2" name="Specialty" queryTableFieldId="2" dataDxfId="5"/>
    <tableColumn id="3" xr3:uid="{86E8E821-56D9-4F6F-A622-ECA0F73AA609}" uniqueName="3" name="Available_Slots"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Appointment_Date" xr10:uid="{94C3388D-4CF2-4E8F-A7A1-3A910E70C6E6}" sourceName="Appointment_Date">
  <pivotTables>
    <pivotTable tabId="4" name="PivotTable6"/>
  </pivotTables>
  <state minimalRefreshVersion="6" lastRefreshVersion="6" pivotCacheId="1165041204" filterType="dateBetween">
    <selection startDate="2025-04-01T00:00:00" endDate="2026-03-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ointment_Date" xr10:uid="{44961EF6-4E50-459F-A8DC-0C928DA1E27F}" cache="NativeTimeline_Appointment_Date" caption="Appointment_Date" level="2" selectionLevel="1"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05F2-DB56-44B7-A723-779B463D5B36}">
  <dimension ref="A1:L3201"/>
  <sheetViews>
    <sheetView workbookViewId="0">
      <selection activeCell="D5" sqref="D5"/>
    </sheetView>
  </sheetViews>
  <sheetFormatPr defaultRowHeight="14.4" x14ac:dyDescent="0.3"/>
  <cols>
    <col min="1" max="1" width="16.77734375" bestFit="1" customWidth="1"/>
    <col min="2" max="2" width="14.44140625" bestFit="1" customWidth="1"/>
    <col min="3" max="3" width="18.88671875" bestFit="1" customWidth="1"/>
    <col min="4" max="4" width="14.88671875" bestFit="1" customWidth="1"/>
    <col min="5" max="5" width="18.88671875" bestFit="1" customWidth="1"/>
    <col min="6" max="6" width="9.33203125" bestFit="1" customWidth="1"/>
    <col min="7" max="7" width="9.109375" bestFit="1" customWidth="1"/>
    <col min="8" max="8" width="13.44140625" bestFit="1" customWidth="1"/>
    <col min="9" max="9" width="17.44140625" bestFit="1" customWidth="1"/>
    <col min="10" max="10" width="22" bestFit="1" customWidth="1"/>
    <col min="11" max="11" width="14.33203125" bestFit="1" customWidth="1"/>
    <col min="12" max="12" width="19.66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t="s">
        <v>3164</v>
      </c>
      <c r="B2" s="2">
        <v>46111</v>
      </c>
      <c r="C2" s="2">
        <v>46147</v>
      </c>
      <c r="D2" s="1" t="s">
        <v>37</v>
      </c>
      <c r="E2" s="1" t="s">
        <v>24</v>
      </c>
      <c r="F2" s="1" t="s">
        <v>15</v>
      </c>
      <c r="G2" s="1" t="s">
        <v>16</v>
      </c>
      <c r="H2" s="1" t="s">
        <v>39</v>
      </c>
      <c r="I2" s="1" t="s">
        <v>26</v>
      </c>
      <c r="J2">
        <v>45</v>
      </c>
      <c r="K2">
        <v>36</v>
      </c>
      <c r="L2" s="1" t="s">
        <v>21</v>
      </c>
    </row>
    <row r="3" spans="1:12" x14ac:dyDescent="0.3">
      <c r="A3" s="1" t="s">
        <v>862</v>
      </c>
      <c r="B3" s="2">
        <v>46111</v>
      </c>
      <c r="C3" s="2">
        <v>46144</v>
      </c>
      <c r="D3" s="1" t="s">
        <v>37</v>
      </c>
      <c r="E3" s="1" t="s">
        <v>24</v>
      </c>
      <c r="F3" s="1" t="s">
        <v>15</v>
      </c>
      <c r="G3" s="1" t="s">
        <v>16</v>
      </c>
      <c r="H3" s="1" t="s">
        <v>49</v>
      </c>
      <c r="I3" s="1" t="s">
        <v>26</v>
      </c>
      <c r="J3">
        <v>30</v>
      </c>
      <c r="K3">
        <v>33</v>
      </c>
      <c r="L3" s="1" t="s">
        <v>21</v>
      </c>
    </row>
    <row r="4" spans="1:12" x14ac:dyDescent="0.3">
      <c r="A4" s="1" t="s">
        <v>443</v>
      </c>
      <c r="B4" s="2">
        <v>46111</v>
      </c>
      <c r="C4" s="2">
        <v>46148</v>
      </c>
      <c r="D4" s="1" t="s">
        <v>23</v>
      </c>
      <c r="E4" s="1" t="s">
        <v>24</v>
      </c>
      <c r="F4" s="1" t="s">
        <v>15</v>
      </c>
      <c r="G4" s="1" t="s">
        <v>16</v>
      </c>
      <c r="H4" s="1" t="s">
        <v>25</v>
      </c>
      <c r="I4" s="1" t="s">
        <v>18</v>
      </c>
      <c r="J4">
        <v>45</v>
      </c>
      <c r="K4">
        <v>37</v>
      </c>
      <c r="L4" s="1" t="s">
        <v>21</v>
      </c>
    </row>
    <row r="5" spans="1:12" x14ac:dyDescent="0.3">
      <c r="A5" s="1" t="s">
        <v>1211</v>
      </c>
      <c r="B5" s="2">
        <v>46111</v>
      </c>
      <c r="C5" s="2">
        <v>46179</v>
      </c>
      <c r="D5" s="1" t="s">
        <v>13</v>
      </c>
      <c r="E5" s="1" t="s">
        <v>14</v>
      </c>
      <c r="F5" s="1" t="s">
        <v>15</v>
      </c>
      <c r="G5" s="1" t="s">
        <v>16</v>
      </c>
      <c r="H5" s="1" t="s">
        <v>17</v>
      </c>
      <c r="I5" s="1" t="s">
        <v>26</v>
      </c>
      <c r="J5">
        <v>15</v>
      </c>
      <c r="K5">
        <v>68</v>
      </c>
      <c r="L5" s="1" t="s">
        <v>80</v>
      </c>
    </row>
    <row r="6" spans="1:12" x14ac:dyDescent="0.3">
      <c r="A6" s="1" t="s">
        <v>1378</v>
      </c>
      <c r="B6" s="2">
        <v>46111</v>
      </c>
      <c r="C6" s="2">
        <v>46124</v>
      </c>
      <c r="D6" s="1" t="s">
        <v>28</v>
      </c>
      <c r="E6" s="1" t="s">
        <v>14</v>
      </c>
      <c r="F6" s="1" t="s">
        <v>15</v>
      </c>
      <c r="G6" s="1" t="s">
        <v>53</v>
      </c>
      <c r="H6" s="1" t="s">
        <v>54</v>
      </c>
      <c r="I6" s="1" t="s">
        <v>26</v>
      </c>
      <c r="J6">
        <v>15</v>
      </c>
      <c r="K6">
        <v>13</v>
      </c>
      <c r="L6" s="1" t="s">
        <v>30</v>
      </c>
    </row>
    <row r="7" spans="1:12" x14ac:dyDescent="0.3">
      <c r="A7" s="1" t="s">
        <v>1388</v>
      </c>
      <c r="B7" s="2">
        <v>46111</v>
      </c>
      <c r="C7" s="2">
        <v>46146</v>
      </c>
      <c r="D7" s="1" t="s">
        <v>23</v>
      </c>
      <c r="E7" s="1" t="s">
        <v>24</v>
      </c>
      <c r="F7" s="1" t="s">
        <v>15</v>
      </c>
      <c r="G7" s="1" t="s">
        <v>16</v>
      </c>
      <c r="H7" s="1" t="s">
        <v>25</v>
      </c>
      <c r="I7" s="1" t="s">
        <v>18</v>
      </c>
      <c r="J7">
        <v>30</v>
      </c>
      <c r="K7">
        <v>35</v>
      </c>
      <c r="L7" s="1" t="s">
        <v>21</v>
      </c>
    </row>
    <row r="8" spans="1:12" x14ac:dyDescent="0.3">
      <c r="A8" s="1" t="s">
        <v>2260</v>
      </c>
      <c r="B8" s="2">
        <v>46111</v>
      </c>
      <c r="C8" s="2">
        <v>46154</v>
      </c>
      <c r="D8" s="1" t="s">
        <v>13</v>
      </c>
      <c r="E8" s="1" t="s">
        <v>14</v>
      </c>
      <c r="F8" s="1" t="s">
        <v>15</v>
      </c>
      <c r="G8" s="1" t="s">
        <v>16</v>
      </c>
      <c r="H8" s="1" t="s">
        <v>17</v>
      </c>
      <c r="I8" s="1" t="s">
        <v>26</v>
      </c>
      <c r="J8">
        <v>15</v>
      </c>
      <c r="K8">
        <v>43</v>
      </c>
      <c r="L8" s="1" t="s">
        <v>44</v>
      </c>
    </row>
    <row r="9" spans="1:12" x14ac:dyDescent="0.3">
      <c r="A9" s="1" t="s">
        <v>2304</v>
      </c>
      <c r="B9" s="2">
        <v>46111</v>
      </c>
      <c r="C9" s="2">
        <v>46168</v>
      </c>
      <c r="D9" s="1" t="s">
        <v>23</v>
      </c>
      <c r="E9" s="1" t="s">
        <v>14</v>
      </c>
      <c r="F9" s="1" t="s">
        <v>38</v>
      </c>
      <c r="G9" s="1" t="s">
        <v>33</v>
      </c>
      <c r="H9" s="1" t="s">
        <v>43</v>
      </c>
      <c r="I9" s="1" t="s">
        <v>26</v>
      </c>
      <c r="J9">
        <v>15</v>
      </c>
      <c r="K9">
        <v>57</v>
      </c>
      <c r="L9" s="1" t="s">
        <v>80</v>
      </c>
    </row>
    <row r="10" spans="1:12" x14ac:dyDescent="0.3">
      <c r="A10" s="1" t="s">
        <v>2215</v>
      </c>
      <c r="B10" s="2">
        <v>46110</v>
      </c>
      <c r="C10" s="2">
        <v>46196</v>
      </c>
      <c r="D10" s="1" t="s">
        <v>37</v>
      </c>
      <c r="E10" s="1" t="s">
        <v>14</v>
      </c>
      <c r="F10" s="1" t="s">
        <v>15</v>
      </c>
      <c r="G10" s="1" t="s">
        <v>16</v>
      </c>
      <c r="H10" s="1" t="s">
        <v>49</v>
      </c>
      <c r="I10" s="1" t="s">
        <v>26</v>
      </c>
      <c r="J10">
        <v>15</v>
      </c>
      <c r="K10">
        <v>86</v>
      </c>
      <c r="L10" s="1" t="s">
        <v>80</v>
      </c>
    </row>
    <row r="11" spans="1:12" x14ac:dyDescent="0.3">
      <c r="A11" s="1" t="s">
        <v>1464</v>
      </c>
      <c r="B11" s="2">
        <v>46110</v>
      </c>
      <c r="C11" s="2">
        <v>46172</v>
      </c>
      <c r="D11" s="1" t="s">
        <v>37</v>
      </c>
      <c r="E11" s="1" t="s">
        <v>24</v>
      </c>
      <c r="F11" s="1" t="s">
        <v>15</v>
      </c>
      <c r="G11" s="1" t="s">
        <v>16</v>
      </c>
      <c r="H11" s="1" t="s">
        <v>49</v>
      </c>
      <c r="I11" s="1" t="s">
        <v>18</v>
      </c>
      <c r="J11">
        <v>30</v>
      </c>
      <c r="K11">
        <v>62</v>
      </c>
      <c r="L11" s="1" t="s">
        <v>80</v>
      </c>
    </row>
    <row r="12" spans="1:12" x14ac:dyDescent="0.3">
      <c r="A12" s="1" t="s">
        <v>202</v>
      </c>
      <c r="B12" s="2">
        <v>46110</v>
      </c>
      <c r="C12" s="2">
        <v>46163</v>
      </c>
      <c r="D12" s="1" t="s">
        <v>37</v>
      </c>
      <c r="E12" s="1" t="s">
        <v>14</v>
      </c>
      <c r="F12" s="1" t="s">
        <v>15</v>
      </c>
      <c r="G12" s="1" t="s">
        <v>16</v>
      </c>
      <c r="H12" s="1" t="s">
        <v>49</v>
      </c>
      <c r="I12" s="1" t="s">
        <v>26</v>
      </c>
      <c r="J12">
        <v>15</v>
      </c>
      <c r="K12">
        <v>53</v>
      </c>
      <c r="L12" s="1" t="s">
        <v>44</v>
      </c>
    </row>
    <row r="13" spans="1:12" x14ac:dyDescent="0.3">
      <c r="A13" s="1" t="s">
        <v>3200</v>
      </c>
      <c r="B13" s="2">
        <v>46110</v>
      </c>
      <c r="C13" s="2">
        <v>46138</v>
      </c>
      <c r="D13" s="1" t="s">
        <v>37</v>
      </c>
      <c r="E13" s="1" t="s">
        <v>14</v>
      </c>
      <c r="F13" s="1" t="s">
        <v>15</v>
      </c>
      <c r="G13" s="1" t="s">
        <v>16</v>
      </c>
      <c r="H13" s="1" t="s">
        <v>39</v>
      </c>
      <c r="I13" s="1" t="s">
        <v>26</v>
      </c>
      <c r="J13">
        <v>15</v>
      </c>
      <c r="K13">
        <v>28</v>
      </c>
      <c r="L13" s="1" t="s">
        <v>19</v>
      </c>
    </row>
    <row r="14" spans="1:12" x14ac:dyDescent="0.3">
      <c r="A14" s="1" t="s">
        <v>3217</v>
      </c>
      <c r="B14" s="2">
        <v>46110</v>
      </c>
      <c r="C14" s="2">
        <v>46138</v>
      </c>
      <c r="D14" s="1" t="s">
        <v>37</v>
      </c>
      <c r="E14" s="1" t="s">
        <v>24</v>
      </c>
      <c r="F14" s="1" t="s">
        <v>15</v>
      </c>
      <c r="G14" s="1" t="s">
        <v>16</v>
      </c>
      <c r="H14" s="1" t="s">
        <v>49</v>
      </c>
      <c r="I14" s="1" t="s">
        <v>26</v>
      </c>
      <c r="J14">
        <v>30</v>
      </c>
      <c r="K14">
        <v>28</v>
      </c>
      <c r="L14" s="1" t="s">
        <v>19</v>
      </c>
    </row>
    <row r="15" spans="1:12" x14ac:dyDescent="0.3">
      <c r="A15" s="1" t="s">
        <v>553</v>
      </c>
      <c r="B15" s="2">
        <v>46110</v>
      </c>
      <c r="C15" s="2">
        <v>46138</v>
      </c>
      <c r="D15" s="1" t="s">
        <v>28</v>
      </c>
      <c r="E15" s="1" t="s">
        <v>14</v>
      </c>
      <c r="F15" s="1" t="s">
        <v>15</v>
      </c>
      <c r="G15" s="1" t="s">
        <v>16</v>
      </c>
      <c r="H15" s="1" t="s">
        <v>54</v>
      </c>
      <c r="I15" s="1" t="s">
        <v>18</v>
      </c>
      <c r="J15">
        <v>15</v>
      </c>
      <c r="K15">
        <v>28</v>
      </c>
      <c r="L15" s="1" t="s">
        <v>19</v>
      </c>
    </row>
    <row r="16" spans="1:12" x14ac:dyDescent="0.3">
      <c r="A16" s="1" t="s">
        <v>733</v>
      </c>
      <c r="B16" s="2">
        <v>46110</v>
      </c>
      <c r="C16" s="2">
        <v>46126</v>
      </c>
      <c r="D16" s="1" t="s">
        <v>23</v>
      </c>
      <c r="E16" s="1" t="s">
        <v>14</v>
      </c>
      <c r="F16" s="1" t="s">
        <v>15</v>
      </c>
      <c r="G16" s="1" t="s">
        <v>16</v>
      </c>
      <c r="H16" s="1" t="s">
        <v>43</v>
      </c>
      <c r="I16" s="1" t="s">
        <v>18</v>
      </c>
      <c r="J16">
        <v>15</v>
      </c>
      <c r="K16">
        <v>16</v>
      </c>
      <c r="L16" s="1" t="s">
        <v>19</v>
      </c>
    </row>
    <row r="17" spans="1:12" x14ac:dyDescent="0.3">
      <c r="A17" s="1" t="s">
        <v>852</v>
      </c>
      <c r="B17" s="2">
        <v>46110</v>
      </c>
      <c r="C17" s="2">
        <v>46159</v>
      </c>
      <c r="D17" s="1" t="s">
        <v>23</v>
      </c>
      <c r="E17" s="1" t="s">
        <v>14</v>
      </c>
      <c r="F17" s="1" t="s">
        <v>15</v>
      </c>
      <c r="G17" s="1" t="s">
        <v>16</v>
      </c>
      <c r="H17" s="1" t="s">
        <v>43</v>
      </c>
      <c r="I17" s="1" t="s">
        <v>26</v>
      </c>
      <c r="J17">
        <v>15</v>
      </c>
      <c r="K17">
        <v>49</v>
      </c>
      <c r="L17" s="1" t="s">
        <v>44</v>
      </c>
    </row>
    <row r="18" spans="1:12" x14ac:dyDescent="0.3">
      <c r="A18" s="1" t="s">
        <v>1098</v>
      </c>
      <c r="B18" s="2">
        <v>46110</v>
      </c>
      <c r="C18" s="2">
        <v>46132</v>
      </c>
      <c r="D18" s="1" t="s">
        <v>13</v>
      </c>
      <c r="E18" s="1" t="s">
        <v>14</v>
      </c>
      <c r="F18" s="1" t="s">
        <v>15</v>
      </c>
      <c r="G18" s="1" t="s">
        <v>53</v>
      </c>
      <c r="H18" s="1" t="s">
        <v>47</v>
      </c>
      <c r="I18" s="1" t="s">
        <v>26</v>
      </c>
      <c r="J18">
        <v>30</v>
      </c>
      <c r="K18">
        <v>22</v>
      </c>
      <c r="L18" s="1" t="s">
        <v>19</v>
      </c>
    </row>
    <row r="19" spans="1:12" x14ac:dyDescent="0.3">
      <c r="A19" s="1" t="s">
        <v>1159</v>
      </c>
      <c r="B19" s="2">
        <v>46110</v>
      </c>
      <c r="C19" s="2">
        <v>46173</v>
      </c>
      <c r="D19" s="1" t="s">
        <v>28</v>
      </c>
      <c r="E19" s="1" t="s">
        <v>14</v>
      </c>
      <c r="F19" s="1" t="s">
        <v>15</v>
      </c>
      <c r="G19" s="1" t="s">
        <v>16</v>
      </c>
      <c r="H19" s="1" t="s">
        <v>54</v>
      </c>
      <c r="I19" s="1" t="s">
        <v>41</v>
      </c>
      <c r="J19">
        <v>15</v>
      </c>
      <c r="K19">
        <v>63</v>
      </c>
      <c r="L19" s="1" t="s">
        <v>80</v>
      </c>
    </row>
    <row r="20" spans="1:12" x14ac:dyDescent="0.3">
      <c r="A20" s="1" t="s">
        <v>1601</v>
      </c>
      <c r="B20" s="2">
        <v>46110</v>
      </c>
      <c r="C20" s="2">
        <v>46130</v>
      </c>
      <c r="D20" s="1" t="s">
        <v>28</v>
      </c>
      <c r="E20" s="1" t="s">
        <v>14</v>
      </c>
      <c r="F20" s="1" t="s">
        <v>38</v>
      </c>
      <c r="G20" s="1" t="s">
        <v>16</v>
      </c>
      <c r="H20" s="1" t="s">
        <v>54</v>
      </c>
      <c r="I20" s="1" t="s">
        <v>41</v>
      </c>
      <c r="J20">
        <v>15</v>
      </c>
      <c r="K20">
        <v>20</v>
      </c>
      <c r="L20" s="1" t="s">
        <v>19</v>
      </c>
    </row>
    <row r="21" spans="1:12" x14ac:dyDescent="0.3">
      <c r="A21" s="1" t="s">
        <v>2562</v>
      </c>
      <c r="B21" s="2">
        <v>46110</v>
      </c>
      <c r="C21" s="2">
        <v>46135</v>
      </c>
      <c r="D21" s="1" t="s">
        <v>13</v>
      </c>
      <c r="E21" s="1" t="s">
        <v>14</v>
      </c>
      <c r="F21" s="1" t="s">
        <v>15</v>
      </c>
      <c r="G21" s="1" t="s">
        <v>16</v>
      </c>
      <c r="H21" s="1" t="s">
        <v>17</v>
      </c>
      <c r="I21" s="1" t="s">
        <v>18</v>
      </c>
      <c r="J21">
        <v>30</v>
      </c>
      <c r="K21">
        <v>25</v>
      </c>
      <c r="L21" s="1" t="s">
        <v>19</v>
      </c>
    </row>
    <row r="22" spans="1:12" x14ac:dyDescent="0.3">
      <c r="A22" s="1" t="s">
        <v>2998</v>
      </c>
      <c r="B22" s="2">
        <v>46110</v>
      </c>
      <c r="C22" s="2">
        <v>46162</v>
      </c>
      <c r="D22" s="1" t="s">
        <v>32</v>
      </c>
      <c r="E22" s="1" t="s">
        <v>14</v>
      </c>
      <c r="F22" s="1" t="s">
        <v>15</v>
      </c>
      <c r="G22" s="1" t="s">
        <v>16</v>
      </c>
      <c r="H22" s="1" t="s">
        <v>71</v>
      </c>
      <c r="I22" s="1" t="s">
        <v>18</v>
      </c>
      <c r="J22">
        <v>15</v>
      </c>
      <c r="K22">
        <v>52</v>
      </c>
      <c r="L22" s="1" t="s">
        <v>44</v>
      </c>
    </row>
    <row r="23" spans="1:12" x14ac:dyDescent="0.3">
      <c r="A23" s="1" t="s">
        <v>2659</v>
      </c>
      <c r="B23" s="2">
        <v>46109</v>
      </c>
      <c r="C23" s="2">
        <v>46151</v>
      </c>
      <c r="D23" s="1" t="s">
        <v>37</v>
      </c>
      <c r="E23" s="1" t="s">
        <v>14</v>
      </c>
      <c r="F23" s="1" t="s">
        <v>15</v>
      </c>
      <c r="G23" s="1" t="s">
        <v>33</v>
      </c>
      <c r="H23" s="1" t="s">
        <v>39</v>
      </c>
      <c r="I23" s="1" t="s">
        <v>41</v>
      </c>
      <c r="J23">
        <v>15</v>
      </c>
      <c r="K23">
        <v>42</v>
      </c>
      <c r="L23" s="1" t="s">
        <v>21</v>
      </c>
    </row>
    <row r="24" spans="1:12" x14ac:dyDescent="0.3">
      <c r="A24" s="1" t="s">
        <v>1668</v>
      </c>
      <c r="B24" s="2">
        <v>46109</v>
      </c>
      <c r="C24" s="2">
        <v>46119</v>
      </c>
      <c r="D24" s="1" t="s">
        <v>37</v>
      </c>
      <c r="E24" s="1" t="s">
        <v>24</v>
      </c>
      <c r="F24" s="1" t="s">
        <v>38</v>
      </c>
      <c r="G24" s="1" t="s">
        <v>16</v>
      </c>
      <c r="H24" s="1" t="s">
        <v>39</v>
      </c>
      <c r="I24" s="1" t="s">
        <v>18</v>
      </c>
      <c r="J24">
        <v>30</v>
      </c>
      <c r="K24">
        <v>10</v>
      </c>
      <c r="L24" s="1" t="s">
        <v>30</v>
      </c>
    </row>
    <row r="25" spans="1:12" x14ac:dyDescent="0.3">
      <c r="A25" s="1" t="s">
        <v>186</v>
      </c>
      <c r="B25" s="2">
        <v>46109</v>
      </c>
      <c r="C25" s="2">
        <v>46148</v>
      </c>
      <c r="D25" s="1" t="s">
        <v>23</v>
      </c>
      <c r="E25" s="1" t="s">
        <v>24</v>
      </c>
      <c r="F25" s="1" t="s">
        <v>15</v>
      </c>
      <c r="G25" s="1" t="s">
        <v>53</v>
      </c>
      <c r="H25" s="1" t="s">
        <v>39</v>
      </c>
      <c r="I25" s="1" t="s">
        <v>41</v>
      </c>
      <c r="J25">
        <v>30</v>
      </c>
      <c r="K25">
        <v>39</v>
      </c>
      <c r="L25" s="1" t="s">
        <v>21</v>
      </c>
    </row>
    <row r="26" spans="1:12" x14ac:dyDescent="0.3">
      <c r="A26" s="1" t="s">
        <v>397</v>
      </c>
      <c r="B26" s="2">
        <v>46109</v>
      </c>
      <c r="C26" s="2">
        <v>46111</v>
      </c>
      <c r="D26" s="1" t="s">
        <v>28</v>
      </c>
      <c r="E26" s="1" t="s">
        <v>14</v>
      </c>
      <c r="F26" s="1" t="s">
        <v>15</v>
      </c>
      <c r="G26" s="1" t="s">
        <v>16</v>
      </c>
      <c r="H26" s="1" t="s">
        <v>54</v>
      </c>
      <c r="I26" s="1" t="s">
        <v>26</v>
      </c>
      <c r="J26">
        <v>15</v>
      </c>
      <c r="K26">
        <v>2</v>
      </c>
      <c r="L26" s="1" t="s">
        <v>30</v>
      </c>
    </row>
    <row r="27" spans="1:12" x14ac:dyDescent="0.3">
      <c r="A27" s="1" t="s">
        <v>1662</v>
      </c>
      <c r="B27" s="2">
        <v>46109</v>
      </c>
      <c r="C27" s="2">
        <v>46150</v>
      </c>
      <c r="D27" s="1" t="s">
        <v>28</v>
      </c>
      <c r="E27" s="1" t="s">
        <v>14</v>
      </c>
      <c r="F27" s="1" t="s">
        <v>15</v>
      </c>
      <c r="G27" s="1" t="s">
        <v>16</v>
      </c>
      <c r="H27" s="1" t="s">
        <v>54</v>
      </c>
      <c r="I27" s="1" t="s">
        <v>18</v>
      </c>
      <c r="J27">
        <v>15</v>
      </c>
      <c r="K27">
        <v>41</v>
      </c>
      <c r="L27" s="1" t="s">
        <v>21</v>
      </c>
    </row>
    <row r="28" spans="1:12" x14ac:dyDescent="0.3">
      <c r="A28" s="1" t="s">
        <v>2040</v>
      </c>
      <c r="B28" s="2">
        <v>46109</v>
      </c>
      <c r="C28" s="2">
        <v>46151</v>
      </c>
      <c r="D28" s="1" t="s">
        <v>28</v>
      </c>
      <c r="E28" s="1" t="s">
        <v>14</v>
      </c>
      <c r="F28" s="1" t="s">
        <v>38</v>
      </c>
      <c r="G28" s="1" t="s">
        <v>16</v>
      </c>
      <c r="H28" s="1" t="s">
        <v>29</v>
      </c>
      <c r="I28" s="1" t="s">
        <v>41</v>
      </c>
      <c r="J28">
        <v>15</v>
      </c>
      <c r="K28">
        <v>42</v>
      </c>
      <c r="L28" s="1" t="s">
        <v>21</v>
      </c>
    </row>
    <row r="29" spans="1:12" x14ac:dyDescent="0.3">
      <c r="A29" s="1" t="s">
        <v>2088</v>
      </c>
      <c r="B29" s="2">
        <v>46109</v>
      </c>
      <c r="C29" s="2">
        <v>46158</v>
      </c>
      <c r="D29" s="1" t="s">
        <v>28</v>
      </c>
      <c r="E29" s="1" t="s">
        <v>24</v>
      </c>
      <c r="F29" s="1" t="s">
        <v>38</v>
      </c>
      <c r="G29" s="1" t="s">
        <v>16</v>
      </c>
      <c r="H29" s="1" t="s">
        <v>29</v>
      </c>
      <c r="I29" s="1" t="s">
        <v>26</v>
      </c>
      <c r="J29">
        <v>45</v>
      </c>
      <c r="K29">
        <v>49</v>
      </c>
      <c r="L29" s="1" t="s">
        <v>44</v>
      </c>
    </row>
    <row r="30" spans="1:12" x14ac:dyDescent="0.3">
      <c r="A30" s="1" t="s">
        <v>2302</v>
      </c>
      <c r="B30" s="2">
        <v>46109</v>
      </c>
      <c r="C30" s="2">
        <v>46138</v>
      </c>
      <c r="D30" s="1" t="s">
        <v>13</v>
      </c>
      <c r="E30" s="1" t="s">
        <v>14</v>
      </c>
      <c r="F30" s="1" t="s">
        <v>38</v>
      </c>
      <c r="G30" s="1" t="s">
        <v>53</v>
      </c>
      <c r="H30" s="1" t="s">
        <v>47</v>
      </c>
      <c r="I30" s="1" t="s">
        <v>26</v>
      </c>
      <c r="J30">
        <v>15</v>
      </c>
      <c r="K30">
        <v>29</v>
      </c>
      <c r="L30" s="1" t="s">
        <v>21</v>
      </c>
    </row>
    <row r="31" spans="1:12" x14ac:dyDescent="0.3">
      <c r="A31" s="1" t="s">
        <v>2810</v>
      </c>
      <c r="B31" s="2">
        <v>46109</v>
      </c>
      <c r="C31" s="2">
        <v>46152</v>
      </c>
      <c r="D31" s="1" t="s">
        <v>13</v>
      </c>
      <c r="E31" s="1" t="s">
        <v>14</v>
      </c>
      <c r="F31" s="1" t="s">
        <v>15</v>
      </c>
      <c r="G31" s="1" t="s">
        <v>16</v>
      </c>
      <c r="H31" s="1" t="s">
        <v>17</v>
      </c>
      <c r="I31" s="1" t="s">
        <v>26</v>
      </c>
      <c r="J31">
        <v>30</v>
      </c>
      <c r="K31">
        <v>43</v>
      </c>
      <c r="L31" s="1" t="s">
        <v>44</v>
      </c>
    </row>
    <row r="32" spans="1:12" x14ac:dyDescent="0.3">
      <c r="A32" s="1" t="s">
        <v>2797</v>
      </c>
      <c r="B32" s="2">
        <v>46108</v>
      </c>
      <c r="C32" s="2">
        <v>46142</v>
      </c>
      <c r="D32" s="1" t="s">
        <v>37</v>
      </c>
      <c r="E32" s="1" t="s">
        <v>24</v>
      </c>
      <c r="F32" s="1" t="s">
        <v>15</v>
      </c>
      <c r="G32" s="1" t="s">
        <v>33</v>
      </c>
      <c r="H32" s="1" t="s">
        <v>49</v>
      </c>
      <c r="I32" s="1" t="s">
        <v>41</v>
      </c>
      <c r="J32">
        <v>30</v>
      </c>
      <c r="K32">
        <v>34</v>
      </c>
      <c r="L32" s="1" t="s">
        <v>21</v>
      </c>
    </row>
    <row r="33" spans="1:12" x14ac:dyDescent="0.3">
      <c r="A33" s="1" t="s">
        <v>2845</v>
      </c>
      <c r="B33" s="2">
        <v>46108</v>
      </c>
      <c r="C33" s="2">
        <v>46136</v>
      </c>
      <c r="D33" s="1" t="s">
        <v>37</v>
      </c>
      <c r="E33" s="1" t="s">
        <v>24</v>
      </c>
      <c r="F33" s="1" t="s">
        <v>15</v>
      </c>
      <c r="G33" s="1" t="s">
        <v>16</v>
      </c>
      <c r="H33" s="1" t="s">
        <v>49</v>
      </c>
      <c r="I33" s="1" t="s">
        <v>18</v>
      </c>
      <c r="J33">
        <v>30</v>
      </c>
      <c r="K33">
        <v>28</v>
      </c>
      <c r="L33" s="1" t="s">
        <v>19</v>
      </c>
    </row>
    <row r="34" spans="1:12" x14ac:dyDescent="0.3">
      <c r="A34" s="1" t="s">
        <v>306</v>
      </c>
      <c r="B34" s="2">
        <v>46108</v>
      </c>
      <c r="C34" s="2">
        <v>46127</v>
      </c>
      <c r="D34" s="1" t="s">
        <v>13</v>
      </c>
      <c r="E34" s="1" t="s">
        <v>14</v>
      </c>
      <c r="F34" s="1" t="s">
        <v>15</v>
      </c>
      <c r="G34" s="1" t="s">
        <v>16</v>
      </c>
      <c r="H34" s="1" t="s">
        <v>17</v>
      </c>
      <c r="I34" s="1" t="s">
        <v>18</v>
      </c>
      <c r="J34">
        <v>15</v>
      </c>
      <c r="K34">
        <v>19</v>
      </c>
      <c r="L34" s="1" t="s">
        <v>19</v>
      </c>
    </row>
    <row r="35" spans="1:12" x14ac:dyDescent="0.3">
      <c r="A35" s="1" t="s">
        <v>388</v>
      </c>
      <c r="B35" s="2">
        <v>46108</v>
      </c>
      <c r="C35" s="2">
        <v>46143</v>
      </c>
      <c r="D35" s="1" t="s">
        <v>28</v>
      </c>
      <c r="E35" s="1" t="s">
        <v>24</v>
      </c>
      <c r="F35" s="1" t="s">
        <v>38</v>
      </c>
      <c r="G35" s="1" t="s">
        <v>16</v>
      </c>
      <c r="H35" s="1" t="s">
        <v>54</v>
      </c>
      <c r="I35" s="1" t="s">
        <v>26</v>
      </c>
      <c r="J35">
        <v>30</v>
      </c>
      <c r="K35">
        <v>35</v>
      </c>
      <c r="L35" s="1" t="s">
        <v>21</v>
      </c>
    </row>
    <row r="36" spans="1:12" x14ac:dyDescent="0.3">
      <c r="A36" s="1" t="s">
        <v>1124</v>
      </c>
      <c r="B36" s="2">
        <v>46108</v>
      </c>
      <c r="C36" s="2">
        <v>46141</v>
      </c>
      <c r="D36" s="1" t="s">
        <v>13</v>
      </c>
      <c r="E36" s="1" t="s">
        <v>24</v>
      </c>
      <c r="F36" s="1" t="s">
        <v>38</v>
      </c>
      <c r="G36" s="1" t="s">
        <v>53</v>
      </c>
      <c r="H36" s="1" t="s">
        <v>47</v>
      </c>
      <c r="I36" s="1" t="s">
        <v>41</v>
      </c>
      <c r="J36">
        <v>30</v>
      </c>
      <c r="K36">
        <v>33</v>
      </c>
      <c r="L36" s="1" t="s">
        <v>21</v>
      </c>
    </row>
    <row r="37" spans="1:12" x14ac:dyDescent="0.3">
      <c r="A37" s="1" t="s">
        <v>1130</v>
      </c>
      <c r="B37" s="2">
        <v>46108</v>
      </c>
      <c r="C37" s="2">
        <v>46133</v>
      </c>
      <c r="D37" s="1" t="s">
        <v>13</v>
      </c>
      <c r="E37" s="1" t="s">
        <v>24</v>
      </c>
      <c r="F37" s="1" t="s">
        <v>38</v>
      </c>
      <c r="G37" s="1" t="s">
        <v>33</v>
      </c>
      <c r="H37" s="1" t="s">
        <v>17</v>
      </c>
      <c r="I37" s="1" t="s">
        <v>41</v>
      </c>
      <c r="J37">
        <v>30</v>
      </c>
      <c r="K37">
        <v>25</v>
      </c>
      <c r="L37" s="1" t="s">
        <v>19</v>
      </c>
    </row>
    <row r="38" spans="1:12" x14ac:dyDescent="0.3">
      <c r="A38" s="1" t="s">
        <v>2418</v>
      </c>
      <c r="B38" s="2">
        <v>46108</v>
      </c>
      <c r="C38" s="2">
        <v>46146</v>
      </c>
      <c r="D38" s="1" t="s">
        <v>32</v>
      </c>
      <c r="E38" s="1" t="s">
        <v>24</v>
      </c>
      <c r="F38" s="1" t="s">
        <v>15</v>
      </c>
      <c r="G38" s="1" t="s">
        <v>16</v>
      </c>
      <c r="H38" s="1" t="s">
        <v>34</v>
      </c>
      <c r="I38" s="1" t="s">
        <v>41</v>
      </c>
      <c r="J38">
        <v>30</v>
      </c>
      <c r="K38">
        <v>38</v>
      </c>
      <c r="L38" s="1" t="s">
        <v>21</v>
      </c>
    </row>
    <row r="39" spans="1:12" x14ac:dyDescent="0.3">
      <c r="A39" s="1" t="s">
        <v>3191</v>
      </c>
      <c r="B39" s="2">
        <v>46108</v>
      </c>
      <c r="C39" s="2">
        <v>46128</v>
      </c>
      <c r="D39" s="1" t="s">
        <v>13</v>
      </c>
      <c r="E39" s="1" t="s">
        <v>24</v>
      </c>
      <c r="F39" s="1" t="s">
        <v>15</v>
      </c>
      <c r="G39" s="1" t="s">
        <v>16</v>
      </c>
      <c r="H39" s="1" t="s">
        <v>47</v>
      </c>
      <c r="I39" s="1" t="s">
        <v>18</v>
      </c>
      <c r="J39">
        <v>30</v>
      </c>
      <c r="K39">
        <v>20</v>
      </c>
      <c r="L39" s="1" t="s">
        <v>19</v>
      </c>
    </row>
    <row r="40" spans="1:12" x14ac:dyDescent="0.3">
      <c r="A40" s="1" t="s">
        <v>2004</v>
      </c>
      <c r="B40" s="2">
        <v>46107</v>
      </c>
      <c r="C40" s="2">
        <v>46142</v>
      </c>
      <c r="D40" s="1" t="s">
        <v>37</v>
      </c>
      <c r="E40" s="1" t="s">
        <v>14</v>
      </c>
      <c r="F40" s="1" t="s">
        <v>15</v>
      </c>
      <c r="G40" s="1" t="s">
        <v>16</v>
      </c>
      <c r="H40" s="1" t="s">
        <v>39</v>
      </c>
      <c r="I40" s="1" t="s">
        <v>41</v>
      </c>
      <c r="J40">
        <v>30</v>
      </c>
      <c r="K40">
        <v>35</v>
      </c>
      <c r="L40" s="1" t="s">
        <v>21</v>
      </c>
    </row>
    <row r="41" spans="1:12" x14ac:dyDescent="0.3">
      <c r="A41" s="1" t="s">
        <v>814</v>
      </c>
      <c r="B41" s="2">
        <v>46107</v>
      </c>
      <c r="C41" s="2">
        <v>46114</v>
      </c>
      <c r="D41" s="1" t="s">
        <v>23</v>
      </c>
      <c r="E41" s="1" t="s">
        <v>14</v>
      </c>
      <c r="F41" s="1" t="s">
        <v>15</v>
      </c>
      <c r="G41" s="1" t="s">
        <v>16</v>
      </c>
      <c r="H41" s="1" t="s">
        <v>25</v>
      </c>
      <c r="I41" s="1" t="s">
        <v>18</v>
      </c>
      <c r="J41">
        <v>30</v>
      </c>
      <c r="K41">
        <v>7</v>
      </c>
      <c r="L41" s="1" t="s">
        <v>30</v>
      </c>
    </row>
    <row r="42" spans="1:12" x14ac:dyDescent="0.3">
      <c r="A42" s="1" t="s">
        <v>1789</v>
      </c>
      <c r="B42" s="2">
        <v>46107</v>
      </c>
      <c r="C42" s="2">
        <v>46150</v>
      </c>
      <c r="D42" s="1" t="s">
        <v>23</v>
      </c>
      <c r="E42" s="1" t="s">
        <v>24</v>
      </c>
      <c r="F42" s="1" t="s">
        <v>15</v>
      </c>
      <c r="G42" s="1" t="s">
        <v>16</v>
      </c>
      <c r="H42" s="1" t="s">
        <v>25</v>
      </c>
      <c r="I42" s="1" t="s">
        <v>18</v>
      </c>
      <c r="J42">
        <v>30</v>
      </c>
      <c r="K42">
        <v>43</v>
      </c>
      <c r="L42" s="1" t="s">
        <v>44</v>
      </c>
    </row>
    <row r="43" spans="1:12" x14ac:dyDescent="0.3">
      <c r="A43" s="1" t="s">
        <v>2081</v>
      </c>
      <c r="B43" s="2">
        <v>46107</v>
      </c>
      <c r="C43" s="2">
        <v>46110</v>
      </c>
      <c r="D43" s="1" t="s">
        <v>13</v>
      </c>
      <c r="E43" s="1" t="s">
        <v>14</v>
      </c>
      <c r="F43" s="1" t="s">
        <v>15</v>
      </c>
      <c r="G43" s="1" t="s">
        <v>16</v>
      </c>
      <c r="H43" s="1" t="s">
        <v>47</v>
      </c>
      <c r="I43" s="1" t="s">
        <v>26</v>
      </c>
      <c r="J43">
        <v>30</v>
      </c>
      <c r="K43">
        <v>3</v>
      </c>
      <c r="L43" s="1" t="s">
        <v>30</v>
      </c>
    </row>
    <row r="44" spans="1:12" x14ac:dyDescent="0.3">
      <c r="A44" s="1" t="s">
        <v>2421</v>
      </c>
      <c r="B44" s="2">
        <v>46107</v>
      </c>
      <c r="C44" s="2">
        <v>46143</v>
      </c>
      <c r="D44" s="1" t="s">
        <v>28</v>
      </c>
      <c r="E44" s="1" t="s">
        <v>14</v>
      </c>
      <c r="F44" s="1" t="s">
        <v>38</v>
      </c>
      <c r="G44" s="1" t="s">
        <v>16</v>
      </c>
      <c r="H44" s="1" t="s">
        <v>29</v>
      </c>
      <c r="I44" s="1" t="s">
        <v>26</v>
      </c>
      <c r="J44">
        <v>15</v>
      </c>
      <c r="K44">
        <v>36</v>
      </c>
      <c r="L44" s="1" t="s">
        <v>21</v>
      </c>
    </row>
    <row r="45" spans="1:12" x14ac:dyDescent="0.3">
      <c r="A45" s="1" t="s">
        <v>2695</v>
      </c>
      <c r="B45" s="2">
        <v>46107</v>
      </c>
      <c r="C45" s="2">
        <v>46151</v>
      </c>
      <c r="D45" s="1" t="s">
        <v>23</v>
      </c>
      <c r="E45" s="1" t="s">
        <v>14</v>
      </c>
      <c r="F45" s="1" t="s">
        <v>38</v>
      </c>
      <c r="G45" s="1" t="s">
        <v>53</v>
      </c>
      <c r="H45" s="1" t="s">
        <v>25</v>
      </c>
      <c r="I45" s="1" t="s">
        <v>26</v>
      </c>
      <c r="J45">
        <v>15</v>
      </c>
      <c r="K45">
        <v>44</v>
      </c>
      <c r="L45" s="1" t="s">
        <v>44</v>
      </c>
    </row>
    <row r="46" spans="1:12" x14ac:dyDescent="0.3">
      <c r="A46" s="1" t="s">
        <v>1270</v>
      </c>
      <c r="B46" s="2">
        <v>46106</v>
      </c>
      <c r="C46" s="2">
        <v>46139</v>
      </c>
      <c r="D46" s="1" t="s">
        <v>37</v>
      </c>
      <c r="E46" s="1" t="s">
        <v>14</v>
      </c>
      <c r="F46" s="1" t="s">
        <v>15</v>
      </c>
      <c r="G46" s="1" t="s">
        <v>16</v>
      </c>
      <c r="H46" s="1" t="s">
        <v>39</v>
      </c>
      <c r="I46" s="1" t="s">
        <v>18</v>
      </c>
      <c r="J46">
        <v>30</v>
      </c>
      <c r="K46">
        <v>33</v>
      </c>
      <c r="L46" s="1" t="s">
        <v>21</v>
      </c>
    </row>
    <row r="47" spans="1:12" x14ac:dyDescent="0.3">
      <c r="A47" s="1" t="s">
        <v>597</v>
      </c>
      <c r="B47" s="2">
        <v>46106</v>
      </c>
      <c r="C47" s="2">
        <v>46149</v>
      </c>
      <c r="D47" s="1" t="s">
        <v>32</v>
      </c>
      <c r="E47" s="1" t="s">
        <v>24</v>
      </c>
      <c r="F47" s="1" t="s">
        <v>15</v>
      </c>
      <c r="G47" s="1" t="s">
        <v>16</v>
      </c>
      <c r="H47" s="1" t="s">
        <v>34</v>
      </c>
      <c r="I47" s="1" t="s">
        <v>18</v>
      </c>
      <c r="J47">
        <v>30</v>
      </c>
      <c r="K47">
        <v>43</v>
      </c>
      <c r="L47" s="1" t="s">
        <v>44</v>
      </c>
    </row>
    <row r="48" spans="1:12" x14ac:dyDescent="0.3">
      <c r="A48" s="1" t="s">
        <v>1245</v>
      </c>
      <c r="B48" s="2">
        <v>46106</v>
      </c>
      <c r="C48" s="2">
        <v>46131</v>
      </c>
      <c r="D48" s="1" t="s">
        <v>23</v>
      </c>
      <c r="E48" s="1" t="s">
        <v>14</v>
      </c>
      <c r="F48" s="1" t="s">
        <v>38</v>
      </c>
      <c r="G48" s="1" t="s">
        <v>16</v>
      </c>
      <c r="H48" s="1" t="s">
        <v>25</v>
      </c>
      <c r="I48" s="1" t="s">
        <v>26</v>
      </c>
      <c r="J48">
        <v>15</v>
      </c>
      <c r="K48">
        <v>25</v>
      </c>
      <c r="L48" s="1" t="s">
        <v>19</v>
      </c>
    </row>
    <row r="49" spans="1:12" x14ac:dyDescent="0.3">
      <c r="A49" s="1" t="s">
        <v>1288</v>
      </c>
      <c r="B49" s="2">
        <v>46106</v>
      </c>
      <c r="C49" s="2">
        <v>46142</v>
      </c>
      <c r="D49" s="1" t="s">
        <v>13</v>
      </c>
      <c r="E49" s="1" t="s">
        <v>14</v>
      </c>
      <c r="F49" s="1" t="s">
        <v>15</v>
      </c>
      <c r="G49" s="1" t="s">
        <v>16</v>
      </c>
      <c r="H49" s="1" t="s">
        <v>17</v>
      </c>
      <c r="I49" s="1" t="s">
        <v>26</v>
      </c>
      <c r="J49">
        <v>30</v>
      </c>
      <c r="K49">
        <v>36</v>
      </c>
      <c r="L49" s="1" t="s">
        <v>21</v>
      </c>
    </row>
    <row r="50" spans="1:12" x14ac:dyDescent="0.3">
      <c r="A50" s="1" t="s">
        <v>1435</v>
      </c>
      <c r="B50" s="2">
        <v>46106</v>
      </c>
      <c r="C50" s="2">
        <v>46135</v>
      </c>
      <c r="D50" s="1" t="s">
        <v>28</v>
      </c>
      <c r="E50" s="1" t="s">
        <v>14</v>
      </c>
      <c r="F50" s="1" t="s">
        <v>15</v>
      </c>
      <c r="G50" s="1" t="s">
        <v>16</v>
      </c>
      <c r="H50" s="1" t="s">
        <v>29</v>
      </c>
      <c r="I50" s="1" t="s">
        <v>18</v>
      </c>
      <c r="J50">
        <v>15</v>
      </c>
      <c r="K50">
        <v>29</v>
      </c>
      <c r="L50" s="1" t="s">
        <v>21</v>
      </c>
    </row>
    <row r="51" spans="1:12" x14ac:dyDescent="0.3">
      <c r="A51" s="1" t="s">
        <v>1499</v>
      </c>
      <c r="B51" s="2">
        <v>46106</v>
      </c>
      <c r="C51" s="2">
        <v>46129</v>
      </c>
      <c r="D51" s="1" t="s">
        <v>32</v>
      </c>
      <c r="E51" s="1" t="s">
        <v>14</v>
      </c>
      <c r="F51" s="1" t="s">
        <v>15</v>
      </c>
      <c r="G51" s="1" t="s">
        <v>16</v>
      </c>
      <c r="H51" s="1" t="s">
        <v>71</v>
      </c>
      <c r="I51" s="1" t="s">
        <v>26</v>
      </c>
      <c r="J51">
        <v>15</v>
      </c>
      <c r="K51">
        <v>23</v>
      </c>
      <c r="L51" s="1" t="s">
        <v>19</v>
      </c>
    </row>
    <row r="52" spans="1:12" x14ac:dyDescent="0.3">
      <c r="A52" s="1" t="s">
        <v>1612</v>
      </c>
      <c r="B52" s="2">
        <v>46106</v>
      </c>
      <c r="C52" s="2">
        <v>46147</v>
      </c>
      <c r="D52" s="1" t="s">
        <v>28</v>
      </c>
      <c r="E52" s="1" t="s">
        <v>14</v>
      </c>
      <c r="F52" s="1" t="s">
        <v>15</v>
      </c>
      <c r="G52" s="1" t="s">
        <v>16</v>
      </c>
      <c r="H52" s="1" t="s">
        <v>54</v>
      </c>
      <c r="I52" s="1" t="s">
        <v>18</v>
      </c>
      <c r="J52">
        <v>15</v>
      </c>
      <c r="K52">
        <v>41</v>
      </c>
      <c r="L52" s="1" t="s">
        <v>21</v>
      </c>
    </row>
    <row r="53" spans="1:12" x14ac:dyDescent="0.3">
      <c r="A53" s="1" t="s">
        <v>1749</v>
      </c>
      <c r="B53" s="2">
        <v>46106</v>
      </c>
      <c r="C53" s="2">
        <v>46108</v>
      </c>
      <c r="D53" s="1" t="s">
        <v>28</v>
      </c>
      <c r="E53" s="1" t="s">
        <v>14</v>
      </c>
      <c r="F53" s="1" t="s">
        <v>15</v>
      </c>
      <c r="G53" s="1" t="s">
        <v>16</v>
      </c>
      <c r="H53" s="1" t="s">
        <v>54</v>
      </c>
      <c r="I53" s="1" t="s">
        <v>26</v>
      </c>
      <c r="J53">
        <v>30</v>
      </c>
      <c r="K53">
        <v>2</v>
      </c>
      <c r="L53" s="1" t="s">
        <v>30</v>
      </c>
    </row>
    <row r="54" spans="1:12" x14ac:dyDescent="0.3">
      <c r="A54" s="1" t="s">
        <v>1870</v>
      </c>
      <c r="B54" s="2">
        <v>46106</v>
      </c>
      <c r="C54" s="2">
        <v>46131</v>
      </c>
      <c r="D54" s="1" t="s">
        <v>28</v>
      </c>
      <c r="E54" s="1" t="s">
        <v>14</v>
      </c>
      <c r="F54" s="1" t="s">
        <v>15</v>
      </c>
      <c r="G54" s="1" t="s">
        <v>16</v>
      </c>
      <c r="H54" s="1" t="s">
        <v>54</v>
      </c>
      <c r="I54" s="1" t="s">
        <v>26</v>
      </c>
      <c r="J54">
        <v>30</v>
      </c>
      <c r="K54">
        <v>25</v>
      </c>
      <c r="L54" s="1" t="s">
        <v>19</v>
      </c>
    </row>
    <row r="55" spans="1:12" x14ac:dyDescent="0.3">
      <c r="A55" s="1" t="s">
        <v>2077</v>
      </c>
      <c r="B55" s="2">
        <v>46106</v>
      </c>
      <c r="C55" s="2">
        <v>46134</v>
      </c>
      <c r="D55" s="1" t="s">
        <v>32</v>
      </c>
      <c r="E55" s="1" t="s">
        <v>24</v>
      </c>
      <c r="F55" s="1" t="s">
        <v>15</v>
      </c>
      <c r="G55" s="1" t="s">
        <v>16</v>
      </c>
      <c r="H55" s="1" t="s">
        <v>71</v>
      </c>
      <c r="I55" s="1" t="s">
        <v>41</v>
      </c>
      <c r="J55">
        <v>45</v>
      </c>
      <c r="K55">
        <v>28</v>
      </c>
      <c r="L55" s="1" t="s">
        <v>19</v>
      </c>
    </row>
    <row r="56" spans="1:12" x14ac:dyDescent="0.3">
      <c r="A56" s="1" t="s">
        <v>3016</v>
      </c>
      <c r="B56" s="2">
        <v>46105</v>
      </c>
      <c r="C56" s="2">
        <v>46113</v>
      </c>
      <c r="D56" s="1" t="s">
        <v>37</v>
      </c>
      <c r="E56" s="1" t="s">
        <v>24</v>
      </c>
      <c r="F56" s="1" t="s">
        <v>15</v>
      </c>
      <c r="G56" s="1" t="s">
        <v>16</v>
      </c>
      <c r="H56" s="1" t="s">
        <v>49</v>
      </c>
      <c r="I56" s="1" t="s">
        <v>41</v>
      </c>
      <c r="J56">
        <v>30</v>
      </c>
      <c r="K56">
        <v>8</v>
      </c>
      <c r="L56" s="1" t="s">
        <v>30</v>
      </c>
    </row>
    <row r="57" spans="1:12" x14ac:dyDescent="0.3">
      <c r="A57" s="1" t="s">
        <v>182</v>
      </c>
      <c r="B57" s="2">
        <v>46105</v>
      </c>
      <c r="C57" s="2">
        <v>46119</v>
      </c>
      <c r="D57" s="1" t="s">
        <v>32</v>
      </c>
      <c r="E57" s="1" t="s">
        <v>24</v>
      </c>
      <c r="F57" s="1" t="s">
        <v>15</v>
      </c>
      <c r="G57" s="1" t="s">
        <v>16</v>
      </c>
      <c r="H57" s="1" t="s">
        <v>71</v>
      </c>
      <c r="I57" s="1" t="s">
        <v>26</v>
      </c>
      <c r="J57">
        <v>30</v>
      </c>
      <c r="K57">
        <v>14</v>
      </c>
      <c r="L57" s="1" t="s">
        <v>30</v>
      </c>
    </row>
    <row r="58" spans="1:12" x14ac:dyDescent="0.3">
      <c r="A58" s="1" t="s">
        <v>1240</v>
      </c>
      <c r="B58" s="2">
        <v>46105</v>
      </c>
      <c r="C58" s="2">
        <v>46145</v>
      </c>
      <c r="D58" s="1" t="s">
        <v>28</v>
      </c>
      <c r="E58" s="1" t="s">
        <v>24</v>
      </c>
      <c r="F58" s="1" t="s">
        <v>15</v>
      </c>
      <c r="G58" s="1" t="s">
        <v>16</v>
      </c>
      <c r="H58" s="1" t="s">
        <v>54</v>
      </c>
      <c r="I58" s="1" t="s">
        <v>18</v>
      </c>
      <c r="J58">
        <v>30</v>
      </c>
      <c r="K58">
        <v>40</v>
      </c>
      <c r="L58" s="1" t="s">
        <v>21</v>
      </c>
    </row>
    <row r="59" spans="1:12" x14ac:dyDescent="0.3">
      <c r="A59" s="1" t="s">
        <v>1718</v>
      </c>
      <c r="B59" s="2">
        <v>46105</v>
      </c>
      <c r="C59" s="2">
        <v>46149</v>
      </c>
      <c r="D59" s="1" t="s">
        <v>23</v>
      </c>
      <c r="E59" s="1" t="s">
        <v>24</v>
      </c>
      <c r="F59" s="1" t="s">
        <v>15</v>
      </c>
      <c r="G59" s="1" t="s">
        <v>16</v>
      </c>
      <c r="H59" s="1" t="s">
        <v>43</v>
      </c>
      <c r="I59" s="1" t="s">
        <v>26</v>
      </c>
      <c r="J59">
        <v>45</v>
      </c>
      <c r="K59">
        <v>44</v>
      </c>
      <c r="L59" s="1" t="s">
        <v>44</v>
      </c>
    </row>
    <row r="60" spans="1:12" x14ac:dyDescent="0.3">
      <c r="A60" s="1" t="s">
        <v>1872</v>
      </c>
      <c r="B60" s="2">
        <v>46105</v>
      </c>
      <c r="C60" s="2">
        <v>46130</v>
      </c>
      <c r="D60" s="1" t="s">
        <v>28</v>
      </c>
      <c r="E60" s="1" t="s">
        <v>14</v>
      </c>
      <c r="F60" s="1" t="s">
        <v>15</v>
      </c>
      <c r="G60" s="1" t="s">
        <v>16</v>
      </c>
      <c r="H60" s="1" t="s">
        <v>54</v>
      </c>
      <c r="I60" s="1" t="s">
        <v>26</v>
      </c>
      <c r="J60">
        <v>30</v>
      </c>
      <c r="K60">
        <v>25</v>
      </c>
      <c r="L60" s="1" t="s">
        <v>19</v>
      </c>
    </row>
    <row r="61" spans="1:12" x14ac:dyDescent="0.3">
      <c r="A61" s="1" t="s">
        <v>2272</v>
      </c>
      <c r="B61" s="2">
        <v>46105</v>
      </c>
      <c r="C61" s="2">
        <v>46131</v>
      </c>
      <c r="D61" s="1" t="s">
        <v>28</v>
      </c>
      <c r="E61" s="1" t="s">
        <v>24</v>
      </c>
      <c r="F61" s="1" t="s">
        <v>15</v>
      </c>
      <c r="G61" s="1" t="s">
        <v>16</v>
      </c>
      <c r="H61" s="1" t="s">
        <v>29</v>
      </c>
      <c r="I61" s="1" t="s">
        <v>18</v>
      </c>
      <c r="J61">
        <v>30</v>
      </c>
      <c r="K61">
        <v>26</v>
      </c>
      <c r="L61" s="1" t="s">
        <v>19</v>
      </c>
    </row>
    <row r="62" spans="1:12" x14ac:dyDescent="0.3">
      <c r="A62" s="1" t="s">
        <v>2597</v>
      </c>
      <c r="B62" s="2">
        <v>46105</v>
      </c>
      <c r="C62" s="2">
        <v>46125</v>
      </c>
      <c r="D62" s="1" t="s">
        <v>32</v>
      </c>
      <c r="E62" s="1" t="s">
        <v>14</v>
      </c>
      <c r="F62" s="1" t="s">
        <v>15</v>
      </c>
      <c r="G62" s="1" t="s">
        <v>16</v>
      </c>
      <c r="H62" s="1" t="s">
        <v>34</v>
      </c>
      <c r="I62" s="1" t="s">
        <v>18</v>
      </c>
      <c r="J62">
        <v>15</v>
      </c>
      <c r="K62">
        <v>20</v>
      </c>
      <c r="L62" s="1" t="s">
        <v>19</v>
      </c>
    </row>
    <row r="63" spans="1:12" x14ac:dyDescent="0.3">
      <c r="A63" s="1" t="s">
        <v>2732</v>
      </c>
      <c r="B63" s="2">
        <v>46105</v>
      </c>
      <c r="C63" s="2">
        <v>46166</v>
      </c>
      <c r="D63" s="1" t="s">
        <v>32</v>
      </c>
      <c r="E63" s="1" t="s">
        <v>14</v>
      </c>
      <c r="F63" s="1" t="s">
        <v>15</v>
      </c>
      <c r="G63" s="1" t="s">
        <v>16</v>
      </c>
      <c r="H63" s="1" t="s">
        <v>71</v>
      </c>
      <c r="I63" s="1" t="s">
        <v>26</v>
      </c>
      <c r="J63">
        <v>30</v>
      </c>
      <c r="K63">
        <v>61</v>
      </c>
      <c r="L63" s="1" t="s">
        <v>80</v>
      </c>
    </row>
    <row r="64" spans="1:12" x14ac:dyDescent="0.3">
      <c r="A64" s="1" t="s">
        <v>936</v>
      </c>
      <c r="B64" s="2">
        <v>46104</v>
      </c>
      <c r="C64" s="2">
        <v>46124</v>
      </c>
      <c r="D64" s="1" t="s">
        <v>37</v>
      </c>
      <c r="E64" s="1" t="s">
        <v>24</v>
      </c>
      <c r="F64" s="1" t="s">
        <v>38</v>
      </c>
      <c r="G64" s="1" t="s">
        <v>16</v>
      </c>
      <c r="H64" s="1" t="s">
        <v>49</v>
      </c>
      <c r="I64" s="1" t="s">
        <v>41</v>
      </c>
      <c r="J64">
        <v>30</v>
      </c>
      <c r="K64">
        <v>20</v>
      </c>
      <c r="L64" s="1" t="s">
        <v>19</v>
      </c>
    </row>
    <row r="65" spans="1:12" x14ac:dyDescent="0.3">
      <c r="A65" s="1" t="s">
        <v>893</v>
      </c>
      <c r="B65" s="2">
        <v>46104</v>
      </c>
      <c r="C65" s="2">
        <v>46122</v>
      </c>
      <c r="D65" s="1" t="s">
        <v>37</v>
      </c>
      <c r="E65" s="1" t="s">
        <v>24</v>
      </c>
      <c r="F65" s="1" t="s">
        <v>15</v>
      </c>
      <c r="G65" s="1" t="s">
        <v>16</v>
      </c>
      <c r="H65" s="1" t="s">
        <v>39</v>
      </c>
      <c r="I65" s="1" t="s">
        <v>26</v>
      </c>
      <c r="J65">
        <v>30</v>
      </c>
      <c r="K65">
        <v>18</v>
      </c>
      <c r="L65" s="1" t="s">
        <v>19</v>
      </c>
    </row>
    <row r="66" spans="1:12" x14ac:dyDescent="0.3">
      <c r="A66" s="1" t="s">
        <v>636</v>
      </c>
      <c r="B66" s="2">
        <v>46104</v>
      </c>
      <c r="C66" s="2">
        <v>46119</v>
      </c>
      <c r="D66" s="1" t="s">
        <v>23</v>
      </c>
      <c r="E66" s="1" t="s">
        <v>24</v>
      </c>
      <c r="F66" s="1" t="s">
        <v>15</v>
      </c>
      <c r="G66" s="1" t="s">
        <v>53</v>
      </c>
      <c r="H66" s="1" t="s">
        <v>43</v>
      </c>
      <c r="I66" s="1" t="s">
        <v>18</v>
      </c>
      <c r="J66">
        <v>45</v>
      </c>
      <c r="K66">
        <v>15</v>
      </c>
      <c r="L66" s="1" t="s">
        <v>19</v>
      </c>
    </row>
    <row r="67" spans="1:12" x14ac:dyDescent="0.3">
      <c r="A67" s="1" t="s">
        <v>956</v>
      </c>
      <c r="B67" s="2">
        <v>46104</v>
      </c>
      <c r="C67" s="2">
        <v>46149</v>
      </c>
      <c r="D67" s="1" t="s">
        <v>32</v>
      </c>
      <c r="E67" s="1" t="s">
        <v>24</v>
      </c>
      <c r="F67" s="1" t="s">
        <v>15</v>
      </c>
      <c r="G67" s="1" t="s">
        <v>16</v>
      </c>
      <c r="H67" s="1" t="s">
        <v>71</v>
      </c>
      <c r="I67" s="1" t="s">
        <v>18</v>
      </c>
      <c r="J67">
        <v>30</v>
      </c>
      <c r="K67">
        <v>45</v>
      </c>
      <c r="L67" s="1" t="s">
        <v>44</v>
      </c>
    </row>
    <row r="68" spans="1:12" x14ac:dyDescent="0.3">
      <c r="A68" s="1" t="s">
        <v>1423</v>
      </c>
      <c r="B68" s="2">
        <v>46104</v>
      </c>
      <c r="C68" s="2">
        <v>46168</v>
      </c>
      <c r="D68" s="1" t="s">
        <v>28</v>
      </c>
      <c r="E68" s="1" t="s">
        <v>14</v>
      </c>
      <c r="F68" s="1" t="s">
        <v>38</v>
      </c>
      <c r="G68" s="1" t="s">
        <v>16</v>
      </c>
      <c r="H68" s="1" t="s">
        <v>54</v>
      </c>
      <c r="I68" s="1" t="s">
        <v>26</v>
      </c>
      <c r="J68">
        <v>30</v>
      </c>
      <c r="K68">
        <v>64</v>
      </c>
      <c r="L68" s="1" t="s">
        <v>80</v>
      </c>
    </row>
    <row r="69" spans="1:12" x14ac:dyDescent="0.3">
      <c r="A69" s="1" t="s">
        <v>1788</v>
      </c>
      <c r="B69" s="2">
        <v>46104</v>
      </c>
      <c r="C69" s="2">
        <v>46148</v>
      </c>
      <c r="D69" s="1" t="s">
        <v>28</v>
      </c>
      <c r="E69" s="1" t="s">
        <v>14</v>
      </c>
      <c r="F69" s="1" t="s">
        <v>15</v>
      </c>
      <c r="G69" s="1" t="s">
        <v>33</v>
      </c>
      <c r="H69" s="1" t="s">
        <v>29</v>
      </c>
      <c r="I69" s="1" t="s">
        <v>18</v>
      </c>
      <c r="J69">
        <v>30</v>
      </c>
      <c r="K69">
        <v>44</v>
      </c>
      <c r="L69" s="1" t="s">
        <v>44</v>
      </c>
    </row>
    <row r="70" spans="1:12" x14ac:dyDescent="0.3">
      <c r="A70" s="1" t="s">
        <v>2212</v>
      </c>
      <c r="B70" s="2">
        <v>46104</v>
      </c>
      <c r="C70" s="2">
        <v>46143</v>
      </c>
      <c r="D70" s="1" t="s">
        <v>13</v>
      </c>
      <c r="E70" s="1" t="s">
        <v>24</v>
      </c>
      <c r="F70" s="1" t="s">
        <v>15</v>
      </c>
      <c r="G70" s="1" t="s">
        <v>16</v>
      </c>
      <c r="H70" s="1" t="s">
        <v>17</v>
      </c>
      <c r="I70" s="1" t="s">
        <v>18</v>
      </c>
      <c r="J70">
        <v>30</v>
      </c>
      <c r="K70">
        <v>39</v>
      </c>
      <c r="L70" s="1" t="s">
        <v>21</v>
      </c>
    </row>
    <row r="71" spans="1:12" x14ac:dyDescent="0.3">
      <c r="A71" s="1" t="s">
        <v>2578</v>
      </c>
      <c r="B71" s="2">
        <v>46104</v>
      </c>
      <c r="C71" s="2">
        <v>46107</v>
      </c>
      <c r="D71" s="1" t="s">
        <v>28</v>
      </c>
      <c r="E71" s="1" t="s">
        <v>24</v>
      </c>
      <c r="F71" s="1" t="s">
        <v>15</v>
      </c>
      <c r="G71" s="1" t="s">
        <v>16</v>
      </c>
      <c r="H71" s="1" t="s">
        <v>29</v>
      </c>
      <c r="I71" s="1" t="s">
        <v>18</v>
      </c>
      <c r="J71">
        <v>30</v>
      </c>
      <c r="K71">
        <v>3</v>
      </c>
      <c r="L71" s="1" t="s">
        <v>30</v>
      </c>
    </row>
    <row r="72" spans="1:12" x14ac:dyDescent="0.3">
      <c r="A72" s="1" t="s">
        <v>2669</v>
      </c>
      <c r="B72" s="2">
        <v>46104</v>
      </c>
      <c r="C72" s="2">
        <v>46146</v>
      </c>
      <c r="D72" s="1" t="s">
        <v>28</v>
      </c>
      <c r="E72" s="1" t="s">
        <v>24</v>
      </c>
      <c r="F72" s="1" t="s">
        <v>15</v>
      </c>
      <c r="G72" s="1" t="s">
        <v>16</v>
      </c>
      <c r="H72" s="1" t="s">
        <v>54</v>
      </c>
      <c r="I72" s="1" t="s">
        <v>26</v>
      </c>
      <c r="J72">
        <v>30</v>
      </c>
      <c r="K72">
        <v>42</v>
      </c>
      <c r="L72" s="1" t="s">
        <v>21</v>
      </c>
    </row>
    <row r="73" spans="1:12" x14ac:dyDescent="0.3">
      <c r="A73" s="1" t="s">
        <v>3241</v>
      </c>
      <c r="B73" s="2">
        <v>46104</v>
      </c>
      <c r="C73" s="2">
        <v>46121</v>
      </c>
      <c r="D73" s="1" t="s">
        <v>23</v>
      </c>
      <c r="E73" s="1" t="s">
        <v>24</v>
      </c>
      <c r="F73" s="1" t="s">
        <v>15</v>
      </c>
      <c r="G73" s="1" t="s">
        <v>33</v>
      </c>
      <c r="H73" s="1" t="s">
        <v>43</v>
      </c>
      <c r="I73" s="1" t="s">
        <v>18</v>
      </c>
      <c r="J73">
        <v>45</v>
      </c>
      <c r="K73">
        <v>17</v>
      </c>
      <c r="L73" s="1" t="s">
        <v>19</v>
      </c>
    </row>
    <row r="74" spans="1:12" x14ac:dyDescent="0.3">
      <c r="A74" s="1" t="s">
        <v>1517</v>
      </c>
      <c r="B74" s="2">
        <v>46103</v>
      </c>
      <c r="C74" s="2">
        <v>46157</v>
      </c>
      <c r="D74" s="1" t="s">
        <v>37</v>
      </c>
      <c r="E74" s="1" t="s">
        <v>14</v>
      </c>
      <c r="F74" s="1" t="s">
        <v>15</v>
      </c>
      <c r="G74" s="1" t="s">
        <v>16</v>
      </c>
      <c r="H74" s="1" t="s">
        <v>39</v>
      </c>
      <c r="I74" s="1" t="s">
        <v>26</v>
      </c>
      <c r="J74">
        <v>15</v>
      </c>
      <c r="K74">
        <v>54</v>
      </c>
      <c r="L74" s="1" t="s">
        <v>44</v>
      </c>
    </row>
    <row r="75" spans="1:12" x14ac:dyDescent="0.3">
      <c r="A75" s="1" t="s">
        <v>48</v>
      </c>
      <c r="B75" s="2">
        <v>46103</v>
      </c>
      <c r="C75" s="2">
        <v>46134</v>
      </c>
      <c r="D75" s="1" t="s">
        <v>37</v>
      </c>
      <c r="E75" s="1" t="s">
        <v>24</v>
      </c>
      <c r="F75" s="1" t="s">
        <v>15</v>
      </c>
      <c r="G75" s="1" t="s">
        <v>16</v>
      </c>
      <c r="H75" s="1" t="s">
        <v>49</v>
      </c>
      <c r="I75" s="1" t="s">
        <v>26</v>
      </c>
      <c r="J75">
        <v>45</v>
      </c>
      <c r="K75">
        <v>31</v>
      </c>
      <c r="L75" s="1" t="s">
        <v>21</v>
      </c>
    </row>
    <row r="76" spans="1:12" x14ac:dyDescent="0.3">
      <c r="A76" s="1" t="s">
        <v>2312</v>
      </c>
      <c r="B76" s="2">
        <v>46103</v>
      </c>
      <c r="C76" s="2">
        <v>46117</v>
      </c>
      <c r="D76" s="1" t="s">
        <v>37</v>
      </c>
      <c r="E76" s="1" t="s">
        <v>14</v>
      </c>
      <c r="F76" s="1" t="s">
        <v>15</v>
      </c>
      <c r="G76" s="1" t="s">
        <v>53</v>
      </c>
      <c r="H76" s="1" t="s">
        <v>49</v>
      </c>
      <c r="I76" s="1" t="s">
        <v>18</v>
      </c>
      <c r="J76">
        <v>15</v>
      </c>
      <c r="K76">
        <v>14</v>
      </c>
      <c r="L76" s="1" t="s">
        <v>30</v>
      </c>
    </row>
    <row r="77" spans="1:12" x14ac:dyDescent="0.3">
      <c r="A77" s="1" t="s">
        <v>2914</v>
      </c>
      <c r="B77" s="2">
        <v>46103</v>
      </c>
      <c r="C77" s="2">
        <v>46108</v>
      </c>
      <c r="D77" s="1" t="s">
        <v>37</v>
      </c>
      <c r="E77" s="1" t="s">
        <v>24</v>
      </c>
      <c r="F77" s="1" t="s">
        <v>15</v>
      </c>
      <c r="G77" s="1" t="s">
        <v>16</v>
      </c>
      <c r="H77" s="1" t="s">
        <v>39</v>
      </c>
      <c r="I77" s="1" t="s">
        <v>18</v>
      </c>
      <c r="J77">
        <v>45</v>
      </c>
      <c r="K77">
        <v>5</v>
      </c>
      <c r="L77" s="1" t="s">
        <v>30</v>
      </c>
    </row>
    <row r="78" spans="1:12" x14ac:dyDescent="0.3">
      <c r="A78" s="1" t="s">
        <v>1292</v>
      </c>
      <c r="B78" s="2">
        <v>46103</v>
      </c>
      <c r="C78" s="2">
        <v>46113</v>
      </c>
      <c r="D78" s="1" t="s">
        <v>23</v>
      </c>
      <c r="E78" s="1" t="s">
        <v>24</v>
      </c>
      <c r="F78" s="1" t="s">
        <v>15</v>
      </c>
      <c r="G78" s="1" t="s">
        <v>16</v>
      </c>
      <c r="H78" s="1" t="s">
        <v>25</v>
      </c>
      <c r="I78" s="1" t="s">
        <v>26</v>
      </c>
      <c r="J78">
        <v>30</v>
      </c>
      <c r="K78">
        <v>10</v>
      </c>
      <c r="L78" s="1" t="s">
        <v>30</v>
      </c>
    </row>
    <row r="79" spans="1:12" x14ac:dyDescent="0.3">
      <c r="A79" s="1" t="s">
        <v>1691</v>
      </c>
      <c r="B79" s="2">
        <v>46103</v>
      </c>
      <c r="C79" s="2">
        <v>46156</v>
      </c>
      <c r="D79" s="1" t="s">
        <v>13</v>
      </c>
      <c r="E79" s="1" t="s">
        <v>24</v>
      </c>
      <c r="F79" s="1" t="s">
        <v>15</v>
      </c>
      <c r="G79" s="1" t="s">
        <v>53</v>
      </c>
      <c r="H79" s="1" t="s">
        <v>17</v>
      </c>
      <c r="I79" s="1" t="s">
        <v>26</v>
      </c>
      <c r="J79">
        <v>30</v>
      </c>
      <c r="K79">
        <v>53</v>
      </c>
      <c r="L79" s="1" t="s">
        <v>44</v>
      </c>
    </row>
    <row r="80" spans="1:12" x14ac:dyDescent="0.3">
      <c r="A80" s="1" t="s">
        <v>1839</v>
      </c>
      <c r="B80" s="2">
        <v>46103</v>
      </c>
      <c r="C80" s="2">
        <v>46126</v>
      </c>
      <c r="D80" s="1" t="s">
        <v>32</v>
      </c>
      <c r="E80" s="1" t="s">
        <v>24</v>
      </c>
      <c r="F80" s="1" t="s">
        <v>15</v>
      </c>
      <c r="G80" s="1" t="s">
        <v>16</v>
      </c>
      <c r="H80" s="1" t="s">
        <v>34</v>
      </c>
      <c r="I80" s="1" t="s">
        <v>26</v>
      </c>
      <c r="J80">
        <v>30</v>
      </c>
      <c r="K80">
        <v>23</v>
      </c>
      <c r="L80" s="1" t="s">
        <v>19</v>
      </c>
    </row>
    <row r="81" spans="1:12" x14ac:dyDescent="0.3">
      <c r="A81" s="1" t="s">
        <v>2174</v>
      </c>
      <c r="B81" s="2">
        <v>46103</v>
      </c>
      <c r="C81" s="2">
        <v>46136</v>
      </c>
      <c r="D81" s="1" t="s">
        <v>28</v>
      </c>
      <c r="E81" s="1" t="s">
        <v>24</v>
      </c>
      <c r="F81" s="1" t="s">
        <v>15</v>
      </c>
      <c r="G81" s="1" t="s">
        <v>33</v>
      </c>
      <c r="H81" s="1" t="s">
        <v>29</v>
      </c>
      <c r="I81" s="1" t="s">
        <v>26</v>
      </c>
      <c r="J81">
        <v>30</v>
      </c>
      <c r="K81">
        <v>33</v>
      </c>
      <c r="L81" s="1" t="s">
        <v>21</v>
      </c>
    </row>
    <row r="82" spans="1:12" x14ac:dyDescent="0.3">
      <c r="A82" s="1" t="s">
        <v>2430</v>
      </c>
      <c r="B82" s="2">
        <v>46103</v>
      </c>
      <c r="C82" s="2">
        <v>46105</v>
      </c>
      <c r="D82" s="1" t="s">
        <v>23</v>
      </c>
      <c r="E82" s="1" t="s">
        <v>14</v>
      </c>
      <c r="F82" s="1" t="s">
        <v>15</v>
      </c>
      <c r="G82" s="1" t="s">
        <v>16</v>
      </c>
      <c r="H82" s="1" t="s">
        <v>25</v>
      </c>
      <c r="I82" s="1" t="s">
        <v>26</v>
      </c>
      <c r="J82">
        <v>30</v>
      </c>
      <c r="K82">
        <v>2</v>
      </c>
      <c r="L82" s="1" t="s">
        <v>30</v>
      </c>
    </row>
    <row r="83" spans="1:12" x14ac:dyDescent="0.3">
      <c r="A83" s="1" t="s">
        <v>2866</v>
      </c>
      <c r="B83" s="2">
        <v>46103</v>
      </c>
      <c r="C83" s="2">
        <v>46125</v>
      </c>
      <c r="D83" s="1" t="s">
        <v>28</v>
      </c>
      <c r="E83" s="1" t="s">
        <v>24</v>
      </c>
      <c r="F83" s="1" t="s">
        <v>15</v>
      </c>
      <c r="G83" s="1" t="s">
        <v>16</v>
      </c>
      <c r="H83" s="1" t="s">
        <v>54</v>
      </c>
      <c r="I83" s="1" t="s">
        <v>26</v>
      </c>
      <c r="J83">
        <v>30</v>
      </c>
      <c r="K83">
        <v>22</v>
      </c>
      <c r="L83" s="1" t="s">
        <v>19</v>
      </c>
    </row>
    <row r="84" spans="1:12" x14ac:dyDescent="0.3">
      <c r="A84" s="1" t="s">
        <v>2922</v>
      </c>
      <c r="B84" s="2">
        <v>46103</v>
      </c>
      <c r="C84" s="2">
        <v>46120</v>
      </c>
      <c r="D84" s="1" t="s">
        <v>23</v>
      </c>
      <c r="E84" s="1" t="s">
        <v>14</v>
      </c>
      <c r="F84" s="1" t="s">
        <v>38</v>
      </c>
      <c r="G84" s="1" t="s">
        <v>16</v>
      </c>
      <c r="H84" s="1" t="s">
        <v>25</v>
      </c>
      <c r="I84" s="1" t="s">
        <v>26</v>
      </c>
      <c r="J84">
        <v>15</v>
      </c>
      <c r="K84">
        <v>17</v>
      </c>
      <c r="L84" s="1" t="s">
        <v>19</v>
      </c>
    </row>
    <row r="85" spans="1:12" x14ac:dyDescent="0.3">
      <c r="A85" s="1" t="s">
        <v>3005</v>
      </c>
      <c r="B85" s="2">
        <v>46102</v>
      </c>
      <c r="C85" s="2">
        <v>46134</v>
      </c>
      <c r="D85" s="1" t="s">
        <v>37</v>
      </c>
      <c r="E85" s="1" t="s">
        <v>14</v>
      </c>
      <c r="F85" s="1" t="s">
        <v>15</v>
      </c>
      <c r="G85" s="1" t="s">
        <v>16</v>
      </c>
      <c r="H85" s="1" t="s">
        <v>39</v>
      </c>
      <c r="I85" s="1" t="s">
        <v>26</v>
      </c>
      <c r="J85">
        <v>30</v>
      </c>
      <c r="K85">
        <v>32</v>
      </c>
      <c r="L85" s="1" t="s">
        <v>21</v>
      </c>
    </row>
    <row r="86" spans="1:12" x14ac:dyDescent="0.3">
      <c r="A86" s="1" t="s">
        <v>2792</v>
      </c>
      <c r="B86" s="2">
        <v>46102</v>
      </c>
      <c r="C86" s="2">
        <v>46104</v>
      </c>
      <c r="D86" s="1" t="s">
        <v>37</v>
      </c>
      <c r="E86" s="1" t="s">
        <v>14</v>
      </c>
      <c r="F86" s="1" t="s">
        <v>15</v>
      </c>
      <c r="G86" s="1" t="s">
        <v>16</v>
      </c>
      <c r="H86" s="1" t="s">
        <v>49</v>
      </c>
      <c r="I86" s="1" t="s">
        <v>26</v>
      </c>
      <c r="J86">
        <v>30</v>
      </c>
      <c r="K86">
        <v>2</v>
      </c>
      <c r="L86" s="1" t="s">
        <v>30</v>
      </c>
    </row>
    <row r="87" spans="1:12" x14ac:dyDescent="0.3">
      <c r="A87" s="1" t="s">
        <v>366</v>
      </c>
      <c r="B87" s="2">
        <v>46102</v>
      </c>
      <c r="C87" s="2">
        <v>46104</v>
      </c>
      <c r="D87" s="1" t="s">
        <v>23</v>
      </c>
      <c r="E87" s="1" t="s">
        <v>14</v>
      </c>
      <c r="F87" s="1" t="s">
        <v>15</v>
      </c>
      <c r="G87" s="1" t="s">
        <v>16</v>
      </c>
      <c r="H87" s="1" t="s">
        <v>25</v>
      </c>
      <c r="I87" s="1" t="s">
        <v>41</v>
      </c>
      <c r="J87">
        <v>15</v>
      </c>
      <c r="K87">
        <v>2</v>
      </c>
      <c r="L87" s="1" t="s">
        <v>30</v>
      </c>
    </row>
    <row r="88" spans="1:12" x14ac:dyDescent="0.3">
      <c r="A88" s="1" t="s">
        <v>483</v>
      </c>
      <c r="B88" s="2">
        <v>46102</v>
      </c>
      <c r="C88" s="2">
        <v>46128</v>
      </c>
      <c r="D88" s="1" t="s">
        <v>28</v>
      </c>
      <c r="E88" s="1" t="s">
        <v>14</v>
      </c>
      <c r="F88" s="1" t="s">
        <v>15</v>
      </c>
      <c r="G88" s="1" t="s">
        <v>33</v>
      </c>
      <c r="H88" s="1" t="s">
        <v>54</v>
      </c>
      <c r="I88" s="1" t="s">
        <v>41</v>
      </c>
      <c r="J88">
        <v>30</v>
      </c>
      <c r="K88">
        <v>26</v>
      </c>
      <c r="L88" s="1" t="s">
        <v>19</v>
      </c>
    </row>
    <row r="89" spans="1:12" x14ac:dyDescent="0.3">
      <c r="A89" s="1" t="s">
        <v>989</v>
      </c>
      <c r="B89" s="2">
        <v>46102</v>
      </c>
      <c r="C89" s="2">
        <v>46164</v>
      </c>
      <c r="D89" s="1" t="s">
        <v>13</v>
      </c>
      <c r="E89" s="1" t="s">
        <v>14</v>
      </c>
      <c r="F89" s="1" t="s">
        <v>15</v>
      </c>
      <c r="G89" s="1" t="s">
        <v>16</v>
      </c>
      <c r="H89" s="1" t="s">
        <v>17</v>
      </c>
      <c r="I89" s="1" t="s">
        <v>41</v>
      </c>
      <c r="J89">
        <v>15</v>
      </c>
      <c r="K89">
        <v>62</v>
      </c>
      <c r="L89" s="1" t="s">
        <v>80</v>
      </c>
    </row>
    <row r="90" spans="1:12" x14ac:dyDescent="0.3">
      <c r="A90" s="1" t="s">
        <v>87</v>
      </c>
      <c r="B90" s="2">
        <v>46101</v>
      </c>
      <c r="C90" s="2">
        <v>46160</v>
      </c>
      <c r="D90" s="1" t="s">
        <v>37</v>
      </c>
      <c r="E90" s="1" t="s">
        <v>24</v>
      </c>
      <c r="F90" s="1" t="s">
        <v>38</v>
      </c>
      <c r="G90" s="1" t="s">
        <v>33</v>
      </c>
      <c r="H90" s="1" t="s">
        <v>49</v>
      </c>
      <c r="I90" s="1" t="s">
        <v>26</v>
      </c>
      <c r="J90">
        <v>30</v>
      </c>
      <c r="K90">
        <v>59</v>
      </c>
      <c r="L90" s="1" t="s">
        <v>80</v>
      </c>
    </row>
    <row r="91" spans="1:12" x14ac:dyDescent="0.3">
      <c r="A91" s="1" t="s">
        <v>1001</v>
      </c>
      <c r="B91" s="2">
        <v>46101</v>
      </c>
      <c r="C91" s="2">
        <v>46145</v>
      </c>
      <c r="D91" s="1" t="s">
        <v>37</v>
      </c>
      <c r="E91" s="1" t="s">
        <v>14</v>
      </c>
      <c r="F91" s="1" t="s">
        <v>15</v>
      </c>
      <c r="G91" s="1" t="s">
        <v>16</v>
      </c>
      <c r="H91" s="1" t="s">
        <v>39</v>
      </c>
      <c r="I91" s="1" t="s">
        <v>26</v>
      </c>
      <c r="J91">
        <v>30</v>
      </c>
      <c r="K91">
        <v>44</v>
      </c>
      <c r="L91" s="1" t="s">
        <v>44</v>
      </c>
    </row>
    <row r="92" spans="1:12" x14ac:dyDescent="0.3">
      <c r="A92" s="1" t="s">
        <v>1268</v>
      </c>
      <c r="B92" s="2">
        <v>46101</v>
      </c>
      <c r="C92" s="2">
        <v>46137</v>
      </c>
      <c r="D92" s="1" t="s">
        <v>37</v>
      </c>
      <c r="E92" s="1" t="s">
        <v>14</v>
      </c>
      <c r="F92" s="1" t="s">
        <v>38</v>
      </c>
      <c r="G92" s="1" t="s">
        <v>33</v>
      </c>
      <c r="H92" s="1" t="s">
        <v>39</v>
      </c>
      <c r="I92" s="1" t="s">
        <v>41</v>
      </c>
      <c r="J92">
        <v>15</v>
      </c>
      <c r="K92">
        <v>36</v>
      </c>
      <c r="L92" s="1" t="s">
        <v>21</v>
      </c>
    </row>
    <row r="93" spans="1:12" x14ac:dyDescent="0.3">
      <c r="A93" s="1" t="s">
        <v>2882</v>
      </c>
      <c r="B93" s="2">
        <v>46101</v>
      </c>
      <c r="C93" s="2">
        <v>46113</v>
      </c>
      <c r="D93" s="1" t="s">
        <v>37</v>
      </c>
      <c r="E93" s="1" t="s">
        <v>14</v>
      </c>
      <c r="F93" s="1" t="s">
        <v>15</v>
      </c>
      <c r="G93" s="1" t="s">
        <v>16</v>
      </c>
      <c r="H93" s="1" t="s">
        <v>39</v>
      </c>
      <c r="I93" s="1" t="s">
        <v>41</v>
      </c>
      <c r="J93">
        <v>30</v>
      </c>
      <c r="K93">
        <v>12</v>
      </c>
      <c r="L93" s="1" t="s">
        <v>30</v>
      </c>
    </row>
    <row r="94" spans="1:12" x14ac:dyDescent="0.3">
      <c r="A94" s="1" t="s">
        <v>446</v>
      </c>
      <c r="B94" s="2">
        <v>46101</v>
      </c>
      <c r="C94" s="2">
        <v>46131</v>
      </c>
      <c r="D94" s="1" t="s">
        <v>13</v>
      </c>
      <c r="E94" s="1" t="s">
        <v>24</v>
      </c>
      <c r="F94" s="1" t="s">
        <v>15</v>
      </c>
      <c r="G94" s="1" t="s">
        <v>16</v>
      </c>
      <c r="H94" s="1" t="s">
        <v>47</v>
      </c>
      <c r="I94" s="1" t="s">
        <v>41</v>
      </c>
      <c r="J94">
        <v>45</v>
      </c>
      <c r="K94">
        <v>30</v>
      </c>
      <c r="L94" s="1" t="s">
        <v>21</v>
      </c>
    </row>
    <row r="95" spans="1:12" x14ac:dyDescent="0.3">
      <c r="A95" s="1" t="s">
        <v>1275</v>
      </c>
      <c r="B95" s="2">
        <v>46101</v>
      </c>
      <c r="C95" s="2">
        <v>46121</v>
      </c>
      <c r="D95" s="1" t="s">
        <v>23</v>
      </c>
      <c r="E95" s="1" t="s">
        <v>24</v>
      </c>
      <c r="F95" s="1" t="s">
        <v>15</v>
      </c>
      <c r="G95" s="1" t="s">
        <v>53</v>
      </c>
      <c r="H95" s="1" t="s">
        <v>25</v>
      </c>
      <c r="I95" s="1" t="s">
        <v>26</v>
      </c>
      <c r="J95">
        <v>45</v>
      </c>
      <c r="K95">
        <v>20</v>
      </c>
      <c r="L95" s="1" t="s">
        <v>19</v>
      </c>
    </row>
    <row r="96" spans="1:12" x14ac:dyDescent="0.3">
      <c r="A96" s="1" t="s">
        <v>1997</v>
      </c>
      <c r="B96" s="2">
        <v>46101</v>
      </c>
      <c r="C96" s="2">
        <v>46142</v>
      </c>
      <c r="D96" s="1" t="s">
        <v>13</v>
      </c>
      <c r="E96" s="1" t="s">
        <v>14</v>
      </c>
      <c r="F96" s="1" t="s">
        <v>15</v>
      </c>
      <c r="G96" s="1" t="s">
        <v>33</v>
      </c>
      <c r="H96" s="1" t="s">
        <v>17</v>
      </c>
      <c r="I96" s="1" t="s">
        <v>26</v>
      </c>
      <c r="J96">
        <v>15</v>
      </c>
      <c r="K96">
        <v>41</v>
      </c>
      <c r="L96" s="1" t="s">
        <v>21</v>
      </c>
    </row>
    <row r="97" spans="1:12" x14ac:dyDescent="0.3">
      <c r="A97" s="1" t="s">
        <v>2584</v>
      </c>
      <c r="B97" s="2">
        <v>46101</v>
      </c>
      <c r="C97" s="2">
        <v>46139</v>
      </c>
      <c r="D97" s="1" t="s">
        <v>23</v>
      </c>
      <c r="E97" s="1" t="s">
        <v>14</v>
      </c>
      <c r="F97" s="1" t="s">
        <v>15</v>
      </c>
      <c r="G97" s="1" t="s">
        <v>16</v>
      </c>
      <c r="H97" s="1" t="s">
        <v>43</v>
      </c>
      <c r="I97" s="1" t="s">
        <v>41</v>
      </c>
      <c r="J97">
        <v>30</v>
      </c>
      <c r="K97">
        <v>38</v>
      </c>
      <c r="L97" s="1" t="s">
        <v>21</v>
      </c>
    </row>
    <row r="98" spans="1:12" x14ac:dyDescent="0.3">
      <c r="A98" s="1" t="s">
        <v>2631</v>
      </c>
      <c r="B98" s="2">
        <v>46101</v>
      </c>
      <c r="C98" s="2">
        <v>46133</v>
      </c>
      <c r="D98" s="1" t="s">
        <v>23</v>
      </c>
      <c r="E98" s="1" t="s">
        <v>24</v>
      </c>
      <c r="F98" s="1" t="s">
        <v>15</v>
      </c>
      <c r="G98" s="1" t="s">
        <v>16</v>
      </c>
      <c r="H98" s="1" t="s">
        <v>25</v>
      </c>
      <c r="I98" s="1" t="s">
        <v>41</v>
      </c>
      <c r="J98">
        <v>30</v>
      </c>
      <c r="K98">
        <v>32</v>
      </c>
      <c r="L98" s="1" t="s">
        <v>21</v>
      </c>
    </row>
    <row r="99" spans="1:12" x14ac:dyDescent="0.3">
      <c r="A99" s="1" t="s">
        <v>2653</v>
      </c>
      <c r="B99" s="2">
        <v>46101</v>
      </c>
      <c r="C99" s="2">
        <v>46155</v>
      </c>
      <c r="D99" s="1" t="s">
        <v>23</v>
      </c>
      <c r="E99" s="1" t="s">
        <v>14</v>
      </c>
      <c r="F99" s="1" t="s">
        <v>15</v>
      </c>
      <c r="G99" s="1" t="s">
        <v>16</v>
      </c>
      <c r="H99" s="1" t="s">
        <v>25</v>
      </c>
      <c r="I99" s="1" t="s">
        <v>26</v>
      </c>
      <c r="J99">
        <v>15</v>
      </c>
      <c r="K99">
        <v>54</v>
      </c>
      <c r="L99" s="1" t="s">
        <v>44</v>
      </c>
    </row>
    <row r="100" spans="1:12" x14ac:dyDescent="0.3">
      <c r="A100" s="1" t="s">
        <v>105</v>
      </c>
      <c r="B100" s="2">
        <v>46100</v>
      </c>
      <c r="C100" s="2">
        <v>46156</v>
      </c>
      <c r="D100" s="1" t="s">
        <v>23</v>
      </c>
      <c r="E100" s="1" t="s">
        <v>24</v>
      </c>
      <c r="F100" s="1" t="s">
        <v>15</v>
      </c>
      <c r="G100" s="1" t="s">
        <v>53</v>
      </c>
      <c r="H100" s="1" t="s">
        <v>43</v>
      </c>
      <c r="I100" s="1" t="s">
        <v>18</v>
      </c>
      <c r="J100">
        <v>45</v>
      </c>
      <c r="K100">
        <v>56</v>
      </c>
      <c r="L100" s="1" t="s">
        <v>44</v>
      </c>
    </row>
    <row r="101" spans="1:12" x14ac:dyDescent="0.3">
      <c r="A101" s="1" t="s">
        <v>2848</v>
      </c>
      <c r="B101" s="2">
        <v>46100</v>
      </c>
      <c r="C101" s="2">
        <v>46152</v>
      </c>
      <c r="D101" s="1" t="s">
        <v>37</v>
      </c>
      <c r="E101" s="1" t="s">
        <v>14</v>
      </c>
      <c r="F101" s="1" t="s">
        <v>15</v>
      </c>
      <c r="G101" s="1" t="s">
        <v>16</v>
      </c>
      <c r="H101" s="1" t="s">
        <v>49</v>
      </c>
      <c r="I101" s="1" t="s">
        <v>26</v>
      </c>
      <c r="J101">
        <v>15</v>
      </c>
      <c r="K101">
        <v>52</v>
      </c>
      <c r="L101" s="1" t="s">
        <v>44</v>
      </c>
    </row>
    <row r="102" spans="1:12" x14ac:dyDescent="0.3">
      <c r="A102" s="1" t="s">
        <v>459</v>
      </c>
      <c r="B102" s="2">
        <v>46100</v>
      </c>
      <c r="C102" s="2">
        <v>46102</v>
      </c>
      <c r="D102" s="1" t="s">
        <v>37</v>
      </c>
      <c r="E102" s="1" t="s">
        <v>14</v>
      </c>
      <c r="F102" s="1" t="s">
        <v>15</v>
      </c>
      <c r="G102" s="1" t="s">
        <v>16</v>
      </c>
      <c r="H102" s="1" t="s">
        <v>39</v>
      </c>
      <c r="I102" s="1" t="s">
        <v>18</v>
      </c>
      <c r="J102">
        <v>30</v>
      </c>
      <c r="K102">
        <v>2</v>
      </c>
      <c r="L102" s="1" t="s">
        <v>30</v>
      </c>
    </row>
    <row r="103" spans="1:12" x14ac:dyDescent="0.3">
      <c r="A103" s="1" t="s">
        <v>903</v>
      </c>
      <c r="B103" s="2">
        <v>46100</v>
      </c>
      <c r="C103" s="2">
        <v>46102</v>
      </c>
      <c r="D103" s="1" t="s">
        <v>37</v>
      </c>
      <c r="E103" s="1" t="s">
        <v>14</v>
      </c>
      <c r="F103" s="1" t="s">
        <v>38</v>
      </c>
      <c r="G103" s="1" t="s">
        <v>53</v>
      </c>
      <c r="H103" s="1" t="s">
        <v>49</v>
      </c>
      <c r="I103" s="1" t="s">
        <v>18</v>
      </c>
      <c r="J103">
        <v>15</v>
      </c>
      <c r="K103">
        <v>2</v>
      </c>
      <c r="L103" s="1" t="s">
        <v>30</v>
      </c>
    </row>
    <row r="104" spans="1:12" x14ac:dyDescent="0.3">
      <c r="A104" s="1" t="s">
        <v>249</v>
      </c>
      <c r="B104" s="2">
        <v>46100</v>
      </c>
      <c r="C104" s="2">
        <v>46150</v>
      </c>
      <c r="D104" s="1" t="s">
        <v>28</v>
      </c>
      <c r="E104" s="1" t="s">
        <v>24</v>
      </c>
      <c r="F104" s="1" t="s">
        <v>15</v>
      </c>
      <c r="G104" s="1" t="s">
        <v>53</v>
      </c>
      <c r="H104" s="1" t="s">
        <v>29</v>
      </c>
      <c r="I104" s="1" t="s">
        <v>41</v>
      </c>
      <c r="J104">
        <v>45</v>
      </c>
      <c r="K104">
        <v>50</v>
      </c>
      <c r="L104" s="1" t="s">
        <v>44</v>
      </c>
    </row>
    <row r="105" spans="1:12" x14ac:dyDescent="0.3">
      <c r="A105" s="1" t="s">
        <v>396</v>
      </c>
      <c r="B105" s="2">
        <v>46100</v>
      </c>
      <c r="C105" s="2">
        <v>46156</v>
      </c>
      <c r="D105" s="1" t="s">
        <v>28</v>
      </c>
      <c r="E105" s="1" t="s">
        <v>14</v>
      </c>
      <c r="F105" s="1" t="s">
        <v>15</v>
      </c>
      <c r="G105" s="1" t="s">
        <v>33</v>
      </c>
      <c r="H105" s="1" t="s">
        <v>54</v>
      </c>
      <c r="I105" s="1" t="s">
        <v>26</v>
      </c>
      <c r="J105">
        <v>30</v>
      </c>
      <c r="K105">
        <v>56</v>
      </c>
      <c r="L105" s="1" t="s">
        <v>44</v>
      </c>
    </row>
    <row r="106" spans="1:12" x14ac:dyDescent="0.3">
      <c r="A106" s="1" t="s">
        <v>839</v>
      </c>
      <c r="B106" s="2">
        <v>46100</v>
      </c>
      <c r="C106" s="2">
        <v>46137</v>
      </c>
      <c r="D106" s="1" t="s">
        <v>28</v>
      </c>
      <c r="E106" s="1" t="s">
        <v>24</v>
      </c>
      <c r="F106" s="1" t="s">
        <v>15</v>
      </c>
      <c r="G106" s="1" t="s">
        <v>16</v>
      </c>
      <c r="H106" s="1" t="s">
        <v>54</v>
      </c>
      <c r="I106" s="1" t="s">
        <v>26</v>
      </c>
      <c r="J106">
        <v>30</v>
      </c>
      <c r="K106">
        <v>37</v>
      </c>
      <c r="L106" s="1" t="s">
        <v>21</v>
      </c>
    </row>
    <row r="107" spans="1:12" x14ac:dyDescent="0.3">
      <c r="A107" s="1" t="s">
        <v>1609</v>
      </c>
      <c r="B107" s="2">
        <v>46100</v>
      </c>
      <c r="C107" s="2">
        <v>46134</v>
      </c>
      <c r="D107" s="1" t="s">
        <v>13</v>
      </c>
      <c r="E107" s="1" t="s">
        <v>14</v>
      </c>
      <c r="F107" s="1" t="s">
        <v>15</v>
      </c>
      <c r="G107" s="1" t="s">
        <v>33</v>
      </c>
      <c r="H107" s="1" t="s">
        <v>17</v>
      </c>
      <c r="I107" s="1" t="s">
        <v>26</v>
      </c>
      <c r="J107">
        <v>15</v>
      </c>
      <c r="K107">
        <v>34</v>
      </c>
      <c r="L107" s="1" t="s">
        <v>21</v>
      </c>
    </row>
    <row r="108" spans="1:12" x14ac:dyDescent="0.3">
      <c r="A108" s="1" t="s">
        <v>2621</v>
      </c>
      <c r="B108" s="2">
        <v>46100</v>
      </c>
      <c r="C108" s="2">
        <v>46116</v>
      </c>
      <c r="D108" s="1" t="s">
        <v>32</v>
      </c>
      <c r="E108" s="1" t="s">
        <v>14</v>
      </c>
      <c r="F108" s="1" t="s">
        <v>38</v>
      </c>
      <c r="G108" s="1" t="s">
        <v>33</v>
      </c>
      <c r="H108" s="1" t="s">
        <v>71</v>
      </c>
      <c r="I108" s="1" t="s">
        <v>41</v>
      </c>
      <c r="J108">
        <v>30</v>
      </c>
      <c r="K108">
        <v>16</v>
      </c>
      <c r="L108" s="1" t="s">
        <v>19</v>
      </c>
    </row>
    <row r="109" spans="1:12" x14ac:dyDescent="0.3">
      <c r="A109" s="1" t="s">
        <v>2641</v>
      </c>
      <c r="B109" s="2">
        <v>46100</v>
      </c>
      <c r="C109" s="2">
        <v>46153</v>
      </c>
      <c r="D109" s="1" t="s">
        <v>28</v>
      </c>
      <c r="E109" s="1" t="s">
        <v>14</v>
      </c>
      <c r="F109" s="1" t="s">
        <v>15</v>
      </c>
      <c r="G109" s="1" t="s">
        <v>16</v>
      </c>
      <c r="H109" s="1" t="s">
        <v>29</v>
      </c>
      <c r="I109" s="1" t="s">
        <v>18</v>
      </c>
      <c r="J109">
        <v>15</v>
      </c>
      <c r="K109">
        <v>53</v>
      </c>
      <c r="L109" s="1" t="s">
        <v>44</v>
      </c>
    </row>
    <row r="110" spans="1:12" x14ac:dyDescent="0.3">
      <c r="A110" s="1" t="s">
        <v>651</v>
      </c>
      <c r="B110" s="2">
        <v>46099</v>
      </c>
      <c r="C110" s="2">
        <v>46120</v>
      </c>
      <c r="D110" s="1" t="s">
        <v>37</v>
      </c>
      <c r="E110" s="1" t="s">
        <v>14</v>
      </c>
      <c r="F110" s="1" t="s">
        <v>38</v>
      </c>
      <c r="G110" s="1" t="s">
        <v>16</v>
      </c>
      <c r="H110" s="1" t="s">
        <v>49</v>
      </c>
      <c r="I110" s="1" t="s">
        <v>26</v>
      </c>
      <c r="J110">
        <v>15</v>
      </c>
      <c r="K110">
        <v>21</v>
      </c>
      <c r="L110" s="1" t="s">
        <v>19</v>
      </c>
    </row>
    <row r="111" spans="1:12" x14ac:dyDescent="0.3">
      <c r="A111" s="1" t="s">
        <v>508</v>
      </c>
      <c r="B111" s="2">
        <v>46099</v>
      </c>
      <c r="C111" s="2">
        <v>46107</v>
      </c>
      <c r="D111" s="1" t="s">
        <v>28</v>
      </c>
      <c r="E111" s="1" t="s">
        <v>14</v>
      </c>
      <c r="F111" s="1" t="s">
        <v>15</v>
      </c>
      <c r="G111" s="1" t="s">
        <v>16</v>
      </c>
      <c r="H111" s="1" t="s">
        <v>29</v>
      </c>
      <c r="I111" s="1" t="s">
        <v>26</v>
      </c>
      <c r="J111">
        <v>15</v>
      </c>
      <c r="K111">
        <v>8</v>
      </c>
      <c r="L111" s="1" t="s">
        <v>30</v>
      </c>
    </row>
    <row r="112" spans="1:12" x14ac:dyDescent="0.3">
      <c r="A112" s="1" t="s">
        <v>2710</v>
      </c>
      <c r="B112" s="2">
        <v>46099</v>
      </c>
      <c r="C112" s="2">
        <v>46169</v>
      </c>
      <c r="D112" s="1" t="s">
        <v>13</v>
      </c>
      <c r="E112" s="1" t="s">
        <v>14</v>
      </c>
      <c r="F112" s="1" t="s">
        <v>15</v>
      </c>
      <c r="G112" s="1" t="s">
        <v>53</v>
      </c>
      <c r="H112" s="1" t="s">
        <v>17</v>
      </c>
      <c r="I112" s="1" t="s">
        <v>41</v>
      </c>
      <c r="J112">
        <v>15</v>
      </c>
      <c r="K112">
        <v>70</v>
      </c>
      <c r="L112" s="1" t="s">
        <v>80</v>
      </c>
    </row>
    <row r="113" spans="1:12" x14ac:dyDescent="0.3">
      <c r="A113" s="1" t="s">
        <v>2856</v>
      </c>
      <c r="B113" s="2">
        <v>46099</v>
      </c>
      <c r="C113" s="2">
        <v>46165</v>
      </c>
      <c r="D113" s="1" t="s">
        <v>28</v>
      </c>
      <c r="E113" s="1" t="s">
        <v>24</v>
      </c>
      <c r="F113" s="1" t="s">
        <v>15</v>
      </c>
      <c r="G113" s="1" t="s">
        <v>16</v>
      </c>
      <c r="H113" s="1" t="s">
        <v>29</v>
      </c>
      <c r="I113" s="1" t="s">
        <v>41</v>
      </c>
      <c r="J113">
        <v>45</v>
      </c>
      <c r="K113">
        <v>66</v>
      </c>
      <c r="L113" s="1" t="s">
        <v>80</v>
      </c>
    </row>
    <row r="114" spans="1:12" x14ac:dyDescent="0.3">
      <c r="A114" s="1" t="s">
        <v>2879</v>
      </c>
      <c r="B114" s="2">
        <v>46099</v>
      </c>
      <c r="C114" s="2">
        <v>46135</v>
      </c>
      <c r="D114" s="1" t="s">
        <v>13</v>
      </c>
      <c r="E114" s="1" t="s">
        <v>14</v>
      </c>
      <c r="F114" s="1" t="s">
        <v>15</v>
      </c>
      <c r="G114" s="1" t="s">
        <v>16</v>
      </c>
      <c r="H114" s="1" t="s">
        <v>17</v>
      </c>
      <c r="I114" s="1" t="s">
        <v>18</v>
      </c>
      <c r="J114">
        <v>15</v>
      </c>
      <c r="K114">
        <v>36</v>
      </c>
      <c r="L114" s="1" t="s">
        <v>21</v>
      </c>
    </row>
    <row r="115" spans="1:12" x14ac:dyDescent="0.3">
      <c r="A115" s="1" t="s">
        <v>1742</v>
      </c>
      <c r="B115" s="2">
        <v>46098</v>
      </c>
      <c r="C115" s="2">
        <v>46126</v>
      </c>
      <c r="D115" s="1" t="s">
        <v>37</v>
      </c>
      <c r="E115" s="1" t="s">
        <v>14</v>
      </c>
      <c r="F115" s="1" t="s">
        <v>15</v>
      </c>
      <c r="G115" s="1" t="s">
        <v>16</v>
      </c>
      <c r="H115" s="1" t="s">
        <v>39</v>
      </c>
      <c r="I115" s="1" t="s">
        <v>18</v>
      </c>
      <c r="J115">
        <v>15</v>
      </c>
      <c r="K115">
        <v>28</v>
      </c>
      <c r="L115" s="1" t="s">
        <v>19</v>
      </c>
    </row>
    <row r="116" spans="1:12" x14ac:dyDescent="0.3">
      <c r="A116" s="1" t="s">
        <v>2185</v>
      </c>
      <c r="B116" s="2">
        <v>46098</v>
      </c>
      <c r="C116" s="2">
        <v>46119</v>
      </c>
      <c r="D116" s="1" t="s">
        <v>37</v>
      </c>
      <c r="E116" s="1" t="s">
        <v>14</v>
      </c>
      <c r="F116" s="1" t="s">
        <v>15</v>
      </c>
      <c r="G116" s="1" t="s">
        <v>16</v>
      </c>
      <c r="H116" s="1" t="s">
        <v>39</v>
      </c>
      <c r="I116" s="1" t="s">
        <v>41</v>
      </c>
      <c r="J116">
        <v>15</v>
      </c>
      <c r="K116">
        <v>21</v>
      </c>
      <c r="L116" s="1" t="s">
        <v>19</v>
      </c>
    </row>
    <row r="117" spans="1:12" x14ac:dyDescent="0.3">
      <c r="A117" s="1" t="s">
        <v>1411</v>
      </c>
      <c r="B117" s="2">
        <v>46098</v>
      </c>
      <c r="C117" s="2">
        <v>46108</v>
      </c>
      <c r="D117" s="1" t="s">
        <v>37</v>
      </c>
      <c r="E117" s="1" t="s">
        <v>14</v>
      </c>
      <c r="F117" s="1" t="s">
        <v>15</v>
      </c>
      <c r="G117" s="1" t="s">
        <v>16</v>
      </c>
      <c r="H117" s="1" t="s">
        <v>49</v>
      </c>
      <c r="I117" s="1" t="s">
        <v>41</v>
      </c>
      <c r="J117">
        <v>15</v>
      </c>
      <c r="K117">
        <v>10</v>
      </c>
      <c r="L117" s="1" t="s">
        <v>30</v>
      </c>
    </row>
    <row r="118" spans="1:12" x14ac:dyDescent="0.3">
      <c r="A118" s="1" t="s">
        <v>1419</v>
      </c>
      <c r="B118" s="2">
        <v>46098</v>
      </c>
      <c r="C118" s="2">
        <v>46101</v>
      </c>
      <c r="D118" s="1" t="s">
        <v>37</v>
      </c>
      <c r="E118" s="1" t="s">
        <v>14</v>
      </c>
      <c r="F118" s="1" t="s">
        <v>15</v>
      </c>
      <c r="G118" s="1" t="s">
        <v>53</v>
      </c>
      <c r="H118" s="1" t="s">
        <v>49</v>
      </c>
      <c r="I118" s="1" t="s">
        <v>18</v>
      </c>
      <c r="J118">
        <v>15</v>
      </c>
      <c r="K118">
        <v>3</v>
      </c>
      <c r="L118" s="1" t="s">
        <v>30</v>
      </c>
    </row>
    <row r="119" spans="1:12" x14ac:dyDescent="0.3">
      <c r="A119" s="1" t="s">
        <v>241</v>
      </c>
      <c r="B119" s="2">
        <v>46098</v>
      </c>
      <c r="C119" s="2">
        <v>46134</v>
      </c>
      <c r="D119" s="1" t="s">
        <v>23</v>
      </c>
      <c r="E119" s="1" t="s">
        <v>14</v>
      </c>
      <c r="F119" s="1" t="s">
        <v>38</v>
      </c>
      <c r="G119" s="1" t="s">
        <v>16</v>
      </c>
      <c r="H119" s="1" t="s">
        <v>25</v>
      </c>
      <c r="I119" s="1" t="s">
        <v>18</v>
      </c>
      <c r="J119">
        <v>15</v>
      </c>
      <c r="K119">
        <v>36</v>
      </c>
      <c r="L119" s="1" t="s">
        <v>21</v>
      </c>
    </row>
    <row r="120" spans="1:12" x14ac:dyDescent="0.3">
      <c r="A120" s="1" t="s">
        <v>378</v>
      </c>
      <c r="B120" s="2">
        <v>46098</v>
      </c>
      <c r="C120" s="2">
        <v>46105</v>
      </c>
      <c r="D120" s="1" t="s">
        <v>28</v>
      </c>
      <c r="E120" s="1" t="s">
        <v>24</v>
      </c>
      <c r="F120" s="1" t="s">
        <v>38</v>
      </c>
      <c r="G120" s="1" t="s">
        <v>16</v>
      </c>
      <c r="H120" s="1" t="s">
        <v>54</v>
      </c>
      <c r="I120" s="1" t="s">
        <v>26</v>
      </c>
      <c r="J120">
        <v>45</v>
      </c>
      <c r="K120">
        <v>7</v>
      </c>
      <c r="L120" s="1" t="s">
        <v>30</v>
      </c>
    </row>
    <row r="121" spans="1:12" x14ac:dyDescent="0.3">
      <c r="A121" s="1" t="s">
        <v>545</v>
      </c>
      <c r="B121" s="2">
        <v>46098</v>
      </c>
      <c r="C121" s="2">
        <v>46137</v>
      </c>
      <c r="D121" s="1" t="s">
        <v>23</v>
      </c>
      <c r="E121" s="1" t="s">
        <v>14</v>
      </c>
      <c r="F121" s="1" t="s">
        <v>15</v>
      </c>
      <c r="G121" s="1" t="s">
        <v>16</v>
      </c>
      <c r="H121" s="1" t="s">
        <v>43</v>
      </c>
      <c r="I121" s="1" t="s">
        <v>41</v>
      </c>
      <c r="J121">
        <v>15</v>
      </c>
      <c r="K121">
        <v>39</v>
      </c>
      <c r="L121" s="1" t="s">
        <v>21</v>
      </c>
    </row>
    <row r="122" spans="1:12" x14ac:dyDescent="0.3">
      <c r="A122" s="1" t="s">
        <v>895</v>
      </c>
      <c r="B122" s="2">
        <v>46098</v>
      </c>
      <c r="C122" s="2">
        <v>46102</v>
      </c>
      <c r="D122" s="1" t="s">
        <v>13</v>
      </c>
      <c r="E122" s="1" t="s">
        <v>14</v>
      </c>
      <c r="F122" s="1" t="s">
        <v>15</v>
      </c>
      <c r="G122" s="1" t="s">
        <v>33</v>
      </c>
      <c r="H122" s="1" t="s">
        <v>17</v>
      </c>
      <c r="I122" s="1" t="s">
        <v>26</v>
      </c>
      <c r="J122">
        <v>30</v>
      </c>
      <c r="K122">
        <v>4</v>
      </c>
      <c r="L122" s="1" t="s">
        <v>30</v>
      </c>
    </row>
    <row r="123" spans="1:12" x14ac:dyDescent="0.3">
      <c r="A123" s="1" t="s">
        <v>1041</v>
      </c>
      <c r="B123" s="2">
        <v>46098</v>
      </c>
      <c r="C123" s="2">
        <v>46158</v>
      </c>
      <c r="D123" s="1" t="s">
        <v>32</v>
      </c>
      <c r="E123" s="1" t="s">
        <v>14</v>
      </c>
      <c r="F123" s="1" t="s">
        <v>38</v>
      </c>
      <c r="G123" s="1" t="s">
        <v>16</v>
      </c>
      <c r="H123" s="1" t="s">
        <v>71</v>
      </c>
      <c r="I123" s="1" t="s">
        <v>26</v>
      </c>
      <c r="J123">
        <v>15</v>
      </c>
      <c r="K123">
        <v>60</v>
      </c>
      <c r="L123" s="1" t="s">
        <v>80</v>
      </c>
    </row>
    <row r="124" spans="1:12" x14ac:dyDescent="0.3">
      <c r="A124" s="1" t="s">
        <v>1252</v>
      </c>
      <c r="B124" s="2">
        <v>46098</v>
      </c>
      <c r="C124" s="2">
        <v>46146</v>
      </c>
      <c r="D124" s="1" t="s">
        <v>13</v>
      </c>
      <c r="E124" s="1" t="s">
        <v>14</v>
      </c>
      <c r="F124" s="1" t="s">
        <v>15</v>
      </c>
      <c r="G124" s="1" t="s">
        <v>16</v>
      </c>
      <c r="H124" s="1" t="s">
        <v>17</v>
      </c>
      <c r="I124" s="1" t="s">
        <v>26</v>
      </c>
      <c r="J124">
        <v>30</v>
      </c>
      <c r="K124">
        <v>48</v>
      </c>
      <c r="L124" s="1" t="s">
        <v>44</v>
      </c>
    </row>
    <row r="125" spans="1:12" x14ac:dyDescent="0.3">
      <c r="A125" s="1" t="s">
        <v>1285</v>
      </c>
      <c r="B125" s="2">
        <v>46098</v>
      </c>
      <c r="C125" s="2">
        <v>46148</v>
      </c>
      <c r="D125" s="1" t="s">
        <v>23</v>
      </c>
      <c r="E125" s="1" t="s">
        <v>14</v>
      </c>
      <c r="F125" s="1" t="s">
        <v>15</v>
      </c>
      <c r="G125" s="1" t="s">
        <v>33</v>
      </c>
      <c r="H125" s="1" t="s">
        <v>25</v>
      </c>
      <c r="I125" s="1" t="s">
        <v>41</v>
      </c>
      <c r="J125">
        <v>15</v>
      </c>
      <c r="K125">
        <v>50</v>
      </c>
      <c r="L125" s="1" t="s">
        <v>44</v>
      </c>
    </row>
    <row r="126" spans="1:12" x14ac:dyDescent="0.3">
      <c r="A126" s="1" t="s">
        <v>2405</v>
      </c>
      <c r="B126" s="2">
        <v>46098</v>
      </c>
      <c r="C126" s="2">
        <v>46113</v>
      </c>
      <c r="D126" s="1" t="s">
        <v>28</v>
      </c>
      <c r="E126" s="1" t="s">
        <v>24</v>
      </c>
      <c r="F126" s="1" t="s">
        <v>15</v>
      </c>
      <c r="G126" s="1" t="s">
        <v>16</v>
      </c>
      <c r="H126" s="1" t="s">
        <v>29</v>
      </c>
      <c r="I126" s="1" t="s">
        <v>18</v>
      </c>
      <c r="J126">
        <v>30</v>
      </c>
      <c r="K126">
        <v>15</v>
      </c>
      <c r="L126" s="1" t="s">
        <v>19</v>
      </c>
    </row>
    <row r="127" spans="1:12" x14ac:dyDescent="0.3">
      <c r="A127" s="1" t="s">
        <v>2555</v>
      </c>
      <c r="B127" s="2">
        <v>46098</v>
      </c>
      <c r="C127" s="2">
        <v>46130</v>
      </c>
      <c r="D127" s="1" t="s">
        <v>13</v>
      </c>
      <c r="E127" s="1" t="s">
        <v>24</v>
      </c>
      <c r="F127" s="1" t="s">
        <v>15</v>
      </c>
      <c r="G127" s="1" t="s">
        <v>16</v>
      </c>
      <c r="H127" s="1" t="s">
        <v>47</v>
      </c>
      <c r="I127" s="1" t="s">
        <v>18</v>
      </c>
      <c r="J127">
        <v>45</v>
      </c>
      <c r="K127">
        <v>32</v>
      </c>
      <c r="L127" s="1" t="s">
        <v>21</v>
      </c>
    </row>
    <row r="128" spans="1:12" x14ac:dyDescent="0.3">
      <c r="A128" s="1" t="s">
        <v>2712</v>
      </c>
      <c r="B128" s="2">
        <v>46098</v>
      </c>
      <c r="C128" s="2">
        <v>46149</v>
      </c>
      <c r="D128" s="1" t="s">
        <v>23</v>
      </c>
      <c r="E128" s="1" t="s">
        <v>14</v>
      </c>
      <c r="F128" s="1" t="s">
        <v>15</v>
      </c>
      <c r="G128" s="1" t="s">
        <v>16</v>
      </c>
      <c r="H128" s="1" t="s">
        <v>43</v>
      </c>
      <c r="I128" s="1" t="s">
        <v>18</v>
      </c>
      <c r="J128">
        <v>15</v>
      </c>
      <c r="K128">
        <v>51</v>
      </c>
      <c r="L128" s="1" t="s">
        <v>44</v>
      </c>
    </row>
    <row r="129" spans="1:12" x14ac:dyDescent="0.3">
      <c r="A129" s="1" t="s">
        <v>2719</v>
      </c>
      <c r="B129" s="2">
        <v>46098</v>
      </c>
      <c r="C129" s="2">
        <v>46136</v>
      </c>
      <c r="D129" s="1" t="s">
        <v>32</v>
      </c>
      <c r="E129" s="1" t="s">
        <v>14</v>
      </c>
      <c r="F129" s="1" t="s">
        <v>38</v>
      </c>
      <c r="G129" s="1" t="s">
        <v>53</v>
      </c>
      <c r="H129" s="1" t="s">
        <v>71</v>
      </c>
      <c r="I129" s="1" t="s">
        <v>26</v>
      </c>
      <c r="J129">
        <v>15</v>
      </c>
      <c r="K129">
        <v>38</v>
      </c>
      <c r="L129" s="1" t="s">
        <v>21</v>
      </c>
    </row>
    <row r="130" spans="1:12" x14ac:dyDescent="0.3">
      <c r="A130" s="1" t="s">
        <v>1852</v>
      </c>
      <c r="B130" s="2">
        <v>46097</v>
      </c>
      <c r="C130" s="2">
        <v>46134</v>
      </c>
      <c r="D130" s="1" t="s">
        <v>37</v>
      </c>
      <c r="E130" s="1" t="s">
        <v>14</v>
      </c>
      <c r="F130" s="1" t="s">
        <v>15</v>
      </c>
      <c r="G130" s="1" t="s">
        <v>16</v>
      </c>
      <c r="H130" s="1" t="s">
        <v>39</v>
      </c>
      <c r="I130" s="1" t="s">
        <v>26</v>
      </c>
      <c r="J130">
        <v>15</v>
      </c>
      <c r="K130">
        <v>37</v>
      </c>
      <c r="L130" s="1" t="s">
        <v>21</v>
      </c>
    </row>
    <row r="131" spans="1:12" x14ac:dyDescent="0.3">
      <c r="A131" s="1" t="s">
        <v>557</v>
      </c>
      <c r="B131" s="2">
        <v>46097</v>
      </c>
      <c r="C131" s="2">
        <v>46133</v>
      </c>
      <c r="D131" s="1" t="s">
        <v>37</v>
      </c>
      <c r="E131" s="1" t="s">
        <v>14</v>
      </c>
      <c r="F131" s="1" t="s">
        <v>15</v>
      </c>
      <c r="G131" s="1" t="s">
        <v>16</v>
      </c>
      <c r="H131" s="1" t="s">
        <v>49</v>
      </c>
      <c r="I131" s="1" t="s">
        <v>41</v>
      </c>
      <c r="J131">
        <v>15</v>
      </c>
      <c r="K131">
        <v>36</v>
      </c>
      <c r="L131" s="1" t="s">
        <v>21</v>
      </c>
    </row>
    <row r="132" spans="1:12" x14ac:dyDescent="0.3">
      <c r="A132" s="1" t="s">
        <v>2159</v>
      </c>
      <c r="B132" s="2">
        <v>46097</v>
      </c>
      <c r="C132" s="2">
        <v>46113</v>
      </c>
      <c r="D132" s="1" t="s">
        <v>37</v>
      </c>
      <c r="E132" s="1" t="s">
        <v>24</v>
      </c>
      <c r="F132" s="1" t="s">
        <v>15</v>
      </c>
      <c r="G132" s="1" t="s">
        <v>16</v>
      </c>
      <c r="H132" s="1" t="s">
        <v>39</v>
      </c>
      <c r="I132" s="1" t="s">
        <v>26</v>
      </c>
      <c r="J132">
        <v>45</v>
      </c>
      <c r="K132">
        <v>16</v>
      </c>
      <c r="L132" s="1" t="s">
        <v>19</v>
      </c>
    </row>
    <row r="133" spans="1:12" x14ac:dyDescent="0.3">
      <c r="A133" s="1" t="s">
        <v>725</v>
      </c>
      <c r="B133" s="2">
        <v>46097</v>
      </c>
      <c r="C133" s="2">
        <v>46106</v>
      </c>
      <c r="D133" s="1" t="s">
        <v>37</v>
      </c>
      <c r="E133" s="1" t="s">
        <v>14</v>
      </c>
      <c r="F133" s="1" t="s">
        <v>15</v>
      </c>
      <c r="G133" s="1" t="s">
        <v>16</v>
      </c>
      <c r="H133" s="1" t="s">
        <v>49</v>
      </c>
      <c r="I133" s="1" t="s">
        <v>18</v>
      </c>
      <c r="J133">
        <v>15</v>
      </c>
      <c r="K133">
        <v>9</v>
      </c>
      <c r="L133" s="1" t="s">
        <v>30</v>
      </c>
    </row>
    <row r="134" spans="1:12" x14ac:dyDescent="0.3">
      <c r="A134" s="1" t="s">
        <v>236</v>
      </c>
      <c r="B134" s="2">
        <v>46097</v>
      </c>
      <c r="C134" s="2">
        <v>46151</v>
      </c>
      <c r="D134" s="1" t="s">
        <v>28</v>
      </c>
      <c r="E134" s="1" t="s">
        <v>14</v>
      </c>
      <c r="F134" s="1" t="s">
        <v>15</v>
      </c>
      <c r="G134" s="1" t="s">
        <v>16</v>
      </c>
      <c r="H134" s="1" t="s">
        <v>54</v>
      </c>
      <c r="I134" s="1" t="s">
        <v>26</v>
      </c>
      <c r="J134">
        <v>15</v>
      </c>
      <c r="K134">
        <v>54</v>
      </c>
      <c r="L134" s="1" t="s">
        <v>44</v>
      </c>
    </row>
    <row r="135" spans="1:12" x14ac:dyDescent="0.3">
      <c r="A135" s="1" t="s">
        <v>493</v>
      </c>
      <c r="B135" s="2">
        <v>46097</v>
      </c>
      <c r="C135" s="2">
        <v>46109</v>
      </c>
      <c r="D135" s="1" t="s">
        <v>28</v>
      </c>
      <c r="E135" s="1" t="s">
        <v>14</v>
      </c>
      <c r="F135" s="1" t="s">
        <v>15</v>
      </c>
      <c r="G135" s="1" t="s">
        <v>16</v>
      </c>
      <c r="H135" s="1" t="s">
        <v>29</v>
      </c>
      <c r="I135" s="1" t="s">
        <v>26</v>
      </c>
      <c r="J135">
        <v>15</v>
      </c>
      <c r="K135">
        <v>12</v>
      </c>
      <c r="L135" s="1" t="s">
        <v>30</v>
      </c>
    </row>
    <row r="136" spans="1:12" x14ac:dyDescent="0.3">
      <c r="A136" s="1" t="s">
        <v>691</v>
      </c>
      <c r="B136" s="2">
        <v>46097</v>
      </c>
      <c r="C136" s="2">
        <v>46142</v>
      </c>
      <c r="D136" s="1" t="s">
        <v>13</v>
      </c>
      <c r="E136" s="1" t="s">
        <v>14</v>
      </c>
      <c r="F136" s="1" t="s">
        <v>15</v>
      </c>
      <c r="G136" s="1" t="s">
        <v>33</v>
      </c>
      <c r="H136" s="1" t="s">
        <v>17</v>
      </c>
      <c r="I136" s="1" t="s">
        <v>18</v>
      </c>
      <c r="J136">
        <v>15</v>
      </c>
      <c r="K136">
        <v>45</v>
      </c>
      <c r="L136" s="1" t="s">
        <v>44</v>
      </c>
    </row>
    <row r="137" spans="1:12" x14ac:dyDescent="0.3">
      <c r="A137" s="1" t="s">
        <v>726</v>
      </c>
      <c r="B137" s="2">
        <v>46097</v>
      </c>
      <c r="C137" s="2">
        <v>46148</v>
      </c>
      <c r="D137" s="1" t="s">
        <v>13</v>
      </c>
      <c r="E137" s="1" t="s">
        <v>24</v>
      </c>
      <c r="F137" s="1" t="s">
        <v>15</v>
      </c>
      <c r="G137" s="1" t="s">
        <v>16</v>
      </c>
      <c r="H137" s="1" t="s">
        <v>17</v>
      </c>
      <c r="I137" s="1" t="s">
        <v>26</v>
      </c>
      <c r="J137">
        <v>30</v>
      </c>
      <c r="K137">
        <v>51</v>
      </c>
      <c r="L137" s="1" t="s">
        <v>44</v>
      </c>
    </row>
    <row r="138" spans="1:12" x14ac:dyDescent="0.3">
      <c r="A138" s="1" t="s">
        <v>793</v>
      </c>
      <c r="B138" s="2">
        <v>46097</v>
      </c>
      <c r="C138" s="2">
        <v>46146</v>
      </c>
      <c r="D138" s="1" t="s">
        <v>23</v>
      </c>
      <c r="E138" s="1" t="s">
        <v>24</v>
      </c>
      <c r="F138" s="1" t="s">
        <v>15</v>
      </c>
      <c r="G138" s="1" t="s">
        <v>16</v>
      </c>
      <c r="H138" s="1" t="s">
        <v>43</v>
      </c>
      <c r="I138" s="1" t="s">
        <v>18</v>
      </c>
      <c r="J138">
        <v>45</v>
      </c>
      <c r="K138">
        <v>49</v>
      </c>
      <c r="L138" s="1" t="s">
        <v>44</v>
      </c>
    </row>
    <row r="139" spans="1:12" x14ac:dyDescent="0.3">
      <c r="A139" s="1" t="s">
        <v>1265</v>
      </c>
      <c r="B139" s="2">
        <v>46097</v>
      </c>
      <c r="C139" s="2">
        <v>46141</v>
      </c>
      <c r="D139" s="1" t="s">
        <v>28</v>
      </c>
      <c r="E139" s="1" t="s">
        <v>14</v>
      </c>
      <c r="F139" s="1" t="s">
        <v>15</v>
      </c>
      <c r="G139" s="1" t="s">
        <v>53</v>
      </c>
      <c r="H139" s="1" t="s">
        <v>29</v>
      </c>
      <c r="I139" s="1" t="s">
        <v>41</v>
      </c>
      <c r="J139">
        <v>15</v>
      </c>
      <c r="K139">
        <v>44</v>
      </c>
      <c r="L139" s="1" t="s">
        <v>44</v>
      </c>
    </row>
    <row r="140" spans="1:12" x14ac:dyDescent="0.3">
      <c r="A140" s="1" t="s">
        <v>1418</v>
      </c>
      <c r="B140" s="2">
        <v>46097</v>
      </c>
      <c r="C140" s="2">
        <v>46099</v>
      </c>
      <c r="D140" s="1" t="s">
        <v>13</v>
      </c>
      <c r="E140" s="1" t="s">
        <v>14</v>
      </c>
      <c r="F140" s="1" t="s">
        <v>15</v>
      </c>
      <c r="G140" s="1" t="s">
        <v>16</v>
      </c>
      <c r="H140" s="1" t="s">
        <v>47</v>
      </c>
      <c r="I140" s="1" t="s">
        <v>18</v>
      </c>
      <c r="J140">
        <v>30</v>
      </c>
      <c r="K140">
        <v>2</v>
      </c>
      <c r="L140" s="1" t="s">
        <v>30</v>
      </c>
    </row>
    <row r="141" spans="1:12" x14ac:dyDescent="0.3">
      <c r="A141" s="1" t="s">
        <v>1490</v>
      </c>
      <c r="B141" s="2">
        <v>46097</v>
      </c>
      <c r="C141" s="2">
        <v>46151</v>
      </c>
      <c r="D141" s="1" t="s">
        <v>23</v>
      </c>
      <c r="E141" s="1" t="s">
        <v>14</v>
      </c>
      <c r="F141" s="1" t="s">
        <v>15</v>
      </c>
      <c r="G141" s="1" t="s">
        <v>33</v>
      </c>
      <c r="H141" s="1" t="s">
        <v>25</v>
      </c>
      <c r="I141" s="1" t="s">
        <v>18</v>
      </c>
      <c r="J141">
        <v>15</v>
      </c>
      <c r="K141">
        <v>54</v>
      </c>
      <c r="L141" s="1" t="s">
        <v>44</v>
      </c>
    </row>
    <row r="142" spans="1:12" x14ac:dyDescent="0.3">
      <c r="A142" s="1" t="s">
        <v>1981</v>
      </c>
      <c r="B142" s="2">
        <v>46097</v>
      </c>
      <c r="C142" s="2">
        <v>46127</v>
      </c>
      <c r="D142" s="1" t="s">
        <v>32</v>
      </c>
      <c r="E142" s="1" t="s">
        <v>14</v>
      </c>
      <c r="F142" s="1" t="s">
        <v>38</v>
      </c>
      <c r="G142" s="1" t="s">
        <v>16</v>
      </c>
      <c r="H142" s="1" t="s">
        <v>71</v>
      </c>
      <c r="I142" s="1" t="s">
        <v>26</v>
      </c>
      <c r="J142">
        <v>30</v>
      </c>
      <c r="K142">
        <v>30</v>
      </c>
      <c r="L142" s="1" t="s">
        <v>21</v>
      </c>
    </row>
    <row r="143" spans="1:12" x14ac:dyDescent="0.3">
      <c r="A143" s="1" t="s">
        <v>2773</v>
      </c>
      <c r="B143" s="2">
        <v>46097</v>
      </c>
      <c r="C143" s="2">
        <v>46124</v>
      </c>
      <c r="D143" s="1" t="s">
        <v>13</v>
      </c>
      <c r="E143" s="1" t="s">
        <v>24</v>
      </c>
      <c r="F143" s="1" t="s">
        <v>38</v>
      </c>
      <c r="G143" s="1" t="s">
        <v>33</v>
      </c>
      <c r="H143" s="1" t="s">
        <v>47</v>
      </c>
      <c r="I143" s="1" t="s">
        <v>26</v>
      </c>
      <c r="J143">
        <v>45</v>
      </c>
      <c r="K143">
        <v>27</v>
      </c>
      <c r="L143" s="1" t="s">
        <v>19</v>
      </c>
    </row>
    <row r="144" spans="1:12" x14ac:dyDescent="0.3">
      <c r="A144" s="1" t="s">
        <v>3046</v>
      </c>
      <c r="B144" s="2">
        <v>46097</v>
      </c>
      <c r="C144" s="2">
        <v>46127</v>
      </c>
      <c r="D144" s="1" t="s">
        <v>23</v>
      </c>
      <c r="E144" s="1" t="s">
        <v>14</v>
      </c>
      <c r="F144" s="1" t="s">
        <v>15</v>
      </c>
      <c r="G144" s="1" t="s">
        <v>16</v>
      </c>
      <c r="H144" s="1" t="s">
        <v>25</v>
      </c>
      <c r="I144" s="1" t="s">
        <v>41</v>
      </c>
      <c r="J144">
        <v>15</v>
      </c>
      <c r="K144">
        <v>30</v>
      </c>
      <c r="L144" s="1" t="s">
        <v>21</v>
      </c>
    </row>
    <row r="145" spans="1:12" x14ac:dyDescent="0.3">
      <c r="A145" s="1" t="s">
        <v>3078</v>
      </c>
      <c r="B145" s="2">
        <v>46096</v>
      </c>
      <c r="C145" s="2">
        <v>46146</v>
      </c>
      <c r="D145" s="1" t="s">
        <v>37</v>
      </c>
      <c r="E145" s="1" t="s">
        <v>14</v>
      </c>
      <c r="F145" s="1" t="s">
        <v>15</v>
      </c>
      <c r="G145" s="1" t="s">
        <v>16</v>
      </c>
      <c r="H145" s="1" t="s">
        <v>39</v>
      </c>
      <c r="I145" s="1" t="s">
        <v>41</v>
      </c>
      <c r="J145">
        <v>15</v>
      </c>
      <c r="K145">
        <v>50</v>
      </c>
      <c r="L145" s="1" t="s">
        <v>44</v>
      </c>
    </row>
    <row r="146" spans="1:12" x14ac:dyDescent="0.3">
      <c r="A146" s="1" t="s">
        <v>315</v>
      </c>
      <c r="B146" s="2">
        <v>46096</v>
      </c>
      <c r="C146" s="2">
        <v>46138</v>
      </c>
      <c r="D146" s="1" t="s">
        <v>23</v>
      </c>
      <c r="E146" s="1" t="s">
        <v>14</v>
      </c>
      <c r="F146" s="1" t="s">
        <v>38</v>
      </c>
      <c r="G146" s="1" t="s">
        <v>16</v>
      </c>
      <c r="H146" s="1" t="s">
        <v>43</v>
      </c>
      <c r="I146" s="1" t="s">
        <v>26</v>
      </c>
      <c r="J146">
        <v>30</v>
      </c>
      <c r="K146">
        <v>42</v>
      </c>
      <c r="L146" s="1" t="s">
        <v>21</v>
      </c>
    </row>
    <row r="147" spans="1:12" x14ac:dyDescent="0.3">
      <c r="A147" s="1" t="s">
        <v>1096</v>
      </c>
      <c r="B147" s="2">
        <v>46096</v>
      </c>
      <c r="C147" s="2">
        <v>46123</v>
      </c>
      <c r="D147" s="1" t="s">
        <v>13</v>
      </c>
      <c r="E147" s="1" t="s">
        <v>14</v>
      </c>
      <c r="F147" s="1" t="s">
        <v>15</v>
      </c>
      <c r="G147" s="1" t="s">
        <v>53</v>
      </c>
      <c r="H147" s="1" t="s">
        <v>47</v>
      </c>
      <c r="I147" s="1" t="s">
        <v>26</v>
      </c>
      <c r="J147">
        <v>30</v>
      </c>
      <c r="K147">
        <v>27</v>
      </c>
      <c r="L147" s="1" t="s">
        <v>19</v>
      </c>
    </row>
    <row r="148" spans="1:12" x14ac:dyDescent="0.3">
      <c r="A148" s="1" t="s">
        <v>1125</v>
      </c>
      <c r="B148" s="2">
        <v>46096</v>
      </c>
      <c r="C148" s="2">
        <v>46113</v>
      </c>
      <c r="D148" s="1" t="s">
        <v>23</v>
      </c>
      <c r="E148" s="1" t="s">
        <v>24</v>
      </c>
      <c r="F148" s="1" t="s">
        <v>15</v>
      </c>
      <c r="G148" s="1" t="s">
        <v>16</v>
      </c>
      <c r="H148" s="1" t="s">
        <v>43</v>
      </c>
      <c r="I148" s="1" t="s">
        <v>26</v>
      </c>
      <c r="J148">
        <v>30</v>
      </c>
      <c r="K148">
        <v>17</v>
      </c>
      <c r="L148" s="1" t="s">
        <v>19</v>
      </c>
    </row>
    <row r="149" spans="1:12" x14ac:dyDescent="0.3">
      <c r="A149" s="1" t="s">
        <v>2585</v>
      </c>
      <c r="B149" s="2">
        <v>46096</v>
      </c>
      <c r="C149" s="2">
        <v>46116</v>
      </c>
      <c r="D149" s="1" t="s">
        <v>23</v>
      </c>
      <c r="E149" s="1" t="s">
        <v>14</v>
      </c>
      <c r="F149" s="1" t="s">
        <v>38</v>
      </c>
      <c r="G149" s="1" t="s">
        <v>16</v>
      </c>
      <c r="H149" s="1" t="s">
        <v>25</v>
      </c>
      <c r="I149" s="1" t="s">
        <v>26</v>
      </c>
      <c r="J149">
        <v>15</v>
      </c>
      <c r="K149">
        <v>20</v>
      </c>
      <c r="L149" s="1" t="s">
        <v>19</v>
      </c>
    </row>
    <row r="150" spans="1:12" x14ac:dyDescent="0.3">
      <c r="A150" s="1" t="s">
        <v>2812</v>
      </c>
      <c r="B150" s="2">
        <v>46096</v>
      </c>
      <c r="C150" s="2">
        <v>46099</v>
      </c>
      <c r="D150" s="1" t="s">
        <v>13</v>
      </c>
      <c r="E150" s="1" t="s">
        <v>24</v>
      </c>
      <c r="F150" s="1" t="s">
        <v>38</v>
      </c>
      <c r="G150" s="1" t="s">
        <v>16</v>
      </c>
      <c r="H150" s="1" t="s">
        <v>47</v>
      </c>
      <c r="I150" s="1" t="s">
        <v>26</v>
      </c>
      <c r="J150">
        <v>45</v>
      </c>
      <c r="K150">
        <v>3</v>
      </c>
      <c r="L150" s="1" t="s">
        <v>30</v>
      </c>
    </row>
    <row r="151" spans="1:12" x14ac:dyDescent="0.3">
      <c r="A151" s="1" t="s">
        <v>1826</v>
      </c>
      <c r="B151" s="2">
        <v>46095</v>
      </c>
      <c r="C151" s="2">
        <v>46144</v>
      </c>
      <c r="D151" s="1" t="s">
        <v>37</v>
      </c>
      <c r="E151" s="1" t="s">
        <v>14</v>
      </c>
      <c r="F151" s="1" t="s">
        <v>38</v>
      </c>
      <c r="G151" s="1" t="s">
        <v>53</v>
      </c>
      <c r="H151" s="1" t="s">
        <v>39</v>
      </c>
      <c r="I151" s="1" t="s">
        <v>26</v>
      </c>
      <c r="J151">
        <v>15</v>
      </c>
      <c r="K151">
        <v>49</v>
      </c>
      <c r="L151" s="1" t="s">
        <v>44</v>
      </c>
    </row>
    <row r="152" spans="1:12" x14ac:dyDescent="0.3">
      <c r="A152" s="1" t="s">
        <v>334</v>
      </c>
      <c r="B152" s="2">
        <v>46095</v>
      </c>
      <c r="C152" s="2">
        <v>46124</v>
      </c>
      <c r="D152" s="1" t="s">
        <v>32</v>
      </c>
      <c r="E152" s="1" t="s">
        <v>14</v>
      </c>
      <c r="F152" s="1" t="s">
        <v>38</v>
      </c>
      <c r="G152" s="1" t="s">
        <v>16</v>
      </c>
      <c r="H152" s="1" t="s">
        <v>34</v>
      </c>
      <c r="I152" s="1" t="s">
        <v>41</v>
      </c>
      <c r="J152">
        <v>15</v>
      </c>
      <c r="K152">
        <v>29</v>
      </c>
      <c r="L152" s="1" t="s">
        <v>21</v>
      </c>
    </row>
    <row r="153" spans="1:12" x14ac:dyDescent="0.3">
      <c r="A153" s="1" t="s">
        <v>490</v>
      </c>
      <c r="B153" s="2">
        <v>46095</v>
      </c>
      <c r="C153" s="2">
        <v>46110</v>
      </c>
      <c r="D153" s="1" t="s">
        <v>23</v>
      </c>
      <c r="E153" s="1" t="s">
        <v>14</v>
      </c>
      <c r="F153" s="1" t="s">
        <v>15</v>
      </c>
      <c r="G153" s="1" t="s">
        <v>16</v>
      </c>
      <c r="H153" s="1" t="s">
        <v>25</v>
      </c>
      <c r="I153" s="1" t="s">
        <v>18</v>
      </c>
      <c r="J153">
        <v>15</v>
      </c>
      <c r="K153">
        <v>15</v>
      </c>
      <c r="L153" s="1" t="s">
        <v>19</v>
      </c>
    </row>
    <row r="154" spans="1:12" x14ac:dyDescent="0.3">
      <c r="A154" s="1" t="s">
        <v>1482</v>
      </c>
      <c r="B154" s="2">
        <v>46095</v>
      </c>
      <c r="C154" s="2">
        <v>46123</v>
      </c>
      <c r="D154" s="1" t="s">
        <v>32</v>
      </c>
      <c r="E154" s="1" t="s">
        <v>24</v>
      </c>
      <c r="F154" s="1" t="s">
        <v>15</v>
      </c>
      <c r="G154" s="1" t="s">
        <v>16</v>
      </c>
      <c r="H154" s="1" t="s">
        <v>34</v>
      </c>
      <c r="I154" s="1" t="s">
        <v>18</v>
      </c>
      <c r="J154">
        <v>30</v>
      </c>
      <c r="K154">
        <v>28</v>
      </c>
      <c r="L154" s="1" t="s">
        <v>19</v>
      </c>
    </row>
    <row r="155" spans="1:12" x14ac:dyDescent="0.3">
      <c r="A155" s="1" t="s">
        <v>2207</v>
      </c>
      <c r="B155" s="2">
        <v>46095</v>
      </c>
      <c r="C155" s="2">
        <v>46128</v>
      </c>
      <c r="D155" s="1" t="s">
        <v>23</v>
      </c>
      <c r="E155" s="1" t="s">
        <v>24</v>
      </c>
      <c r="F155" s="1" t="s">
        <v>15</v>
      </c>
      <c r="G155" s="1" t="s">
        <v>16</v>
      </c>
      <c r="H155" s="1" t="s">
        <v>25</v>
      </c>
      <c r="I155" s="1" t="s">
        <v>26</v>
      </c>
      <c r="J155">
        <v>30</v>
      </c>
      <c r="K155">
        <v>33</v>
      </c>
      <c r="L155" s="1" t="s">
        <v>21</v>
      </c>
    </row>
    <row r="156" spans="1:12" x14ac:dyDescent="0.3">
      <c r="A156" s="1" t="s">
        <v>2431</v>
      </c>
      <c r="B156" s="2">
        <v>46095</v>
      </c>
      <c r="C156" s="2">
        <v>46129</v>
      </c>
      <c r="D156" s="1" t="s">
        <v>13</v>
      </c>
      <c r="E156" s="1" t="s">
        <v>24</v>
      </c>
      <c r="F156" s="1" t="s">
        <v>15</v>
      </c>
      <c r="G156" s="1" t="s">
        <v>16</v>
      </c>
      <c r="H156" s="1" t="s">
        <v>17</v>
      </c>
      <c r="I156" s="1" t="s">
        <v>18</v>
      </c>
      <c r="J156">
        <v>30</v>
      </c>
      <c r="K156">
        <v>34</v>
      </c>
      <c r="L156" s="1" t="s">
        <v>21</v>
      </c>
    </row>
    <row r="157" spans="1:12" x14ac:dyDescent="0.3">
      <c r="A157" s="1" t="s">
        <v>1972</v>
      </c>
      <c r="B157" s="2">
        <v>46094</v>
      </c>
      <c r="C157" s="2">
        <v>46124</v>
      </c>
      <c r="D157" s="1" t="s">
        <v>37</v>
      </c>
      <c r="E157" s="1" t="s">
        <v>14</v>
      </c>
      <c r="F157" s="1" t="s">
        <v>38</v>
      </c>
      <c r="G157" s="1" t="s">
        <v>16</v>
      </c>
      <c r="H157" s="1" t="s">
        <v>49</v>
      </c>
      <c r="I157" s="1" t="s">
        <v>18</v>
      </c>
      <c r="J157">
        <v>15</v>
      </c>
      <c r="K157">
        <v>30</v>
      </c>
      <c r="L157" s="1" t="s">
        <v>21</v>
      </c>
    </row>
    <row r="158" spans="1:12" x14ac:dyDescent="0.3">
      <c r="A158" s="1" t="s">
        <v>1311</v>
      </c>
      <c r="B158" s="2">
        <v>46094</v>
      </c>
      <c r="C158" s="2">
        <v>46099</v>
      </c>
      <c r="D158" s="1" t="s">
        <v>37</v>
      </c>
      <c r="E158" s="1" t="s">
        <v>24</v>
      </c>
      <c r="F158" s="1" t="s">
        <v>38</v>
      </c>
      <c r="G158" s="1" t="s">
        <v>16</v>
      </c>
      <c r="H158" s="1" t="s">
        <v>39</v>
      </c>
      <c r="I158" s="1" t="s">
        <v>18</v>
      </c>
      <c r="J158">
        <v>30</v>
      </c>
      <c r="K158">
        <v>5</v>
      </c>
      <c r="L158" s="1" t="s">
        <v>30</v>
      </c>
    </row>
    <row r="159" spans="1:12" x14ac:dyDescent="0.3">
      <c r="A159" s="1" t="s">
        <v>381</v>
      </c>
      <c r="B159" s="2">
        <v>46094</v>
      </c>
      <c r="C159" s="2">
        <v>46109</v>
      </c>
      <c r="D159" s="1" t="s">
        <v>23</v>
      </c>
      <c r="E159" s="1" t="s">
        <v>14</v>
      </c>
      <c r="F159" s="1" t="s">
        <v>15</v>
      </c>
      <c r="G159" s="1" t="s">
        <v>53</v>
      </c>
      <c r="H159" s="1" t="s">
        <v>25</v>
      </c>
      <c r="I159" s="1" t="s">
        <v>26</v>
      </c>
      <c r="J159">
        <v>15</v>
      </c>
      <c r="K159">
        <v>15</v>
      </c>
      <c r="L159" s="1" t="s">
        <v>19</v>
      </c>
    </row>
    <row r="160" spans="1:12" x14ac:dyDescent="0.3">
      <c r="A160" s="1" t="s">
        <v>713</v>
      </c>
      <c r="B160" s="2">
        <v>46094</v>
      </c>
      <c r="C160" s="2">
        <v>46137</v>
      </c>
      <c r="D160" s="1" t="s">
        <v>32</v>
      </c>
      <c r="E160" s="1" t="s">
        <v>14</v>
      </c>
      <c r="F160" s="1" t="s">
        <v>15</v>
      </c>
      <c r="G160" s="1" t="s">
        <v>16</v>
      </c>
      <c r="H160" s="1" t="s">
        <v>34</v>
      </c>
      <c r="I160" s="1" t="s">
        <v>26</v>
      </c>
      <c r="J160">
        <v>15</v>
      </c>
      <c r="K160">
        <v>43</v>
      </c>
      <c r="L160" s="1" t="s">
        <v>44</v>
      </c>
    </row>
    <row r="161" spans="1:12" x14ac:dyDescent="0.3">
      <c r="A161" s="1" t="s">
        <v>818</v>
      </c>
      <c r="B161" s="2">
        <v>46094</v>
      </c>
      <c r="C161" s="2">
        <v>46130</v>
      </c>
      <c r="D161" s="1" t="s">
        <v>13</v>
      </c>
      <c r="E161" s="1" t="s">
        <v>14</v>
      </c>
      <c r="F161" s="1" t="s">
        <v>15</v>
      </c>
      <c r="G161" s="1" t="s">
        <v>16</v>
      </c>
      <c r="H161" s="1" t="s">
        <v>17</v>
      </c>
      <c r="I161" s="1" t="s">
        <v>26</v>
      </c>
      <c r="J161">
        <v>15</v>
      </c>
      <c r="K161">
        <v>36</v>
      </c>
      <c r="L161" s="1" t="s">
        <v>21</v>
      </c>
    </row>
    <row r="162" spans="1:12" x14ac:dyDescent="0.3">
      <c r="A162" s="1" t="s">
        <v>1337</v>
      </c>
      <c r="B162" s="2">
        <v>46094</v>
      </c>
      <c r="C162" s="2">
        <v>46114</v>
      </c>
      <c r="D162" s="1" t="s">
        <v>13</v>
      </c>
      <c r="E162" s="1" t="s">
        <v>14</v>
      </c>
      <c r="F162" s="1" t="s">
        <v>15</v>
      </c>
      <c r="G162" s="1" t="s">
        <v>16</v>
      </c>
      <c r="H162" s="1" t="s">
        <v>17</v>
      </c>
      <c r="I162" s="1" t="s">
        <v>26</v>
      </c>
      <c r="J162">
        <v>30</v>
      </c>
      <c r="K162">
        <v>20</v>
      </c>
      <c r="L162" s="1" t="s">
        <v>19</v>
      </c>
    </row>
    <row r="163" spans="1:12" x14ac:dyDescent="0.3">
      <c r="A163" s="1" t="s">
        <v>1874</v>
      </c>
      <c r="B163" s="2">
        <v>46094</v>
      </c>
      <c r="C163" s="2">
        <v>46097</v>
      </c>
      <c r="D163" s="1" t="s">
        <v>23</v>
      </c>
      <c r="E163" s="1" t="s">
        <v>14</v>
      </c>
      <c r="F163" s="1" t="s">
        <v>15</v>
      </c>
      <c r="G163" s="1" t="s">
        <v>53</v>
      </c>
      <c r="H163" s="1" t="s">
        <v>25</v>
      </c>
      <c r="I163" s="1" t="s">
        <v>26</v>
      </c>
      <c r="J163">
        <v>15</v>
      </c>
      <c r="K163">
        <v>3</v>
      </c>
      <c r="L163" s="1" t="s">
        <v>30</v>
      </c>
    </row>
    <row r="164" spans="1:12" x14ac:dyDescent="0.3">
      <c r="A164" s="1" t="s">
        <v>1976</v>
      </c>
      <c r="B164" s="2">
        <v>46094</v>
      </c>
      <c r="C164" s="2">
        <v>46133</v>
      </c>
      <c r="D164" s="1" t="s">
        <v>13</v>
      </c>
      <c r="E164" s="1" t="s">
        <v>14</v>
      </c>
      <c r="F164" s="1" t="s">
        <v>15</v>
      </c>
      <c r="G164" s="1" t="s">
        <v>16</v>
      </c>
      <c r="H164" s="1" t="s">
        <v>17</v>
      </c>
      <c r="I164" s="1" t="s">
        <v>26</v>
      </c>
      <c r="J164">
        <v>15</v>
      </c>
      <c r="K164">
        <v>39</v>
      </c>
      <c r="L164" s="1" t="s">
        <v>21</v>
      </c>
    </row>
    <row r="165" spans="1:12" x14ac:dyDescent="0.3">
      <c r="A165" s="1" t="s">
        <v>2164</v>
      </c>
      <c r="B165" s="2">
        <v>46094</v>
      </c>
      <c r="C165" s="2">
        <v>46139</v>
      </c>
      <c r="D165" s="1" t="s">
        <v>32</v>
      </c>
      <c r="E165" s="1" t="s">
        <v>14</v>
      </c>
      <c r="F165" s="1" t="s">
        <v>15</v>
      </c>
      <c r="G165" s="1" t="s">
        <v>16</v>
      </c>
      <c r="H165" s="1" t="s">
        <v>34</v>
      </c>
      <c r="I165" s="1" t="s">
        <v>26</v>
      </c>
      <c r="J165">
        <v>15</v>
      </c>
      <c r="K165">
        <v>45</v>
      </c>
      <c r="L165" s="1" t="s">
        <v>44</v>
      </c>
    </row>
    <row r="166" spans="1:12" x14ac:dyDescent="0.3">
      <c r="A166" s="1" t="s">
        <v>2429</v>
      </c>
      <c r="B166" s="2">
        <v>46094</v>
      </c>
      <c r="C166" s="2">
        <v>46152</v>
      </c>
      <c r="D166" s="1" t="s">
        <v>28</v>
      </c>
      <c r="E166" s="1" t="s">
        <v>24</v>
      </c>
      <c r="F166" s="1" t="s">
        <v>15</v>
      </c>
      <c r="G166" s="1" t="s">
        <v>33</v>
      </c>
      <c r="H166" s="1" t="s">
        <v>54</v>
      </c>
      <c r="I166" s="1" t="s">
        <v>26</v>
      </c>
      <c r="J166">
        <v>30</v>
      </c>
      <c r="K166">
        <v>58</v>
      </c>
      <c r="L166" s="1" t="s">
        <v>80</v>
      </c>
    </row>
    <row r="167" spans="1:12" x14ac:dyDescent="0.3">
      <c r="A167" s="1" t="s">
        <v>3228</v>
      </c>
      <c r="B167" s="2">
        <v>46093</v>
      </c>
      <c r="C167" s="2">
        <v>46132</v>
      </c>
      <c r="D167" s="1" t="s">
        <v>37</v>
      </c>
      <c r="E167" s="1" t="s">
        <v>24</v>
      </c>
      <c r="F167" s="1" t="s">
        <v>15</v>
      </c>
      <c r="G167" s="1" t="s">
        <v>16</v>
      </c>
      <c r="H167" s="1" t="s">
        <v>39</v>
      </c>
      <c r="I167" s="1" t="s">
        <v>41</v>
      </c>
      <c r="J167">
        <v>45</v>
      </c>
      <c r="K167">
        <v>39</v>
      </c>
      <c r="L167" s="1" t="s">
        <v>21</v>
      </c>
    </row>
    <row r="168" spans="1:12" x14ac:dyDescent="0.3">
      <c r="A168" s="1" t="s">
        <v>2070</v>
      </c>
      <c r="B168" s="2">
        <v>46093</v>
      </c>
      <c r="C168" s="2">
        <v>46131</v>
      </c>
      <c r="D168" s="1" t="s">
        <v>37</v>
      </c>
      <c r="E168" s="1" t="s">
        <v>24</v>
      </c>
      <c r="F168" s="1" t="s">
        <v>15</v>
      </c>
      <c r="G168" s="1" t="s">
        <v>33</v>
      </c>
      <c r="H168" s="1" t="s">
        <v>39</v>
      </c>
      <c r="I168" s="1" t="s">
        <v>26</v>
      </c>
      <c r="J168">
        <v>45</v>
      </c>
      <c r="K168">
        <v>38</v>
      </c>
      <c r="L168" s="1" t="s">
        <v>21</v>
      </c>
    </row>
    <row r="169" spans="1:12" x14ac:dyDescent="0.3">
      <c r="A169" s="1" t="s">
        <v>2950</v>
      </c>
      <c r="B169" s="2">
        <v>46093</v>
      </c>
      <c r="C169" s="2">
        <v>46122</v>
      </c>
      <c r="D169" s="1" t="s">
        <v>37</v>
      </c>
      <c r="E169" s="1" t="s">
        <v>24</v>
      </c>
      <c r="F169" s="1" t="s">
        <v>15</v>
      </c>
      <c r="G169" s="1" t="s">
        <v>16</v>
      </c>
      <c r="H169" s="1" t="s">
        <v>49</v>
      </c>
      <c r="I169" s="1" t="s">
        <v>26</v>
      </c>
      <c r="J169">
        <v>30</v>
      </c>
      <c r="K169">
        <v>29</v>
      </c>
      <c r="L169" s="1" t="s">
        <v>21</v>
      </c>
    </row>
    <row r="170" spans="1:12" x14ac:dyDescent="0.3">
      <c r="A170" s="1" t="s">
        <v>613</v>
      </c>
      <c r="B170" s="2">
        <v>46093</v>
      </c>
      <c r="C170" s="2">
        <v>46129</v>
      </c>
      <c r="D170" s="1" t="s">
        <v>28</v>
      </c>
      <c r="E170" s="1" t="s">
        <v>14</v>
      </c>
      <c r="F170" s="1" t="s">
        <v>15</v>
      </c>
      <c r="G170" s="1" t="s">
        <v>16</v>
      </c>
      <c r="H170" s="1" t="s">
        <v>54</v>
      </c>
      <c r="I170" s="1" t="s">
        <v>18</v>
      </c>
      <c r="J170">
        <v>15</v>
      </c>
      <c r="K170">
        <v>36</v>
      </c>
      <c r="L170" s="1" t="s">
        <v>21</v>
      </c>
    </row>
    <row r="171" spans="1:12" x14ac:dyDescent="0.3">
      <c r="A171" s="1" t="s">
        <v>682</v>
      </c>
      <c r="B171" s="2">
        <v>46093</v>
      </c>
      <c r="C171" s="2">
        <v>46113</v>
      </c>
      <c r="D171" s="1" t="s">
        <v>23</v>
      </c>
      <c r="E171" s="1" t="s">
        <v>24</v>
      </c>
      <c r="F171" s="1" t="s">
        <v>15</v>
      </c>
      <c r="G171" s="1" t="s">
        <v>53</v>
      </c>
      <c r="H171" s="1" t="s">
        <v>43</v>
      </c>
      <c r="I171" s="1" t="s">
        <v>41</v>
      </c>
      <c r="J171">
        <v>30</v>
      </c>
      <c r="K171">
        <v>20</v>
      </c>
      <c r="L171" s="1" t="s">
        <v>19</v>
      </c>
    </row>
    <row r="172" spans="1:12" x14ac:dyDescent="0.3">
      <c r="A172" s="1" t="s">
        <v>805</v>
      </c>
      <c r="B172" s="2">
        <v>46093</v>
      </c>
      <c r="C172" s="2">
        <v>46148</v>
      </c>
      <c r="D172" s="1" t="s">
        <v>13</v>
      </c>
      <c r="E172" s="1" t="s">
        <v>24</v>
      </c>
      <c r="F172" s="1" t="s">
        <v>15</v>
      </c>
      <c r="G172" s="1" t="s">
        <v>16</v>
      </c>
      <c r="H172" s="1" t="s">
        <v>17</v>
      </c>
      <c r="I172" s="1" t="s">
        <v>41</v>
      </c>
      <c r="J172">
        <v>45</v>
      </c>
      <c r="K172">
        <v>55</v>
      </c>
      <c r="L172" s="1" t="s">
        <v>44</v>
      </c>
    </row>
    <row r="173" spans="1:12" x14ac:dyDescent="0.3">
      <c r="A173" s="1" t="s">
        <v>991</v>
      </c>
      <c r="B173" s="2">
        <v>46093</v>
      </c>
      <c r="C173" s="2">
        <v>46144</v>
      </c>
      <c r="D173" s="1" t="s">
        <v>32</v>
      </c>
      <c r="E173" s="1" t="s">
        <v>14</v>
      </c>
      <c r="F173" s="1" t="s">
        <v>15</v>
      </c>
      <c r="G173" s="1" t="s">
        <v>53</v>
      </c>
      <c r="H173" s="1" t="s">
        <v>71</v>
      </c>
      <c r="I173" s="1" t="s">
        <v>18</v>
      </c>
      <c r="J173">
        <v>15</v>
      </c>
      <c r="K173">
        <v>51</v>
      </c>
      <c r="L173" s="1" t="s">
        <v>44</v>
      </c>
    </row>
    <row r="174" spans="1:12" x14ac:dyDescent="0.3">
      <c r="A174" s="1" t="s">
        <v>1007</v>
      </c>
      <c r="B174" s="2">
        <v>46093</v>
      </c>
      <c r="C174" s="2">
        <v>46162</v>
      </c>
      <c r="D174" s="1" t="s">
        <v>13</v>
      </c>
      <c r="E174" s="1" t="s">
        <v>24</v>
      </c>
      <c r="F174" s="1" t="s">
        <v>15</v>
      </c>
      <c r="G174" s="1" t="s">
        <v>16</v>
      </c>
      <c r="H174" s="1" t="s">
        <v>17</v>
      </c>
      <c r="I174" s="1" t="s">
        <v>26</v>
      </c>
      <c r="J174">
        <v>45</v>
      </c>
      <c r="K174">
        <v>69</v>
      </c>
      <c r="L174" s="1" t="s">
        <v>80</v>
      </c>
    </row>
    <row r="175" spans="1:12" x14ac:dyDescent="0.3">
      <c r="A175" s="1" t="s">
        <v>1463</v>
      </c>
      <c r="B175" s="2">
        <v>46093</v>
      </c>
      <c r="C175" s="2">
        <v>46126</v>
      </c>
      <c r="D175" s="1" t="s">
        <v>13</v>
      </c>
      <c r="E175" s="1" t="s">
        <v>14</v>
      </c>
      <c r="F175" s="1" t="s">
        <v>15</v>
      </c>
      <c r="G175" s="1" t="s">
        <v>16</v>
      </c>
      <c r="H175" s="1" t="s">
        <v>17</v>
      </c>
      <c r="I175" s="1" t="s">
        <v>41</v>
      </c>
      <c r="J175">
        <v>30</v>
      </c>
      <c r="K175">
        <v>33</v>
      </c>
      <c r="L175" s="1" t="s">
        <v>21</v>
      </c>
    </row>
    <row r="176" spans="1:12" x14ac:dyDescent="0.3">
      <c r="A176" s="1" t="s">
        <v>1769</v>
      </c>
      <c r="B176" s="2">
        <v>46093</v>
      </c>
      <c r="C176" s="2">
        <v>46103</v>
      </c>
      <c r="D176" s="1" t="s">
        <v>32</v>
      </c>
      <c r="E176" s="1" t="s">
        <v>24</v>
      </c>
      <c r="F176" s="1" t="s">
        <v>15</v>
      </c>
      <c r="G176" s="1" t="s">
        <v>16</v>
      </c>
      <c r="H176" s="1" t="s">
        <v>34</v>
      </c>
      <c r="I176" s="1" t="s">
        <v>18</v>
      </c>
      <c r="J176">
        <v>30</v>
      </c>
      <c r="K176">
        <v>10</v>
      </c>
      <c r="L176" s="1" t="s">
        <v>30</v>
      </c>
    </row>
    <row r="177" spans="1:12" x14ac:dyDescent="0.3">
      <c r="A177" s="1" t="s">
        <v>2570</v>
      </c>
      <c r="B177" s="2">
        <v>46093</v>
      </c>
      <c r="C177" s="2">
        <v>46097</v>
      </c>
      <c r="D177" s="1" t="s">
        <v>23</v>
      </c>
      <c r="E177" s="1" t="s">
        <v>24</v>
      </c>
      <c r="F177" s="1" t="s">
        <v>15</v>
      </c>
      <c r="G177" s="1" t="s">
        <v>16</v>
      </c>
      <c r="H177" s="1" t="s">
        <v>25</v>
      </c>
      <c r="I177" s="1" t="s">
        <v>18</v>
      </c>
      <c r="J177">
        <v>30</v>
      </c>
      <c r="K177">
        <v>4</v>
      </c>
      <c r="L177" s="1" t="s">
        <v>30</v>
      </c>
    </row>
    <row r="178" spans="1:12" x14ac:dyDescent="0.3">
      <c r="A178" s="1" t="s">
        <v>425</v>
      </c>
      <c r="B178" s="2">
        <v>46092</v>
      </c>
      <c r="C178" s="2">
        <v>46104</v>
      </c>
      <c r="D178" s="1" t="s">
        <v>32</v>
      </c>
      <c r="E178" s="1" t="s">
        <v>14</v>
      </c>
      <c r="F178" s="1" t="s">
        <v>15</v>
      </c>
      <c r="G178" s="1" t="s">
        <v>16</v>
      </c>
      <c r="H178" s="1" t="s">
        <v>71</v>
      </c>
      <c r="I178" s="1" t="s">
        <v>26</v>
      </c>
      <c r="J178">
        <v>15</v>
      </c>
      <c r="K178">
        <v>12</v>
      </c>
      <c r="L178" s="1" t="s">
        <v>30</v>
      </c>
    </row>
    <row r="179" spans="1:12" x14ac:dyDescent="0.3">
      <c r="A179" s="1" t="s">
        <v>736</v>
      </c>
      <c r="B179" s="2">
        <v>46092</v>
      </c>
      <c r="C179" s="2">
        <v>46094</v>
      </c>
      <c r="D179" s="1" t="s">
        <v>23</v>
      </c>
      <c r="E179" s="1" t="s">
        <v>14</v>
      </c>
      <c r="F179" s="1" t="s">
        <v>15</v>
      </c>
      <c r="G179" s="1" t="s">
        <v>16</v>
      </c>
      <c r="H179" s="1" t="s">
        <v>43</v>
      </c>
      <c r="I179" s="1" t="s">
        <v>41</v>
      </c>
      <c r="J179">
        <v>15</v>
      </c>
      <c r="K179">
        <v>2</v>
      </c>
      <c r="L179" s="1" t="s">
        <v>30</v>
      </c>
    </row>
    <row r="180" spans="1:12" x14ac:dyDescent="0.3">
      <c r="A180" s="1" t="s">
        <v>968</v>
      </c>
      <c r="B180" s="2">
        <v>46092</v>
      </c>
      <c r="C180" s="2">
        <v>46124</v>
      </c>
      <c r="D180" s="1" t="s">
        <v>28</v>
      </c>
      <c r="E180" s="1" t="s">
        <v>24</v>
      </c>
      <c r="F180" s="1" t="s">
        <v>38</v>
      </c>
      <c r="G180" s="1" t="s">
        <v>16</v>
      </c>
      <c r="H180" s="1" t="s">
        <v>29</v>
      </c>
      <c r="I180" s="1" t="s">
        <v>419</v>
      </c>
      <c r="J180">
        <v>45</v>
      </c>
      <c r="K180">
        <v>32</v>
      </c>
      <c r="L180" s="1" t="s">
        <v>21</v>
      </c>
    </row>
    <row r="181" spans="1:12" x14ac:dyDescent="0.3">
      <c r="A181" s="1" t="s">
        <v>2096</v>
      </c>
      <c r="B181" s="2">
        <v>46092</v>
      </c>
      <c r="C181" s="2">
        <v>46118</v>
      </c>
      <c r="D181" s="1" t="s">
        <v>32</v>
      </c>
      <c r="E181" s="1" t="s">
        <v>24</v>
      </c>
      <c r="F181" s="1" t="s">
        <v>15</v>
      </c>
      <c r="G181" s="1" t="s">
        <v>16</v>
      </c>
      <c r="H181" s="1" t="s">
        <v>34</v>
      </c>
      <c r="I181" s="1" t="s">
        <v>26</v>
      </c>
      <c r="J181">
        <v>30</v>
      </c>
      <c r="K181">
        <v>26</v>
      </c>
      <c r="L181" s="1" t="s">
        <v>19</v>
      </c>
    </row>
    <row r="182" spans="1:12" x14ac:dyDescent="0.3">
      <c r="A182" s="1" t="s">
        <v>2263</v>
      </c>
      <c r="B182" s="2">
        <v>46092</v>
      </c>
      <c r="C182" s="2">
        <v>46133</v>
      </c>
      <c r="D182" s="1" t="s">
        <v>13</v>
      </c>
      <c r="E182" s="1" t="s">
        <v>14</v>
      </c>
      <c r="F182" s="1" t="s">
        <v>15</v>
      </c>
      <c r="G182" s="1" t="s">
        <v>16</v>
      </c>
      <c r="H182" s="1" t="s">
        <v>47</v>
      </c>
      <c r="I182" s="1" t="s">
        <v>18</v>
      </c>
      <c r="J182">
        <v>15</v>
      </c>
      <c r="K182">
        <v>41</v>
      </c>
      <c r="L182" s="1" t="s">
        <v>21</v>
      </c>
    </row>
    <row r="183" spans="1:12" x14ac:dyDescent="0.3">
      <c r="A183" s="1" t="s">
        <v>2439</v>
      </c>
      <c r="B183" s="2">
        <v>46092</v>
      </c>
      <c r="C183" s="2">
        <v>46113</v>
      </c>
      <c r="D183" s="1" t="s">
        <v>32</v>
      </c>
      <c r="E183" s="1" t="s">
        <v>24</v>
      </c>
      <c r="F183" s="1" t="s">
        <v>15</v>
      </c>
      <c r="G183" s="1" t="s">
        <v>16</v>
      </c>
      <c r="H183" s="1" t="s">
        <v>34</v>
      </c>
      <c r="I183" s="1" t="s">
        <v>26</v>
      </c>
      <c r="J183">
        <v>45</v>
      </c>
      <c r="K183">
        <v>21</v>
      </c>
      <c r="L183" s="1" t="s">
        <v>19</v>
      </c>
    </row>
    <row r="184" spans="1:12" x14ac:dyDescent="0.3">
      <c r="A184" s="1" t="s">
        <v>2662</v>
      </c>
      <c r="B184" s="2">
        <v>46092</v>
      </c>
      <c r="C184" s="2">
        <v>46112</v>
      </c>
      <c r="D184" s="1" t="s">
        <v>28</v>
      </c>
      <c r="E184" s="1" t="s">
        <v>14</v>
      </c>
      <c r="F184" s="1" t="s">
        <v>15</v>
      </c>
      <c r="G184" s="1" t="s">
        <v>16</v>
      </c>
      <c r="H184" s="1" t="s">
        <v>54</v>
      </c>
      <c r="I184" s="1" t="s">
        <v>41</v>
      </c>
      <c r="J184">
        <v>15</v>
      </c>
      <c r="K184">
        <v>20</v>
      </c>
      <c r="L184" s="1" t="s">
        <v>19</v>
      </c>
    </row>
    <row r="185" spans="1:12" x14ac:dyDescent="0.3">
      <c r="A185" s="1" t="s">
        <v>2786</v>
      </c>
      <c r="B185" s="2">
        <v>46092</v>
      </c>
      <c r="C185" s="2">
        <v>46116</v>
      </c>
      <c r="D185" s="1" t="s">
        <v>32</v>
      </c>
      <c r="E185" s="1" t="s">
        <v>24</v>
      </c>
      <c r="F185" s="1" t="s">
        <v>15</v>
      </c>
      <c r="G185" s="1" t="s">
        <v>16</v>
      </c>
      <c r="H185" s="1" t="s">
        <v>71</v>
      </c>
      <c r="I185" s="1" t="s">
        <v>26</v>
      </c>
      <c r="J185">
        <v>30</v>
      </c>
      <c r="K185">
        <v>24</v>
      </c>
      <c r="L185" s="1" t="s">
        <v>19</v>
      </c>
    </row>
    <row r="186" spans="1:12" x14ac:dyDescent="0.3">
      <c r="A186" s="1" t="s">
        <v>2960</v>
      </c>
      <c r="B186" s="2">
        <v>46092</v>
      </c>
      <c r="C186" s="2">
        <v>46117</v>
      </c>
      <c r="D186" s="1" t="s">
        <v>32</v>
      </c>
      <c r="E186" s="1" t="s">
        <v>14</v>
      </c>
      <c r="F186" s="1" t="s">
        <v>15</v>
      </c>
      <c r="G186" s="1" t="s">
        <v>53</v>
      </c>
      <c r="H186" s="1" t="s">
        <v>71</v>
      </c>
      <c r="I186" s="1" t="s">
        <v>41</v>
      </c>
      <c r="J186">
        <v>15</v>
      </c>
      <c r="K186">
        <v>25</v>
      </c>
      <c r="L186" s="1" t="s">
        <v>19</v>
      </c>
    </row>
    <row r="187" spans="1:12" x14ac:dyDescent="0.3">
      <c r="A187" s="1" t="s">
        <v>1723</v>
      </c>
      <c r="B187" s="2">
        <v>46091</v>
      </c>
      <c r="C187" s="2">
        <v>46146</v>
      </c>
      <c r="D187" s="1" t="s">
        <v>37</v>
      </c>
      <c r="E187" s="1" t="s">
        <v>24</v>
      </c>
      <c r="F187" s="1" t="s">
        <v>38</v>
      </c>
      <c r="G187" s="1" t="s">
        <v>53</v>
      </c>
      <c r="H187" s="1" t="s">
        <v>49</v>
      </c>
      <c r="I187" s="1" t="s">
        <v>26</v>
      </c>
      <c r="J187">
        <v>30</v>
      </c>
      <c r="K187">
        <v>55</v>
      </c>
      <c r="L187" s="1" t="s">
        <v>44</v>
      </c>
    </row>
    <row r="188" spans="1:12" x14ac:dyDescent="0.3">
      <c r="A188" s="1" t="s">
        <v>2870</v>
      </c>
      <c r="B188" s="2">
        <v>46091</v>
      </c>
      <c r="C188" s="2">
        <v>46136</v>
      </c>
      <c r="D188" s="1" t="s">
        <v>28</v>
      </c>
      <c r="E188" s="1" t="s">
        <v>24</v>
      </c>
      <c r="F188" s="1" t="s">
        <v>15</v>
      </c>
      <c r="G188" s="1" t="s">
        <v>53</v>
      </c>
      <c r="H188" s="1" t="s">
        <v>29</v>
      </c>
      <c r="I188" s="1" t="s">
        <v>41</v>
      </c>
      <c r="J188">
        <v>45</v>
      </c>
      <c r="K188">
        <v>45</v>
      </c>
      <c r="L188" s="1" t="s">
        <v>44</v>
      </c>
    </row>
    <row r="189" spans="1:12" x14ac:dyDescent="0.3">
      <c r="A189" s="1" t="s">
        <v>122</v>
      </c>
      <c r="B189" s="2">
        <v>46090</v>
      </c>
      <c r="C189" s="2">
        <v>46098</v>
      </c>
      <c r="D189" s="1" t="s">
        <v>13</v>
      </c>
      <c r="E189" s="1" t="s">
        <v>24</v>
      </c>
      <c r="F189" s="1" t="s">
        <v>15</v>
      </c>
      <c r="G189" s="1" t="s">
        <v>16</v>
      </c>
      <c r="H189" s="1" t="s">
        <v>17</v>
      </c>
      <c r="I189" s="1" t="s">
        <v>41</v>
      </c>
      <c r="J189">
        <v>30</v>
      </c>
      <c r="K189">
        <v>8</v>
      </c>
      <c r="L189" s="1" t="s">
        <v>30</v>
      </c>
    </row>
    <row r="190" spans="1:12" x14ac:dyDescent="0.3">
      <c r="A190" s="1" t="s">
        <v>978</v>
      </c>
      <c r="B190" s="2">
        <v>46090</v>
      </c>
      <c r="C190" s="2">
        <v>46164</v>
      </c>
      <c r="D190" s="1" t="s">
        <v>32</v>
      </c>
      <c r="E190" s="1" t="s">
        <v>24</v>
      </c>
      <c r="F190" s="1" t="s">
        <v>38</v>
      </c>
      <c r="G190" s="1" t="s">
        <v>16</v>
      </c>
      <c r="H190" s="1" t="s">
        <v>34</v>
      </c>
      <c r="I190" s="1" t="s">
        <v>41</v>
      </c>
      <c r="J190">
        <v>30</v>
      </c>
      <c r="K190">
        <v>74</v>
      </c>
      <c r="L190" s="1" t="s">
        <v>80</v>
      </c>
    </row>
    <row r="191" spans="1:12" x14ac:dyDescent="0.3">
      <c r="A191" s="1" t="s">
        <v>1151</v>
      </c>
      <c r="B191" s="2">
        <v>46090</v>
      </c>
      <c r="C191" s="2">
        <v>46124</v>
      </c>
      <c r="D191" s="1" t="s">
        <v>23</v>
      </c>
      <c r="E191" s="1" t="s">
        <v>14</v>
      </c>
      <c r="F191" s="1" t="s">
        <v>15</v>
      </c>
      <c r="G191" s="1" t="s">
        <v>16</v>
      </c>
      <c r="H191" s="1" t="s">
        <v>25</v>
      </c>
      <c r="I191" s="1" t="s">
        <v>41</v>
      </c>
      <c r="J191">
        <v>15</v>
      </c>
      <c r="K191">
        <v>34</v>
      </c>
      <c r="L191" s="1" t="s">
        <v>21</v>
      </c>
    </row>
    <row r="192" spans="1:12" x14ac:dyDescent="0.3">
      <c r="A192" s="1" t="s">
        <v>1879</v>
      </c>
      <c r="B192" s="2">
        <v>46090</v>
      </c>
      <c r="C192" s="2">
        <v>46108</v>
      </c>
      <c r="D192" s="1" t="s">
        <v>32</v>
      </c>
      <c r="E192" s="1" t="s">
        <v>24</v>
      </c>
      <c r="F192" s="1" t="s">
        <v>15</v>
      </c>
      <c r="G192" s="1" t="s">
        <v>16</v>
      </c>
      <c r="H192" s="1" t="s">
        <v>34</v>
      </c>
      <c r="I192" s="1" t="s">
        <v>18</v>
      </c>
      <c r="J192">
        <v>30</v>
      </c>
      <c r="K192">
        <v>18</v>
      </c>
      <c r="L192" s="1" t="s">
        <v>19</v>
      </c>
    </row>
    <row r="193" spans="1:12" x14ac:dyDescent="0.3">
      <c r="A193" s="1" t="s">
        <v>1916</v>
      </c>
      <c r="B193" s="2">
        <v>46090</v>
      </c>
      <c r="C193" s="2">
        <v>46126</v>
      </c>
      <c r="D193" s="1" t="s">
        <v>13</v>
      </c>
      <c r="E193" s="1" t="s">
        <v>14</v>
      </c>
      <c r="F193" s="1" t="s">
        <v>15</v>
      </c>
      <c r="G193" s="1" t="s">
        <v>16</v>
      </c>
      <c r="H193" s="1" t="s">
        <v>17</v>
      </c>
      <c r="I193" s="1" t="s">
        <v>41</v>
      </c>
      <c r="J193">
        <v>15</v>
      </c>
      <c r="K193">
        <v>36</v>
      </c>
      <c r="L193" s="1" t="s">
        <v>21</v>
      </c>
    </row>
    <row r="194" spans="1:12" x14ac:dyDescent="0.3">
      <c r="A194" s="1" t="s">
        <v>1952</v>
      </c>
      <c r="B194" s="2">
        <v>46090</v>
      </c>
      <c r="C194" s="2">
        <v>46141</v>
      </c>
      <c r="D194" s="1" t="s">
        <v>32</v>
      </c>
      <c r="E194" s="1" t="s">
        <v>14</v>
      </c>
      <c r="F194" s="1" t="s">
        <v>15</v>
      </c>
      <c r="G194" s="1" t="s">
        <v>16</v>
      </c>
      <c r="H194" s="1" t="s">
        <v>71</v>
      </c>
      <c r="I194" s="1" t="s">
        <v>41</v>
      </c>
      <c r="J194">
        <v>15</v>
      </c>
      <c r="K194">
        <v>51</v>
      </c>
      <c r="L194" s="1" t="s">
        <v>44</v>
      </c>
    </row>
    <row r="195" spans="1:12" x14ac:dyDescent="0.3">
      <c r="A195" s="1" t="s">
        <v>2139</v>
      </c>
      <c r="B195" s="2">
        <v>46090</v>
      </c>
      <c r="C195" s="2">
        <v>46120</v>
      </c>
      <c r="D195" s="1" t="s">
        <v>28</v>
      </c>
      <c r="E195" s="1" t="s">
        <v>24</v>
      </c>
      <c r="F195" s="1" t="s">
        <v>38</v>
      </c>
      <c r="G195" s="1" t="s">
        <v>53</v>
      </c>
      <c r="H195" s="1" t="s">
        <v>29</v>
      </c>
      <c r="I195" s="1" t="s">
        <v>26</v>
      </c>
      <c r="J195">
        <v>30</v>
      </c>
      <c r="K195">
        <v>30</v>
      </c>
      <c r="L195" s="1" t="s">
        <v>21</v>
      </c>
    </row>
    <row r="196" spans="1:12" x14ac:dyDescent="0.3">
      <c r="A196" s="1" t="s">
        <v>2755</v>
      </c>
      <c r="B196" s="2">
        <v>46090</v>
      </c>
      <c r="C196" s="2">
        <v>46132</v>
      </c>
      <c r="D196" s="1" t="s">
        <v>13</v>
      </c>
      <c r="E196" s="1" t="s">
        <v>14</v>
      </c>
      <c r="F196" s="1" t="s">
        <v>15</v>
      </c>
      <c r="G196" s="1" t="s">
        <v>16</v>
      </c>
      <c r="H196" s="1" t="s">
        <v>47</v>
      </c>
      <c r="I196" s="1" t="s">
        <v>26</v>
      </c>
      <c r="J196">
        <v>30</v>
      </c>
      <c r="K196">
        <v>42</v>
      </c>
      <c r="L196" s="1" t="s">
        <v>21</v>
      </c>
    </row>
    <row r="197" spans="1:12" x14ac:dyDescent="0.3">
      <c r="A197" s="1" t="s">
        <v>222</v>
      </c>
      <c r="B197" s="2">
        <v>46089</v>
      </c>
      <c r="C197" s="2">
        <v>46117</v>
      </c>
      <c r="D197" s="1" t="s">
        <v>32</v>
      </c>
      <c r="E197" s="1" t="s">
        <v>14</v>
      </c>
      <c r="F197" s="1" t="s">
        <v>38</v>
      </c>
      <c r="G197" s="1" t="s">
        <v>16</v>
      </c>
      <c r="H197" s="1" t="s">
        <v>71</v>
      </c>
      <c r="I197" s="1" t="s">
        <v>18</v>
      </c>
      <c r="J197">
        <v>15</v>
      </c>
      <c r="K197">
        <v>28</v>
      </c>
      <c r="L197" s="1" t="s">
        <v>19</v>
      </c>
    </row>
    <row r="198" spans="1:12" x14ac:dyDescent="0.3">
      <c r="A198" s="1" t="s">
        <v>2275</v>
      </c>
      <c r="B198" s="2">
        <v>46089</v>
      </c>
      <c r="C198" s="2">
        <v>46117</v>
      </c>
      <c r="D198" s="1" t="s">
        <v>37</v>
      </c>
      <c r="E198" s="1" t="s">
        <v>24</v>
      </c>
      <c r="F198" s="1" t="s">
        <v>15</v>
      </c>
      <c r="G198" s="1" t="s">
        <v>16</v>
      </c>
      <c r="H198" s="1" t="s">
        <v>39</v>
      </c>
      <c r="I198" s="1" t="s">
        <v>41</v>
      </c>
      <c r="J198">
        <v>45</v>
      </c>
      <c r="K198">
        <v>28</v>
      </c>
      <c r="L198" s="1" t="s">
        <v>19</v>
      </c>
    </row>
    <row r="199" spans="1:12" x14ac:dyDescent="0.3">
      <c r="A199" s="1" t="s">
        <v>327</v>
      </c>
      <c r="B199" s="2">
        <v>46089</v>
      </c>
      <c r="C199" s="2">
        <v>46091</v>
      </c>
      <c r="D199" s="1" t="s">
        <v>28</v>
      </c>
      <c r="E199" s="1" t="s">
        <v>24</v>
      </c>
      <c r="F199" s="1" t="s">
        <v>15</v>
      </c>
      <c r="G199" s="1" t="s">
        <v>16</v>
      </c>
      <c r="H199" s="1" t="s">
        <v>29</v>
      </c>
      <c r="I199" s="1" t="s">
        <v>26</v>
      </c>
      <c r="J199">
        <v>30</v>
      </c>
      <c r="K199">
        <v>2</v>
      </c>
      <c r="L199" s="1" t="s">
        <v>30</v>
      </c>
    </row>
    <row r="200" spans="1:12" x14ac:dyDescent="0.3">
      <c r="A200" s="1" t="s">
        <v>360</v>
      </c>
      <c r="B200" s="2">
        <v>46089</v>
      </c>
      <c r="C200" s="2">
        <v>46149</v>
      </c>
      <c r="D200" s="1" t="s">
        <v>28</v>
      </c>
      <c r="E200" s="1" t="s">
        <v>14</v>
      </c>
      <c r="F200" s="1" t="s">
        <v>15</v>
      </c>
      <c r="G200" s="1" t="s">
        <v>16</v>
      </c>
      <c r="H200" s="1" t="s">
        <v>29</v>
      </c>
      <c r="I200" s="1" t="s">
        <v>26</v>
      </c>
      <c r="J200">
        <v>15</v>
      </c>
      <c r="K200">
        <v>60</v>
      </c>
      <c r="L200" s="1" t="s">
        <v>80</v>
      </c>
    </row>
    <row r="201" spans="1:12" x14ac:dyDescent="0.3">
      <c r="A201" s="1" t="s">
        <v>1489</v>
      </c>
      <c r="B201" s="2">
        <v>46089</v>
      </c>
      <c r="C201" s="2">
        <v>46091</v>
      </c>
      <c r="D201" s="1" t="s">
        <v>28</v>
      </c>
      <c r="E201" s="1" t="s">
        <v>24</v>
      </c>
      <c r="F201" s="1" t="s">
        <v>15</v>
      </c>
      <c r="G201" s="1" t="s">
        <v>16</v>
      </c>
      <c r="H201" s="1" t="s">
        <v>54</v>
      </c>
      <c r="I201" s="1" t="s">
        <v>18</v>
      </c>
      <c r="J201">
        <v>30</v>
      </c>
      <c r="K201">
        <v>2</v>
      </c>
      <c r="L201" s="1" t="s">
        <v>30</v>
      </c>
    </row>
    <row r="202" spans="1:12" x14ac:dyDescent="0.3">
      <c r="A202" s="1" t="s">
        <v>1731</v>
      </c>
      <c r="B202" s="2">
        <v>46089</v>
      </c>
      <c r="C202" s="2">
        <v>46139</v>
      </c>
      <c r="D202" s="1" t="s">
        <v>28</v>
      </c>
      <c r="E202" s="1" t="s">
        <v>24</v>
      </c>
      <c r="F202" s="1" t="s">
        <v>15</v>
      </c>
      <c r="G202" s="1" t="s">
        <v>16</v>
      </c>
      <c r="H202" s="1" t="s">
        <v>54</v>
      </c>
      <c r="I202" s="1" t="s">
        <v>18</v>
      </c>
      <c r="J202">
        <v>45</v>
      </c>
      <c r="K202">
        <v>50</v>
      </c>
      <c r="L202" s="1" t="s">
        <v>44</v>
      </c>
    </row>
    <row r="203" spans="1:12" x14ac:dyDescent="0.3">
      <c r="A203" s="1" t="s">
        <v>2833</v>
      </c>
      <c r="B203" s="2">
        <v>46089</v>
      </c>
      <c r="C203" s="2">
        <v>46120</v>
      </c>
      <c r="D203" s="1" t="s">
        <v>32</v>
      </c>
      <c r="E203" s="1" t="s">
        <v>14</v>
      </c>
      <c r="F203" s="1" t="s">
        <v>15</v>
      </c>
      <c r="G203" s="1" t="s">
        <v>16</v>
      </c>
      <c r="H203" s="1" t="s">
        <v>71</v>
      </c>
      <c r="I203" s="1" t="s">
        <v>26</v>
      </c>
      <c r="J203">
        <v>15</v>
      </c>
      <c r="K203">
        <v>31</v>
      </c>
      <c r="L203" s="1" t="s">
        <v>21</v>
      </c>
    </row>
    <row r="204" spans="1:12" x14ac:dyDescent="0.3">
      <c r="A204" s="1" t="s">
        <v>3214</v>
      </c>
      <c r="B204" s="2">
        <v>46089</v>
      </c>
      <c r="C204" s="2">
        <v>46118</v>
      </c>
      <c r="D204" s="1" t="s">
        <v>32</v>
      </c>
      <c r="E204" s="1" t="s">
        <v>14</v>
      </c>
      <c r="F204" s="1" t="s">
        <v>15</v>
      </c>
      <c r="G204" s="1" t="s">
        <v>33</v>
      </c>
      <c r="H204" s="1" t="s">
        <v>34</v>
      </c>
      <c r="I204" s="1" t="s">
        <v>18</v>
      </c>
      <c r="J204">
        <v>15</v>
      </c>
      <c r="K204">
        <v>29</v>
      </c>
      <c r="L204" s="1" t="s">
        <v>21</v>
      </c>
    </row>
    <row r="205" spans="1:12" x14ac:dyDescent="0.3">
      <c r="A205" s="1" t="s">
        <v>2995</v>
      </c>
      <c r="B205" s="2">
        <v>46088</v>
      </c>
      <c r="C205" s="2">
        <v>46145</v>
      </c>
      <c r="D205" s="1" t="s">
        <v>37</v>
      </c>
      <c r="E205" s="1" t="s">
        <v>24</v>
      </c>
      <c r="F205" s="1" t="s">
        <v>38</v>
      </c>
      <c r="G205" s="1" t="s">
        <v>16</v>
      </c>
      <c r="H205" s="1" t="s">
        <v>49</v>
      </c>
      <c r="I205" s="1" t="s">
        <v>18</v>
      </c>
      <c r="J205">
        <v>30</v>
      </c>
      <c r="K205">
        <v>57</v>
      </c>
      <c r="L205" s="1" t="s">
        <v>80</v>
      </c>
    </row>
    <row r="206" spans="1:12" x14ac:dyDescent="0.3">
      <c r="A206" s="1" t="s">
        <v>2691</v>
      </c>
      <c r="B206" s="2">
        <v>46088</v>
      </c>
      <c r="C206" s="2">
        <v>46143</v>
      </c>
      <c r="D206" s="1" t="s">
        <v>37</v>
      </c>
      <c r="E206" s="1" t="s">
        <v>14</v>
      </c>
      <c r="F206" s="1" t="s">
        <v>15</v>
      </c>
      <c r="G206" s="1" t="s">
        <v>16</v>
      </c>
      <c r="H206" s="1" t="s">
        <v>49</v>
      </c>
      <c r="I206" s="1" t="s">
        <v>26</v>
      </c>
      <c r="J206">
        <v>30</v>
      </c>
      <c r="K206">
        <v>55</v>
      </c>
      <c r="L206" s="1" t="s">
        <v>44</v>
      </c>
    </row>
    <row r="207" spans="1:12" x14ac:dyDescent="0.3">
      <c r="A207" s="1" t="s">
        <v>2500</v>
      </c>
      <c r="B207" s="2">
        <v>46088</v>
      </c>
      <c r="C207" s="2">
        <v>46140</v>
      </c>
      <c r="D207" s="1" t="s">
        <v>37</v>
      </c>
      <c r="E207" s="1" t="s">
        <v>24</v>
      </c>
      <c r="F207" s="1" t="s">
        <v>15</v>
      </c>
      <c r="G207" s="1" t="s">
        <v>16</v>
      </c>
      <c r="H207" s="1" t="s">
        <v>39</v>
      </c>
      <c r="I207" s="1" t="s">
        <v>18</v>
      </c>
      <c r="J207">
        <v>30</v>
      </c>
      <c r="K207">
        <v>52</v>
      </c>
      <c r="L207" s="1" t="s">
        <v>44</v>
      </c>
    </row>
    <row r="208" spans="1:12" x14ac:dyDescent="0.3">
      <c r="A208" s="1" t="s">
        <v>2920</v>
      </c>
      <c r="B208" s="2">
        <v>46088</v>
      </c>
      <c r="C208" s="2">
        <v>46137</v>
      </c>
      <c r="D208" s="1" t="s">
        <v>37</v>
      </c>
      <c r="E208" s="1" t="s">
        <v>14</v>
      </c>
      <c r="F208" s="1" t="s">
        <v>15</v>
      </c>
      <c r="G208" s="1" t="s">
        <v>53</v>
      </c>
      <c r="H208" s="1" t="s">
        <v>49</v>
      </c>
      <c r="I208" s="1" t="s">
        <v>26</v>
      </c>
      <c r="J208">
        <v>15</v>
      </c>
      <c r="K208">
        <v>49</v>
      </c>
      <c r="L208" s="1" t="s">
        <v>44</v>
      </c>
    </row>
    <row r="209" spans="1:12" x14ac:dyDescent="0.3">
      <c r="A209" s="1" t="s">
        <v>806</v>
      </c>
      <c r="B209" s="2">
        <v>46088</v>
      </c>
      <c r="C209" s="2">
        <v>46123</v>
      </c>
      <c r="D209" s="1" t="s">
        <v>37</v>
      </c>
      <c r="E209" s="1" t="s">
        <v>24</v>
      </c>
      <c r="F209" s="1" t="s">
        <v>15</v>
      </c>
      <c r="G209" s="1" t="s">
        <v>33</v>
      </c>
      <c r="H209" s="1" t="s">
        <v>49</v>
      </c>
      <c r="I209" s="1" t="s">
        <v>26</v>
      </c>
      <c r="J209">
        <v>30</v>
      </c>
      <c r="K209">
        <v>35</v>
      </c>
      <c r="L209" s="1" t="s">
        <v>21</v>
      </c>
    </row>
    <row r="210" spans="1:12" x14ac:dyDescent="0.3">
      <c r="A210" s="1" t="s">
        <v>451</v>
      </c>
      <c r="B210" s="2">
        <v>46088</v>
      </c>
      <c r="C210" s="2">
        <v>46115</v>
      </c>
      <c r="D210" s="1" t="s">
        <v>37</v>
      </c>
      <c r="E210" s="1" t="s">
        <v>14</v>
      </c>
      <c r="F210" s="1" t="s">
        <v>15</v>
      </c>
      <c r="G210" s="1" t="s">
        <v>16</v>
      </c>
      <c r="H210" s="1" t="s">
        <v>49</v>
      </c>
      <c r="I210" s="1" t="s">
        <v>26</v>
      </c>
      <c r="J210">
        <v>15</v>
      </c>
      <c r="K210">
        <v>27</v>
      </c>
      <c r="L210" s="1" t="s">
        <v>19</v>
      </c>
    </row>
    <row r="211" spans="1:12" x14ac:dyDescent="0.3">
      <c r="A211" s="1" t="s">
        <v>389</v>
      </c>
      <c r="B211" s="2">
        <v>46088</v>
      </c>
      <c r="C211" s="2">
        <v>46125</v>
      </c>
      <c r="D211" s="1" t="s">
        <v>28</v>
      </c>
      <c r="E211" s="1" t="s">
        <v>14</v>
      </c>
      <c r="F211" s="1" t="s">
        <v>15</v>
      </c>
      <c r="G211" s="1" t="s">
        <v>16</v>
      </c>
      <c r="H211" s="1" t="s">
        <v>29</v>
      </c>
      <c r="I211" s="1" t="s">
        <v>26</v>
      </c>
      <c r="J211">
        <v>15</v>
      </c>
      <c r="K211">
        <v>37</v>
      </c>
      <c r="L211" s="1" t="s">
        <v>21</v>
      </c>
    </row>
    <row r="212" spans="1:12" x14ac:dyDescent="0.3">
      <c r="A212" s="1" t="s">
        <v>424</v>
      </c>
      <c r="B212" s="2">
        <v>46088</v>
      </c>
      <c r="C212" s="2">
        <v>46124</v>
      </c>
      <c r="D212" s="1" t="s">
        <v>23</v>
      </c>
      <c r="E212" s="1" t="s">
        <v>14</v>
      </c>
      <c r="F212" s="1" t="s">
        <v>38</v>
      </c>
      <c r="G212" s="1" t="s">
        <v>16</v>
      </c>
      <c r="H212" s="1" t="s">
        <v>43</v>
      </c>
      <c r="I212" s="1" t="s">
        <v>26</v>
      </c>
      <c r="J212">
        <v>15</v>
      </c>
      <c r="K212">
        <v>36</v>
      </c>
      <c r="L212" s="1" t="s">
        <v>21</v>
      </c>
    </row>
    <row r="213" spans="1:12" x14ac:dyDescent="0.3">
      <c r="A213" s="1" t="s">
        <v>722</v>
      </c>
      <c r="B213" s="2">
        <v>46088</v>
      </c>
      <c r="C213" s="2">
        <v>46117</v>
      </c>
      <c r="D213" s="1" t="s">
        <v>13</v>
      </c>
      <c r="E213" s="1" t="s">
        <v>24</v>
      </c>
      <c r="F213" s="1" t="s">
        <v>15</v>
      </c>
      <c r="G213" s="1" t="s">
        <v>16</v>
      </c>
      <c r="H213" s="1" t="s">
        <v>47</v>
      </c>
      <c r="I213" s="1" t="s">
        <v>26</v>
      </c>
      <c r="J213">
        <v>30</v>
      </c>
      <c r="K213">
        <v>29</v>
      </c>
      <c r="L213" s="1" t="s">
        <v>21</v>
      </c>
    </row>
    <row r="214" spans="1:12" x14ac:dyDescent="0.3">
      <c r="A214" s="1" t="s">
        <v>796</v>
      </c>
      <c r="B214" s="2">
        <v>46088</v>
      </c>
      <c r="C214" s="2">
        <v>46124</v>
      </c>
      <c r="D214" s="1" t="s">
        <v>23</v>
      </c>
      <c r="E214" s="1" t="s">
        <v>14</v>
      </c>
      <c r="F214" s="1" t="s">
        <v>15</v>
      </c>
      <c r="G214" s="1" t="s">
        <v>53</v>
      </c>
      <c r="H214" s="1" t="s">
        <v>25</v>
      </c>
      <c r="I214" s="1" t="s">
        <v>18</v>
      </c>
      <c r="J214">
        <v>30</v>
      </c>
      <c r="K214">
        <v>36</v>
      </c>
      <c r="L214" s="1" t="s">
        <v>21</v>
      </c>
    </row>
    <row r="215" spans="1:12" x14ac:dyDescent="0.3">
      <c r="A215" s="1" t="s">
        <v>1485</v>
      </c>
      <c r="B215" s="2">
        <v>46088</v>
      </c>
      <c r="C215" s="2">
        <v>46158</v>
      </c>
      <c r="D215" s="1" t="s">
        <v>13</v>
      </c>
      <c r="E215" s="1" t="s">
        <v>14</v>
      </c>
      <c r="F215" s="1" t="s">
        <v>15</v>
      </c>
      <c r="G215" s="1" t="s">
        <v>16</v>
      </c>
      <c r="H215" s="1" t="s">
        <v>17</v>
      </c>
      <c r="I215" s="1" t="s">
        <v>26</v>
      </c>
      <c r="J215">
        <v>15</v>
      </c>
      <c r="K215">
        <v>70</v>
      </c>
      <c r="L215" s="1" t="s">
        <v>80</v>
      </c>
    </row>
    <row r="216" spans="1:12" x14ac:dyDescent="0.3">
      <c r="A216" s="1" t="s">
        <v>1808</v>
      </c>
      <c r="B216" s="2">
        <v>46088</v>
      </c>
      <c r="C216" s="2">
        <v>46128</v>
      </c>
      <c r="D216" s="1" t="s">
        <v>13</v>
      </c>
      <c r="E216" s="1" t="s">
        <v>14</v>
      </c>
      <c r="F216" s="1" t="s">
        <v>15</v>
      </c>
      <c r="G216" s="1" t="s">
        <v>16</v>
      </c>
      <c r="H216" s="1" t="s">
        <v>47</v>
      </c>
      <c r="I216" s="1" t="s">
        <v>26</v>
      </c>
      <c r="J216">
        <v>30</v>
      </c>
      <c r="K216">
        <v>40</v>
      </c>
      <c r="L216" s="1" t="s">
        <v>21</v>
      </c>
    </row>
    <row r="217" spans="1:12" x14ac:dyDescent="0.3">
      <c r="A217" s="1" t="s">
        <v>2190</v>
      </c>
      <c r="B217" s="2">
        <v>46088</v>
      </c>
      <c r="C217" s="2">
        <v>46133</v>
      </c>
      <c r="D217" s="1" t="s">
        <v>28</v>
      </c>
      <c r="E217" s="1" t="s">
        <v>14</v>
      </c>
      <c r="F217" s="1" t="s">
        <v>15</v>
      </c>
      <c r="G217" s="1" t="s">
        <v>16</v>
      </c>
      <c r="H217" s="1" t="s">
        <v>29</v>
      </c>
      <c r="I217" s="1" t="s">
        <v>18</v>
      </c>
      <c r="J217">
        <v>15</v>
      </c>
      <c r="K217">
        <v>45</v>
      </c>
      <c r="L217" s="1" t="s">
        <v>44</v>
      </c>
    </row>
    <row r="218" spans="1:12" x14ac:dyDescent="0.3">
      <c r="A218" s="1" t="s">
        <v>2211</v>
      </c>
      <c r="B218" s="2">
        <v>46088</v>
      </c>
      <c r="C218" s="2">
        <v>46128</v>
      </c>
      <c r="D218" s="1" t="s">
        <v>13</v>
      </c>
      <c r="E218" s="1" t="s">
        <v>24</v>
      </c>
      <c r="F218" s="1" t="s">
        <v>38</v>
      </c>
      <c r="G218" s="1" t="s">
        <v>16</v>
      </c>
      <c r="H218" s="1" t="s">
        <v>47</v>
      </c>
      <c r="I218" s="1" t="s">
        <v>26</v>
      </c>
      <c r="J218">
        <v>30</v>
      </c>
      <c r="K218">
        <v>40</v>
      </c>
      <c r="L218" s="1" t="s">
        <v>21</v>
      </c>
    </row>
    <row r="219" spans="1:12" x14ac:dyDescent="0.3">
      <c r="A219" s="1" t="s">
        <v>2331</v>
      </c>
      <c r="B219" s="2">
        <v>46088</v>
      </c>
      <c r="C219" s="2">
        <v>46138</v>
      </c>
      <c r="D219" s="1" t="s">
        <v>32</v>
      </c>
      <c r="E219" s="1" t="s">
        <v>14</v>
      </c>
      <c r="F219" s="1" t="s">
        <v>15</v>
      </c>
      <c r="G219" s="1" t="s">
        <v>16</v>
      </c>
      <c r="H219" s="1" t="s">
        <v>34</v>
      </c>
      <c r="I219" s="1" t="s">
        <v>18</v>
      </c>
      <c r="J219">
        <v>15</v>
      </c>
      <c r="K219">
        <v>50</v>
      </c>
      <c r="L219" s="1" t="s">
        <v>44</v>
      </c>
    </row>
    <row r="220" spans="1:12" x14ac:dyDescent="0.3">
      <c r="A220" s="1" t="s">
        <v>2673</v>
      </c>
      <c r="B220" s="2">
        <v>46088</v>
      </c>
      <c r="C220" s="2">
        <v>46141</v>
      </c>
      <c r="D220" s="1" t="s">
        <v>32</v>
      </c>
      <c r="E220" s="1" t="s">
        <v>14</v>
      </c>
      <c r="F220" s="1" t="s">
        <v>15</v>
      </c>
      <c r="G220" s="1" t="s">
        <v>16</v>
      </c>
      <c r="H220" s="1" t="s">
        <v>71</v>
      </c>
      <c r="I220" s="1" t="s">
        <v>18</v>
      </c>
      <c r="J220">
        <v>15</v>
      </c>
      <c r="K220">
        <v>53</v>
      </c>
      <c r="L220" s="1" t="s">
        <v>44</v>
      </c>
    </row>
    <row r="221" spans="1:12" x14ac:dyDescent="0.3">
      <c r="A221" s="1" t="s">
        <v>2737</v>
      </c>
      <c r="B221" s="2">
        <v>46088</v>
      </c>
      <c r="C221" s="2">
        <v>46108</v>
      </c>
      <c r="D221" s="1" t="s">
        <v>23</v>
      </c>
      <c r="E221" s="1" t="s">
        <v>14</v>
      </c>
      <c r="F221" s="1" t="s">
        <v>15</v>
      </c>
      <c r="G221" s="1" t="s">
        <v>16</v>
      </c>
      <c r="H221" s="1" t="s">
        <v>43</v>
      </c>
      <c r="I221" s="1" t="s">
        <v>26</v>
      </c>
      <c r="J221">
        <v>15</v>
      </c>
      <c r="K221">
        <v>20</v>
      </c>
      <c r="L221" s="1" t="s">
        <v>19</v>
      </c>
    </row>
    <row r="222" spans="1:12" x14ac:dyDescent="0.3">
      <c r="A222" s="1" t="s">
        <v>2824</v>
      </c>
      <c r="B222" s="2">
        <v>46088</v>
      </c>
      <c r="C222" s="2">
        <v>46143</v>
      </c>
      <c r="D222" s="1" t="s">
        <v>28</v>
      </c>
      <c r="E222" s="1" t="s">
        <v>14</v>
      </c>
      <c r="F222" s="1" t="s">
        <v>15</v>
      </c>
      <c r="G222" s="1" t="s">
        <v>16</v>
      </c>
      <c r="H222" s="1" t="s">
        <v>29</v>
      </c>
      <c r="I222" s="1" t="s">
        <v>18</v>
      </c>
      <c r="J222">
        <v>15</v>
      </c>
      <c r="K222">
        <v>55</v>
      </c>
      <c r="L222" s="1" t="s">
        <v>44</v>
      </c>
    </row>
    <row r="223" spans="1:12" x14ac:dyDescent="0.3">
      <c r="A223" s="1" t="s">
        <v>2984</v>
      </c>
      <c r="B223" s="2">
        <v>46088</v>
      </c>
      <c r="C223" s="2">
        <v>46142</v>
      </c>
      <c r="D223" s="1" t="s">
        <v>28</v>
      </c>
      <c r="E223" s="1" t="s">
        <v>14</v>
      </c>
      <c r="F223" s="1" t="s">
        <v>15</v>
      </c>
      <c r="G223" s="1" t="s">
        <v>16</v>
      </c>
      <c r="H223" s="1" t="s">
        <v>54</v>
      </c>
      <c r="I223" s="1" t="s">
        <v>26</v>
      </c>
      <c r="J223">
        <v>15</v>
      </c>
      <c r="K223">
        <v>54</v>
      </c>
      <c r="L223" s="1" t="s">
        <v>44</v>
      </c>
    </row>
    <row r="224" spans="1:12" x14ac:dyDescent="0.3">
      <c r="A224" s="1" t="s">
        <v>1315</v>
      </c>
      <c r="B224" s="2">
        <v>46087</v>
      </c>
      <c r="C224" s="2">
        <v>46139</v>
      </c>
      <c r="D224" s="1" t="s">
        <v>37</v>
      </c>
      <c r="E224" s="1" t="s">
        <v>14</v>
      </c>
      <c r="F224" s="1" t="s">
        <v>15</v>
      </c>
      <c r="G224" s="1" t="s">
        <v>16</v>
      </c>
      <c r="H224" s="1" t="s">
        <v>49</v>
      </c>
      <c r="I224" s="1" t="s">
        <v>26</v>
      </c>
      <c r="J224">
        <v>30</v>
      </c>
      <c r="K224">
        <v>52</v>
      </c>
      <c r="L224" s="1" t="s">
        <v>44</v>
      </c>
    </row>
    <row r="225" spans="1:12" x14ac:dyDescent="0.3">
      <c r="A225" s="1" t="s">
        <v>1185</v>
      </c>
      <c r="B225" s="2">
        <v>46087</v>
      </c>
      <c r="C225" s="2">
        <v>46137</v>
      </c>
      <c r="D225" s="1" t="s">
        <v>37</v>
      </c>
      <c r="E225" s="1" t="s">
        <v>14</v>
      </c>
      <c r="F225" s="1" t="s">
        <v>15</v>
      </c>
      <c r="G225" s="1" t="s">
        <v>53</v>
      </c>
      <c r="H225" s="1" t="s">
        <v>39</v>
      </c>
      <c r="I225" s="1" t="s">
        <v>18</v>
      </c>
      <c r="J225">
        <v>15</v>
      </c>
      <c r="K225">
        <v>50</v>
      </c>
      <c r="L225" s="1" t="s">
        <v>44</v>
      </c>
    </row>
    <row r="226" spans="1:12" x14ac:dyDescent="0.3">
      <c r="A226" s="1" t="s">
        <v>533</v>
      </c>
      <c r="B226" s="2">
        <v>46087</v>
      </c>
      <c r="C226" s="2">
        <v>46135</v>
      </c>
      <c r="D226" s="1" t="s">
        <v>37</v>
      </c>
      <c r="E226" s="1" t="s">
        <v>14</v>
      </c>
      <c r="F226" s="1" t="s">
        <v>15</v>
      </c>
      <c r="G226" s="1" t="s">
        <v>33</v>
      </c>
      <c r="H226" s="1" t="s">
        <v>49</v>
      </c>
      <c r="I226" s="1" t="s">
        <v>18</v>
      </c>
      <c r="J226">
        <v>30</v>
      </c>
      <c r="K226">
        <v>48</v>
      </c>
      <c r="L226" s="1" t="s">
        <v>44</v>
      </c>
    </row>
    <row r="227" spans="1:12" x14ac:dyDescent="0.3">
      <c r="A227" s="1" t="s">
        <v>2775</v>
      </c>
      <c r="B227" s="2">
        <v>46087</v>
      </c>
      <c r="C227" s="2">
        <v>46106</v>
      </c>
      <c r="D227" s="1" t="s">
        <v>37</v>
      </c>
      <c r="E227" s="1" t="s">
        <v>24</v>
      </c>
      <c r="F227" s="1" t="s">
        <v>38</v>
      </c>
      <c r="G227" s="1" t="s">
        <v>16</v>
      </c>
      <c r="H227" s="1" t="s">
        <v>39</v>
      </c>
      <c r="I227" s="1" t="s">
        <v>26</v>
      </c>
      <c r="J227">
        <v>30</v>
      </c>
      <c r="K227">
        <v>19</v>
      </c>
      <c r="L227" s="1" t="s">
        <v>19</v>
      </c>
    </row>
    <row r="228" spans="1:12" x14ac:dyDescent="0.3">
      <c r="A228" s="1" t="s">
        <v>512</v>
      </c>
      <c r="B228" s="2">
        <v>46087</v>
      </c>
      <c r="C228" s="2">
        <v>46113</v>
      </c>
      <c r="D228" s="1" t="s">
        <v>32</v>
      </c>
      <c r="E228" s="1" t="s">
        <v>14</v>
      </c>
      <c r="F228" s="1" t="s">
        <v>15</v>
      </c>
      <c r="G228" s="1" t="s">
        <v>16</v>
      </c>
      <c r="H228" s="1" t="s">
        <v>34</v>
      </c>
      <c r="I228" s="1" t="s">
        <v>26</v>
      </c>
      <c r="J228">
        <v>15</v>
      </c>
      <c r="K228">
        <v>26</v>
      </c>
      <c r="L228" s="1" t="s">
        <v>19</v>
      </c>
    </row>
    <row r="229" spans="1:12" x14ac:dyDescent="0.3">
      <c r="A229" s="1" t="s">
        <v>735</v>
      </c>
      <c r="B229" s="2">
        <v>46087</v>
      </c>
      <c r="C229" s="2">
        <v>46134</v>
      </c>
      <c r="D229" s="1" t="s">
        <v>23</v>
      </c>
      <c r="E229" s="1" t="s">
        <v>24</v>
      </c>
      <c r="F229" s="1" t="s">
        <v>15</v>
      </c>
      <c r="G229" s="1" t="s">
        <v>16</v>
      </c>
      <c r="H229" s="1" t="s">
        <v>25</v>
      </c>
      <c r="I229" s="1" t="s">
        <v>41</v>
      </c>
      <c r="J229">
        <v>30</v>
      </c>
      <c r="K229">
        <v>47</v>
      </c>
      <c r="L229" s="1" t="s">
        <v>44</v>
      </c>
    </row>
    <row r="230" spans="1:12" x14ac:dyDescent="0.3">
      <c r="A230" s="1" t="s">
        <v>1575</v>
      </c>
      <c r="B230" s="2">
        <v>46087</v>
      </c>
      <c r="C230" s="2">
        <v>46138</v>
      </c>
      <c r="D230" s="1" t="s">
        <v>23</v>
      </c>
      <c r="E230" s="1" t="s">
        <v>14</v>
      </c>
      <c r="F230" s="1" t="s">
        <v>15</v>
      </c>
      <c r="G230" s="1" t="s">
        <v>16</v>
      </c>
      <c r="H230" s="1" t="s">
        <v>43</v>
      </c>
      <c r="I230" s="1" t="s">
        <v>18</v>
      </c>
      <c r="J230">
        <v>15</v>
      </c>
      <c r="K230">
        <v>51</v>
      </c>
      <c r="L230" s="1" t="s">
        <v>44</v>
      </c>
    </row>
    <row r="231" spans="1:12" x14ac:dyDescent="0.3">
      <c r="A231" s="1" t="s">
        <v>2019</v>
      </c>
      <c r="B231" s="2">
        <v>46087</v>
      </c>
      <c r="C231" s="2">
        <v>46138</v>
      </c>
      <c r="D231" s="1" t="s">
        <v>23</v>
      </c>
      <c r="E231" s="1" t="s">
        <v>14</v>
      </c>
      <c r="F231" s="1" t="s">
        <v>15</v>
      </c>
      <c r="G231" s="1" t="s">
        <v>16</v>
      </c>
      <c r="H231" s="1" t="s">
        <v>43</v>
      </c>
      <c r="I231" s="1" t="s">
        <v>18</v>
      </c>
      <c r="J231">
        <v>15</v>
      </c>
      <c r="K231">
        <v>51</v>
      </c>
      <c r="L231" s="1" t="s">
        <v>44</v>
      </c>
    </row>
    <row r="232" spans="1:12" x14ac:dyDescent="0.3">
      <c r="A232" s="1" t="s">
        <v>2270</v>
      </c>
      <c r="B232" s="2">
        <v>46087</v>
      </c>
      <c r="C232" s="2">
        <v>46122</v>
      </c>
      <c r="D232" s="1" t="s">
        <v>23</v>
      </c>
      <c r="E232" s="1" t="s">
        <v>14</v>
      </c>
      <c r="F232" s="1" t="s">
        <v>15</v>
      </c>
      <c r="G232" s="1" t="s">
        <v>16</v>
      </c>
      <c r="H232" s="1" t="s">
        <v>43</v>
      </c>
      <c r="I232" s="1" t="s">
        <v>26</v>
      </c>
      <c r="J232">
        <v>15</v>
      </c>
      <c r="K232">
        <v>35</v>
      </c>
      <c r="L232" s="1" t="s">
        <v>21</v>
      </c>
    </row>
    <row r="233" spans="1:12" x14ac:dyDescent="0.3">
      <c r="A233" s="1" t="s">
        <v>2614</v>
      </c>
      <c r="B233" s="2">
        <v>46087</v>
      </c>
      <c r="C233" s="2">
        <v>46108</v>
      </c>
      <c r="D233" s="1" t="s">
        <v>28</v>
      </c>
      <c r="E233" s="1" t="s">
        <v>24</v>
      </c>
      <c r="F233" s="1" t="s">
        <v>15</v>
      </c>
      <c r="G233" s="1" t="s">
        <v>16</v>
      </c>
      <c r="H233" s="1" t="s">
        <v>54</v>
      </c>
      <c r="I233" s="1" t="s">
        <v>26</v>
      </c>
      <c r="J233">
        <v>30</v>
      </c>
      <c r="K233">
        <v>21</v>
      </c>
      <c r="L233" s="1" t="s">
        <v>19</v>
      </c>
    </row>
    <row r="234" spans="1:12" x14ac:dyDescent="0.3">
      <c r="A234" s="1" t="s">
        <v>2929</v>
      </c>
      <c r="B234" s="2">
        <v>46087</v>
      </c>
      <c r="C234" s="2">
        <v>46129</v>
      </c>
      <c r="D234" s="1" t="s">
        <v>32</v>
      </c>
      <c r="E234" s="1" t="s">
        <v>14</v>
      </c>
      <c r="F234" s="1" t="s">
        <v>15</v>
      </c>
      <c r="G234" s="1" t="s">
        <v>16</v>
      </c>
      <c r="H234" s="1" t="s">
        <v>71</v>
      </c>
      <c r="I234" s="1" t="s">
        <v>26</v>
      </c>
      <c r="J234">
        <v>15</v>
      </c>
      <c r="K234">
        <v>42</v>
      </c>
      <c r="L234" s="1" t="s">
        <v>21</v>
      </c>
    </row>
    <row r="235" spans="1:12" x14ac:dyDescent="0.3">
      <c r="A235" s="1" t="s">
        <v>3156</v>
      </c>
      <c r="B235" s="2">
        <v>46086</v>
      </c>
      <c r="C235" s="2">
        <v>46123</v>
      </c>
      <c r="D235" s="1" t="s">
        <v>37</v>
      </c>
      <c r="E235" s="1" t="s">
        <v>24</v>
      </c>
      <c r="F235" s="1" t="s">
        <v>15</v>
      </c>
      <c r="G235" s="1" t="s">
        <v>16</v>
      </c>
      <c r="H235" s="1" t="s">
        <v>49</v>
      </c>
      <c r="I235" s="1" t="s">
        <v>41</v>
      </c>
      <c r="J235">
        <v>30</v>
      </c>
      <c r="K235">
        <v>37</v>
      </c>
      <c r="L235" s="1" t="s">
        <v>21</v>
      </c>
    </row>
    <row r="236" spans="1:12" x14ac:dyDescent="0.3">
      <c r="A236" s="1" t="s">
        <v>2542</v>
      </c>
      <c r="B236" s="2">
        <v>46086</v>
      </c>
      <c r="C236" s="2">
        <v>46119</v>
      </c>
      <c r="D236" s="1" t="s">
        <v>37</v>
      </c>
      <c r="E236" s="1" t="s">
        <v>14</v>
      </c>
      <c r="F236" s="1" t="s">
        <v>38</v>
      </c>
      <c r="G236" s="1" t="s">
        <v>16</v>
      </c>
      <c r="H236" s="1" t="s">
        <v>49</v>
      </c>
      <c r="I236" s="1" t="s">
        <v>26</v>
      </c>
      <c r="J236">
        <v>15</v>
      </c>
      <c r="K236">
        <v>33</v>
      </c>
      <c r="L236" s="1" t="s">
        <v>21</v>
      </c>
    </row>
    <row r="237" spans="1:12" x14ac:dyDescent="0.3">
      <c r="A237" s="1" t="s">
        <v>764</v>
      </c>
      <c r="B237" s="2">
        <v>46086</v>
      </c>
      <c r="C237" s="2">
        <v>46121</v>
      </c>
      <c r="D237" s="1" t="s">
        <v>28</v>
      </c>
      <c r="E237" s="1" t="s">
        <v>24</v>
      </c>
      <c r="F237" s="1" t="s">
        <v>15</v>
      </c>
      <c r="G237" s="1" t="s">
        <v>16</v>
      </c>
      <c r="H237" s="1" t="s">
        <v>29</v>
      </c>
      <c r="I237" s="1" t="s">
        <v>26</v>
      </c>
      <c r="J237">
        <v>30</v>
      </c>
      <c r="K237">
        <v>35</v>
      </c>
      <c r="L237" s="1" t="s">
        <v>21</v>
      </c>
    </row>
    <row r="238" spans="1:12" x14ac:dyDescent="0.3">
      <c r="A238" s="1" t="s">
        <v>1558</v>
      </c>
      <c r="B238" s="2">
        <v>46086</v>
      </c>
      <c r="C238" s="2">
        <v>46105</v>
      </c>
      <c r="D238" s="1" t="s">
        <v>23</v>
      </c>
      <c r="E238" s="1" t="s">
        <v>14</v>
      </c>
      <c r="F238" s="1" t="s">
        <v>15</v>
      </c>
      <c r="G238" s="1" t="s">
        <v>16</v>
      </c>
      <c r="H238" s="1" t="s">
        <v>43</v>
      </c>
      <c r="I238" s="1" t="s">
        <v>18</v>
      </c>
      <c r="J238">
        <v>15</v>
      </c>
      <c r="K238">
        <v>19</v>
      </c>
      <c r="L238" s="1" t="s">
        <v>19</v>
      </c>
    </row>
    <row r="239" spans="1:12" x14ac:dyDescent="0.3">
      <c r="A239" s="1" t="s">
        <v>1793</v>
      </c>
      <c r="B239" s="2">
        <v>46086</v>
      </c>
      <c r="C239" s="2">
        <v>46111</v>
      </c>
      <c r="D239" s="1" t="s">
        <v>23</v>
      </c>
      <c r="E239" s="1" t="s">
        <v>14</v>
      </c>
      <c r="F239" s="1" t="s">
        <v>15</v>
      </c>
      <c r="G239" s="1" t="s">
        <v>16</v>
      </c>
      <c r="H239" s="1" t="s">
        <v>43</v>
      </c>
      <c r="I239" s="1" t="s">
        <v>41</v>
      </c>
      <c r="J239">
        <v>30</v>
      </c>
      <c r="K239">
        <v>25</v>
      </c>
      <c r="L239" s="1" t="s">
        <v>19</v>
      </c>
    </row>
    <row r="240" spans="1:12" x14ac:dyDescent="0.3">
      <c r="A240" s="1" t="s">
        <v>2455</v>
      </c>
      <c r="B240" s="2">
        <v>46086</v>
      </c>
      <c r="C240" s="2">
        <v>46125</v>
      </c>
      <c r="D240" s="1" t="s">
        <v>13</v>
      </c>
      <c r="E240" s="1" t="s">
        <v>24</v>
      </c>
      <c r="F240" s="1" t="s">
        <v>15</v>
      </c>
      <c r="G240" s="1" t="s">
        <v>16</v>
      </c>
      <c r="H240" s="1" t="s">
        <v>17</v>
      </c>
      <c r="I240" s="1" t="s">
        <v>26</v>
      </c>
      <c r="J240">
        <v>30</v>
      </c>
      <c r="K240">
        <v>39</v>
      </c>
      <c r="L240" s="1" t="s">
        <v>21</v>
      </c>
    </row>
    <row r="241" spans="1:12" x14ac:dyDescent="0.3">
      <c r="A241" s="1" t="s">
        <v>2535</v>
      </c>
      <c r="B241" s="2">
        <v>46086</v>
      </c>
      <c r="C241" s="2">
        <v>46128</v>
      </c>
      <c r="D241" s="1" t="s">
        <v>13</v>
      </c>
      <c r="E241" s="1" t="s">
        <v>14</v>
      </c>
      <c r="F241" s="1" t="s">
        <v>38</v>
      </c>
      <c r="G241" s="1" t="s">
        <v>16</v>
      </c>
      <c r="H241" s="1" t="s">
        <v>17</v>
      </c>
      <c r="I241" s="1" t="s">
        <v>41</v>
      </c>
      <c r="J241">
        <v>15</v>
      </c>
      <c r="K241">
        <v>42</v>
      </c>
      <c r="L241" s="1" t="s">
        <v>21</v>
      </c>
    </row>
    <row r="242" spans="1:12" x14ac:dyDescent="0.3">
      <c r="A242" s="1" t="s">
        <v>2717</v>
      </c>
      <c r="B242" s="2">
        <v>46086</v>
      </c>
      <c r="C242" s="2">
        <v>46143</v>
      </c>
      <c r="D242" s="1" t="s">
        <v>13</v>
      </c>
      <c r="E242" s="1" t="s">
        <v>14</v>
      </c>
      <c r="F242" s="1" t="s">
        <v>38</v>
      </c>
      <c r="G242" s="1" t="s">
        <v>16</v>
      </c>
      <c r="H242" s="1" t="s">
        <v>17</v>
      </c>
      <c r="I242" s="1" t="s">
        <v>41</v>
      </c>
      <c r="J242">
        <v>15</v>
      </c>
      <c r="K242">
        <v>57</v>
      </c>
      <c r="L242" s="1" t="s">
        <v>80</v>
      </c>
    </row>
    <row r="243" spans="1:12" x14ac:dyDescent="0.3">
      <c r="A243" s="1" t="s">
        <v>2904</v>
      </c>
      <c r="B243" s="2">
        <v>46086</v>
      </c>
      <c r="C243" s="2">
        <v>46134</v>
      </c>
      <c r="D243" s="1" t="s">
        <v>28</v>
      </c>
      <c r="E243" s="1" t="s">
        <v>14</v>
      </c>
      <c r="F243" s="1" t="s">
        <v>15</v>
      </c>
      <c r="G243" s="1" t="s">
        <v>16</v>
      </c>
      <c r="H243" s="1" t="s">
        <v>29</v>
      </c>
      <c r="I243" s="1" t="s">
        <v>26</v>
      </c>
      <c r="J243">
        <v>15</v>
      </c>
      <c r="K243">
        <v>48</v>
      </c>
      <c r="L243" s="1" t="s">
        <v>44</v>
      </c>
    </row>
    <row r="244" spans="1:12" x14ac:dyDescent="0.3">
      <c r="A244" s="1" t="s">
        <v>3045</v>
      </c>
      <c r="B244" s="2">
        <v>46086</v>
      </c>
      <c r="C244" s="2">
        <v>46126</v>
      </c>
      <c r="D244" s="1" t="s">
        <v>13</v>
      </c>
      <c r="E244" s="1" t="s">
        <v>14</v>
      </c>
      <c r="F244" s="1" t="s">
        <v>15</v>
      </c>
      <c r="G244" s="1" t="s">
        <v>16</v>
      </c>
      <c r="H244" s="1" t="s">
        <v>47</v>
      </c>
      <c r="I244" s="1" t="s">
        <v>18</v>
      </c>
      <c r="J244">
        <v>30</v>
      </c>
      <c r="K244">
        <v>40</v>
      </c>
      <c r="L244" s="1" t="s">
        <v>21</v>
      </c>
    </row>
    <row r="245" spans="1:12" x14ac:dyDescent="0.3">
      <c r="A245" s="1" t="s">
        <v>63</v>
      </c>
      <c r="B245" s="2">
        <v>46085</v>
      </c>
      <c r="C245" s="2">
        <v>46107</v>
      </c>
      <c r="D245" s="1" t="s">
        <v>13</v>
      </c>
      <c r="E245" s="1" t="s">
        <v>24</v>
      </c>
      <c r="F245" s="1" t="s">
        <v>38</v>
      </c>
      <c r="G245" s="1" t="s">
        <v>53</v>
      </c>
      <c r="H245" s="1" t="s">
        <v>47</v>
      </c>
      <c r="I245" s="1" t="s">
        <v>41</v>
      </c>
      <c r="J245">
        <v>30</v>
      </c>
      <c r="K245">
        <v>22</v>
      </c>
      <c r="L245" s="1" t="s">
        <v>19</v>
      </c>
    </row>
    <row r="246" spans="1:12" x14ac:dyDescent="0.3">
      <c r="A246" s="1" t="s">
        <v>1224</v>
      </c>
      <c r="B246" s="2">
        <v>46085</v>
      </c>
      <c r="C246" s="2">
        <v>46131</v>
      </c>
      <c r="D246" s="1" t="s">
        <v>37</v>
      </c>
      <c r="E246" s="1" t="s">
        <v>14</v>
      </c>
      <c r="F246" s="1" t="s">
        <v>15</v>
      </c>
      <c r="G246" s="1" t="s">
        <v>16</v>
      </c>
      <c r="H246" s="1" t="s">
        <v>39</v>
      </c>
      <c r="I246" s="1" t="s">
        <v>41</v>
      </c>
      <c r="J246">
        <v>30</v>
      </c>
      <c r="K246">
        <v>46</v>
      </c>
      <c r="L246" s="1" t="s">
        <v>44</v>
      </c>
    </row>
    <row r="247" spans="1:12" x14ac:dyDescent="0.3">
      <c r="A247" s="1" t="s">
        <v>463</v>
      </c>
      <c r="B247" s="2">
        <v>46085</v>
      </c>
      <c r="C247" s="2">
        <v>46123</v>
      </c>
      <c r="D247" s="1" t="s">
        <v>13</v>
      </c>
      <c r="E247" s="1" t="s">
        <v>14</v>
      </c>
      <c r="F247" s="1" t="s">
        <v>15</v>
      </c>
      <c r="G247" s="1" t="s">
        <v>16</v>
      </c>
      <c r="H247" s="1" t="s">
        <v>17</v>
      </c>
      <c r="I247" s="1" t="s">
        <v>26</v>
      </c>
      <c r="J247">
        <v>15</v>
      </c>
      <c r="K247">
        <v>38</v>
      </c>
      <c r="L247" s="1" t="s">
        <v>21</v>
      </c>
    </row>
    <row r="248" spans="1:12" x14ac:dyDescent="0.3">
      <c r="A248" s="1" t="s">
        <v>480</v>
      </c>
      <c r="B248" s="2">
        <v>46085</v>
      </c>
      <c r="C248" s="2">
        <v>46118</v>
      </c>
      <c r="D248" s="1" t="s">
        <v>13</v>
      </c>
      <c r="E248" s="1" t="s">
        <v>14</v>
      </c>
      <c r="F248" s="1" t="s">
        <v>38</v>
      </c>
      <c r="G248" s="1" t="s">
        <v>16</v>
      </c>
      <c r="H248" s="1" t="s">
        <v>17</v>
      </c>
      <c r="I248" s="1" t="s">
        <v>26</v>
      </c>
      <c r="J248">
        <v>15</v>
      </c>
      <c r="K248">
        <v>33</v>
      </c>
      <c r="L248" s="1" t="s">
        <v>21</v>
      </c>
    </row>
    <row r="249" spans="1:12" x14ac:dyDescent="0.3">
      <c r="A249" s="1" t="s">
        <v>541</v>
      </c>
      <c r="B249" s="2">
        <v>46085</v>
      </c>
      <c r="C249" s="2">
        <v>46109</v>
      </c>
      <c r="D249" s="1" t="s">
        <v>13</v>
      </c>
      <c r="E249" s="1" t="s">
        <v>24</v>
      </c>
      <c r="F249" s="1" t="s">
        <v>15</v>
      </c>
      <c r="G249" s="1" t="s">
        <v>16</v>
      </c>
      <c r="H249" s="1" t="s">
        <v>47</v>
      </c>
      <c r="I249" s="1" t="s">
        <v>26</v>
      </c>
      <c r="J249">
        <v>30</v>
      </c>
      <c r="K249">
        <v>24</v>
      </c>
      <c r="L249" s="1" t="s">
        <v>19</v>
      </c>
    </row>
    <row r="250" spans="1:12" x14ac:dyDescent="0.3">
      <c r="A250" s="1" t="s">
        <v>904</v>
      </c>
      <c r="B250" s="2">
        <v>46085</v>
      </c>
      <c r="C250" s="2">
        <v>46114</v>
      </c>
      <c r="D250" s="1" t="s">
        <v>13</v>
      </c>
      <c r="E250" s="1" t="s">
        <v>14</v>
      </c>
      <c r="F250" s="1" t="s">
        <v>15</v>
      </c>
      <c r="G250" s="1" t="s">
        <v>16</v>
      </c>
      <c r="H250" s="1" t="s">
        <v>17</v>
      </c>
      <c r="I250" s="1" t="s">
        <v>26</v>
      </c>
      <c r="J250">
        <v>15</v>
      </c>
      <c r="K250">
        <v>29</v>
      </c>
      <c r="L250" s="1" t="s">
        <v>21</v>
      </c>
    </row>
    <row r="251" spans="1:12" x14ac:dyDescent="0.3">
      <c r="A251" s="1" t="s">
        <v>2612</v>
      </c>
      <c r="B251" s="2">
        <v>46085</v>
      </c>
      <c r="C251" s="2">
        <v>46102</v>
      </c>
      <c r="D251" s="1" t="s">
        <v>13</v>
      </c>
      <c r="E251" s="1" t="s">
        <v>14</v>
      </c>
      <c r="F251" s="1" t="s">
        <v>15</v>
      </c>
      <c r="G251" s="1" t="s">
        <v>33</v>
      </c>
      <c r="H251" s="1" t="s">
        <v>17</v>
      </c>
      <c r="I251" s="1" t="s">
        <v>26</v>
      </c>
      <c r="J251">
        <v>15</v>
      </c>
      <c r="K251">
        <v>17</v>
      </c>
      <c r="L251" s="1" t="s">
        <v>19</v>
      </c>
    </row>
    <row r="252" spans="1:12" x14ac:dyDescent="0.3">
      <c r="A252" s="1" t="s">
        <v>2654</v>
      </c>
      <c r="B252" s="2">
        <v>46085</v>
      </c>
      <c r="C252" s="2">
        <v>46130</v>
      </c>
      <c r="D252" s="1" t="s">
        <v>23</v>
      </c>
      <c r="E252" s="1" t="s">
        <v>14</v>
      </c>
      <c r="F252" s="1" t="s">
        <v>15</v>
      </c>
      <c r="G252" s="1" t="s">
        <v>16</v>
      </c>
      <c r="H252" s="1" t="s">
        <v>25</v>
      </c>
      <c r="I252" s="1" t="s">
        <v>41</v>
      </c>
      <c r="J252">
        <v>30</v>
      </c>
      <c r="K252">
        <v>45</v>
      </c>
      <c r="L252" s="1" t="s">
        <v>44</v>
      </c>
    </row>
    <row r="253" spans="1:12" x14ac:dyDescent="0.3">
      <c r="A253" s="1" t="s">
        <v>305</v>
      </c>
      <c r="B253" s="2">
        <v>46084</v>
      </c>
      <c r="C253" s="2">
        <v>46130</v>
      </c>
      <c r="D253" s="1" t="s">
        <v>28</v>
      </c>
      <c r="E253" s="1" t="s">
        <v>14</v>
      </c>
      <c r="F253" s="1" t="s">
        <v>15</v>
      </c>
      <c r="G253" s="1" t="s">
        <v>16</v>
      </c>
      <c r="H253" s="1" t="s">
        <v>29</v>
      </c>
      <c r="I253" s="1" t="s">
        <v>18</v>
      </c>
      <c r="J253">
        <v>15</v>
      </c>
      <c r="K253">
        <v>46</v>
      </c>
      <c r="L253" s="1" t="s">
        <v>44</v>
      </c>
    </row>
    <row r="254" spans="1:12" x14ac:dyDescent="0.3">
      <c r="A254" s="1" t="s">
        <v>1721</v>
      </c>
      <c r="B254" s="2">
        <v>46084</v>
      </c>
      <c r="C254" s="2">
        <v>46135</v>
      </c>
      <c r="D254" s="1" t="s">
        <v>37</v>
      </c>
      <c r="E254" s="1" t="s">
        <v>14</v>
      </c>
      <c r="F254" s="1" t="s">
        <v>15</v>
      </c>
      <c r="G254" s="1" t="s">
        <v>16</v>
      </c>
      <c r="H254" s="1" t="s">
        <v>39</v>
      </c>
      <c r="I254" s="1" t="s">
        <v>26</v>
      </c>
      <c r="J254">
        <v>30</v>
      </c>
      <c r="K254">
        <v>51</v>
      </c>
      <c r="L254" s="1" t="s">
        <v>44</v>
      </c>
    </row>
    <row r="255" spans="1:12" x14ac:dyDescent="0.3">
      <c r="A255" s="1" t="s">
        <v>619</v>
      </c>
      <c r="B255" s="2">
        <v>46084</v>
      </c>
      <c r="C255" s="2">
        <v>46123</v>
      </c>
      <c r="D255" s="1" t="s">
        <v>37</v>
      </c>
      <c r="E255" s="1" t="s">
        <v>24</v>
      </c>
      <c r="F255" s="1" t="s">
        <v>15</v>
      </c>
      <c r="G255" s="1" t="s">
        <v>33</v>
      </c>
      <c r="H255" s="1" t="s">
        <v>49</v>
      </c>
      <c r="I255" s="1" t="s">
        <v>26</v>
      </c>
      <c r="J255">
        <v>30</v>
      </c>
      <c r="K255">
        <v>39</v>
      </c>
      <c r="L255" s="1" t="s">
        <v>21</v>
      </c>
    </row>
    <row r="256" spans="1:12" x14ac:dyDescent="0.3">
      <c r="A256" s="1" t="s">
        <v>1665</v>
      </c>
      <c r="B256" s="2">
        <v>46084</v>
      </c>
      <c r="C256" s="2">
        <v>46106</v>
      </c>
      <c r="D256" s="1" t="s">
        <v>37</v>
      </c>
      <c r="E256" s="1" t="s">
        <v>24</v>
      </c>
      <c r="F256" s="1" t="s">
        <v>15</v>
      </c>
      <c r="G256" s="1" t="s">
        <v>16</v>
      </c>
      <c r="H256" s="1" t="s">
        <v>39</v>
      </c>
      <c r="I256" s="1" t="s">
        <v>18</v>
      </c>
      <c r="J256">
        <v>30</v>
      </c>
      <c r="K256">
        <v>22</v>
      </c>
      <c r="L256" s="1" t="s">
        <v>19</v>
      </c>
    </row>
    <row r="257" spans="1:12" x14ac:dyDescent="0.3">
      <c r="A257" s="1" t="s">
        <v>2575</v>
      </c>
      <c r="B257" s="2">
        <v>46084</v>
      </c>
      <c r="C257" s="2">
        <v>46105</v>
      </c>
      <c r="D257" s="1" t="s">
        <v>37</v>
      </c>
      <c r="E257" s="1" t="s">
        <v>24</v>
      </c>
      <c r="F257" s="1" t="s">
        <v>15</v>
      </c>
      <c r="G257" s="1" t="s">
        <v>16</v>
      </c>
      <c r="H257" s="1" t="s">
        <v>39</v>
      </c>
      <c r="I257" s="1" t="s">
        <v>41</v>
      </c>
      <c r="J257">
        <v>30</v>
      </c>
      <c r="K257">
        <v>21</v>
      </c>
      <c r="L257" s="1" t="s">
        <v>19</v>
      </c>
    </row>
    <row r="258" spans="1:12" x14ac:dyDescent="0.3">
      <c r="A258" s="1" t="s">
        <v>494</v>
      </c>
      <c r="B258" s="2">
        <v>46084</v>
      </c>
      <c r="C258" s="2">
        <v>46150</v>
      </c>
      <c r="D258" s="1" t="s">
        <v>13</v>
      </c>
      <c r="E258" s="1" t="s">
        <v>24</v>
      </c>
      <c r="F258" s="1" t="s">
        <v>15</v>
      </c>
      <c r="G258" s="1" t="s">
        <v>16</v>
      </c>
      <c r="H258" s="1" t="s">
        <v>47</v>
      </c>
      <c r="I258" s="1" t="s">
        <v>18</v>
      </c>
      <c r="J258">
        <v>30</v>
      </c>
      <c r="K258">
        <v>66</v>
      </c>
      <c r="L258" s="1" t="s">
        <v>80</v>
      </c>
    </row>
    <row r="259" spans="1:12" x14ac:dyDescent="0.3">
      <c r="A259" s="1" t="s">
        <v>569</v>
      </c>
      <c r="B259" s="2">
        <v>46084</v>
      </c>
      <c r="C259" s="2">
        <v>46117</v>
      </c>
      <c r="D259" s="1" t="s">
        <v>28</v>
      </c>
      <c r="E259" s="1" t="s">
        <v>14</v>
      </c>
      <c r="F259" s="1" t="s">
        <v>15</v>
      </c>
      <c r="G259" s="1" t="s">
        <v>16</v>
      </c>
      <c r="H259" s="1" t="s">
        <v>54</v>
      </c>
      <c r="I259" s="1" t="s">
        <v>26</v>
      </c>
      <c r="J259">
        <v>30</v>
      </c>
      <c r="K259">
        <v>33</v>
      </c>
      <c r="L259" s="1" t="s">
        <v>21</v>
      </c>
    </row>
    <row r="260" spans="1:12" x14ac:dyDescent="0.3">
      <c r="A260" s="1" t="s">
        <v>628</v>
      </c>
      <c r="B260" s="2">
        <v>46084</v>
      </c>
      <c r="C260" s="2">
        <v>46106</v>
      </c>
      <c r="D260" s="1" t="s">
        <v>32</v>
      </c>
      <c r="E260" s="1" t="s">
        <v>14</v>
      </c>
      <c r="F260" s="1" t="s">
        <v>15</v>
      </c>
      <c r="G260" s="1" t="s">
        <v>16</v>
      </c>
      <c r="H260" s="1" t="s">
        <v>71</v>
      </c>
      <c r="I260" s="1" t="s">
        <v>41</v>
      </c>
      <c r="J260">
        <v>15</v>
      </c>
      <c r="K260">
        <v>22</v>
      </c>
      <c r="L260" s="1" t="s">
        <v>19</v>
      </c>
    </row>
    <row r="261" spans="1:12" x14ac:dyDescent="0.3">
      <c r="A261" s="1" t="s">
        <v>1109</v>
      </c>
      <c r="B261" s="2">
        <v>46084</v>
      </c>
      <c r="C261" s="2">
        <v>46143</v>
      </c>
      <c r="D261" s="1" t="s">
        <v>23</v>
      </c>
      <c r="E261" s="1" t="s">
        <v>24</v>
      </c>
      <c r="F261" s="1" t="s">
        <v>15</v>
      </c>
      <c r="G261" s="1" t="s">
        <v>33</v>
      </c>
      <c r="H261" s="1" t="s">
        <v>43</v>
      </c>
      <c r="I261" s="1" t="s">
        <v>41</v>
      </c>
      <c r="J261">
        <v>45</v>
      </c>
      <c r="K261">
        <v>59</v>
      </c>
      <c r="L261" s="1" t="s">
        <v>80</v>
      </c>
    </row>
    <row r="262" spans="1:12" x14ac:dyDescent="0.3">
      <c r="A262" s="1" t="s">
        <v>1304</v>
      </c>
      <c r="B262" s="2">
        <v>46084</v>
      </c>
      <c r="C262" s="2">
        <v>46124</v>
      </c>
      <c r="D262" s="1" t="s">
        <v>28</v>
      </c>
      <c r="E262" s="1" t="s">
        <v>24</v>
      </c>
      <c r="F262" s="1" t="s">
        <v>15</v>
      </c>
      <c r="G262" s="1" t="s">
        <v>16</v>
      </c>
      <c r="H262" s="1" t="s">
        <v>54</v>
      </c>
      <c r="I262" s="1" t="s">
        <v>26</v>
      </c>
      <c r="J262">
        <v>30</v>
      </c>
      <c r="K262">
        <v>40</v>
      </c>
      <c r="L262" s="1" t="s">
        <v>21</v>
      </c>
    </row>
    <row r="263" spans="1:12" x14ac:dyDescent="0.3">
      <c r="A263" s="1" t="s">
        <v>2032</v>
      </c>
      <c r="B263" s="2">
        <v>46084</v>
      </c>
      <c r="C263" s="2">
        <v>46129</v>
      </c>
      <c r="D263" s="1" t="s">
        <v>23</v>
      </c>
      <c r="E263" s="1" t="s">
        <v>14</v>
      </c>
      <c r="F263" s="1" t="s">
        <v>15</v>
      </c>
      <c r="G263" s="1" t="s">
        <v>53</v>
      </c>
      <c r="H263" s="1" t="s">
        <v>25</v>
      </c>
      <c r="I263" s="1" t="s">
        <v>26</v>
      </c>
      <c r="J263">
        <v>30</v>
      </c>
      <c r="K263">
        <v>45</v>
      </c>
      <c r="L263" s="1" t="s">
        <v>44</v>
      </c>
    </row>
    <row r="264" spans="1:12" x14ac:dyDescent="0.3">
      <c r="A264" s="1" t="s">
        <v>2208</v>
      </c>
      <c r="B264" s="2">
        <v>46084</v>
      </c>
      <c r="C264" s="2">
        <v>46143</v>
      </c>
      <c r="D264" s="1" t="s">
        <v>13</v>
      </c>
      <c r="E264" s="1" t="s">
        <v>24</v>
      </c>
      <c r="F264" s="1" t="s">
        <v>38</v>
      </c>
      <c r="G264" s="1" t="s">
        <v>16</v>
      </c>
      <c r="H264" s="1" t="s">
        <v>17</v>
      </c>
      <c r="I264" s="1" t="s">
        <v>41</v>
      </c>
      <c r="J264">
        <v>30</v>
      </c>
      <c r="K264">
        <v>59</v>
      </c>
      <c r="L264" s="1" t="s">
        <v>80</v>
      </c>
    </row>
    <row r="265" spans="1:12" x14ac:dyDescent="0.3">
      <c r="A265" s="1" t="s">
        <v>2666</v>
      </c>
      <c r="B265" s="2">
        <v>46084</v>
      </c>
      <c r="C265" s="2">
        <v>46161</v>
      </c>
      <c r="D265" s="1" t="s">
        <v>32</v>
      </c>
      <c r="E265" s="1" t="s">
        <v>24</v>
      </c>
      <c r="F265" s="1" t="s">
        <v>15</v>
      </c>
      <c r="G265" s="1" t="s">
        <v>16</v>
      </c>
      <c r="H265" s="1" t="s">
        <v>34</v>
      </c>
      <c r="I265" s="1" t="s">
        <v>26</v>
      </c>
      <c r="J265">
        <v>30</v>
      </c>
      <c r="K265">
        <v>77</v>
      </c>
      <c r="L265" s="1" t="s">
        <v>80</v>
      </c>
    </row>
    <row r="266" spans="1:12" x14ac:dyDescent="0.3">
      <c r="A266" s="1" t="s">
        <v>102</v>
      </c>
      <c r="B266" s="2">
        <v>46083</v>
      </c>
      <c r="C266" s="2">
        <v>46128</v>
      </c>
      <c r="D266" s="1" t="s">
        <v>32</v>
      </c>
      <c r="E266" s="1" t="s">
        <v>14</v>
      </c>
      <c r="F266" s="1" t="s">
        <v>15</v>
      </c>
      <c r="G266" s="1" t="s">
        <v>53</v>
      </c>
      <c r="H266" s="1" t="s">
        <v>34</v>
      </c>
      <c r="I266" s="1" t="s">
        <v>41</v>
      </c>
      <c r="J266">
        <v>30</v>
      </c>
      <c r="K266">
        <v>45</v>
      </c>
      <c r="L266" s="1" t="s">
        <v>44</v>
      </c>
    </row>
    <row r="267" spans="1:12" x14ac:dyDescent="0.3">
      <c r="A267" s="1" t="s">
        <v>1011</v>
      </c>
      <c r="B267" s="2">
        <v>46083</v>
      </c>
      <c r="C267" s="2">
        <v>46137</v>
      </c>
      <c r="D267" s="1" t="s">
        <v>37</v>
      </c>
      <c r="E267" s="1" t="s">
        <v>24</v>
      </c>
      <c r="F267" s="1" t="s">
        <v>15</v>
      </c>
      <c r="G267" s="1" t="s">
        <v>16</v>
      </c>
      <c r="H267" s="1" t="s">
        <v>39</v>
      </c>
      <c r="I267" s="1" t="s">
        <v>26</v>
      </c>
      <c r="J267">
        <v>30</v>
      </c>
      <c r="K267">
        <v>54</v>
      </c>
      <c r="L267" s="1" t="s">
        <v>44</v>
      </c>
    </row>
    <row r="268" spans="1:12" x14ac:dyDescent="0.3">
      <c r="A268" s="1" t="s">
        <v>2014</v>
      </c>
      <c r="B268" s="2">
        <v>46083</v>
      </c>
      <c r="C268" s="2">
        <v>46114</v>
      </c>
      <c r="D268" s="1" t="s">
        <v>37</v>
      </c>
      <c r="E268" s="1" t="s">
        <v>14</v>
      </c>
      <c r="F268" s="1" t="s">
        <v>15</v>
      </c>
      <c r="G268" s="1" t="s">
        <v>16</v>
      </c>
      <c r="H268" s="1" t="s">
        <v>49</v>
      </c>
      <c r="I268" s="1" t="s">
        <v>41</v>
      </c>
      <c r="J268">
        <v>15</v>
      </c>
      <c r="K268">
        <v>31</v>
      </c>
      <c r="L268" s="1" t="s">
        <v>21</v>
      </c>
    </row>
    <row r="269" spans="1:12" x14ac:dyDescent="0.3">
      <c r="A269" s="1" t="s">
        <v>1048</v>
      </c>
      <c r="B269" s="2">
        <v>46083</v>
      </c>
      <c r="C269" s="2">
        <v>46101</v>
      </c>
      <c r="D269" s="1" t="s">
        <v>37</v>
      </c>
      <c r="E269" s="1" t="s">
        <v>24</v>
      </c>
      <c r="F269" s="1" t="s">
        <v>15</v>
      </c>
      <c r="G269" s="1" t="s">
        <v>16</v>
      </c>
      <c r="H269" s="1" t="s">
        <v>39</v>
      </c>
      <c r="I269" s="1" t="s">
        <v>26</v>
      </c>
      <c r="J269">
        <v>30</v>
      </c>
      <c r="K269">
        <v>18</v>
      </c>
      <c r="L269" s="1" t="s">
        <v>19</v>
      </c>
    </row>
    <row r="270" spans="1:12" x14ac:dyDescent="0.3">
      <c r="A270" s="1" t="s">
        <v>572</v>
      </c>
      <c r="B270" s="2">
        <v>46083</v>
      </c>
      <c r="C270" s="2">
        <v>46126</v>
      </c>
      <c r="D270" s="1" t="s">
        <v>23</v>
      </c>
      <c r="E270" s="1" t="s">
        <v>14</v>
      </c>
      <c r="F270" s="1" t="s">
        <v>15</v>
      </c>
      <c r="G270" s="1" t="s">
        <v>53</v>
      </c>
      <c r="H270" s="1" t="s">
        <v>25</v>
      </c>
      <c r="I270" s="1" t="s">
        <v>18</v>
      </c>
      <c r="J270">
        <v>15</v>
      </c>
      <c r="K270">
        <v>43</v>
      </c>
      <c r="L270" s="1" t="s">
        <v>44</v>
      </c>
    </row>
    <row r="271" spans="1:12" x14ac:dyDescent="0.3">
      <c r="A271" s="1" t="s">
        <v>775</v>
      </c>
      <c r="B271" s="2">
        <v>46083</v>
      </c>
      <c r="C271" s="2">
        <v>46139</v>
      </c>
      <c r="D271" s="1" t="s">
        <v>23</v>
      </c>
      <c r="E271" s="1" t="s">
        <v>14</v>
      </c>
      <c r="F271" s="1" t="s">
        <v>38</v>
      </c>
      <c r="G271" s="1" t="s">
        <v>16</v>
      </c>
      <c r="H271" s="1" t="s">
        <v>43</v>
      </c>
      <c r="I271" s="1" t="s">
        <v>26</v>
      </c>
      <c r="J271">
        <v>15</v>
      </c>
      <c r="K271">
        <v>56</v>
      </c>
      <c r="L271" s="1" t="s">
        <v>44</v>
      </c>
    </row>
    <row r="272" spans="1:12" x14ac:dyDescent="0.3">
      <c r="A272" s="1" t="s">
        <v>1123</v>
      </c>
      <c r="B272" s="2">
        <v>46083</v>
      </c>
      <c r="C272" s="2">
        <v>46128</v>
      </c>
      <c r="D272" s="1" t="s">
        <v>32</v>
      </c>
      <c r="E272" s="1" t="s">
        <v>24</v>
      </c>
      <c r="F272" s="1" t="s">
        <v>38</v>
      </c>
      <c r="G272" s="1" t="s">
        <v>16</v>
      </c>
      <c r="H272" s="1" t="s">
        <v>34</v>
      </c>
      <c r="I272" s="1" t="s">
        <v>26</v>
      </c>
      <c r="J272">
        <v>30</v>
      </c>
      <c r="K272">
        <v>45</v>
      </c>
      <c r="L272" s="1" t="s">
        <v>44</v>
      </c>
    </row>
    <row r="273" spans="1:12" x14ac:dyDescent="0.3">
      <c r="A273" s="1" t="s">
        <v>2056</v>
      </c>
      <c r="B273" s="2">
        <v>46083</v>
      </c>
      <c r="C273" s="2">
        <v>46116</v>
      </c>
      <c r="D273" s="1" t="s">
        <v>13</v>
      </c>
      <c r="E273" s="1" t="s">
        <v>24</v>
      </c>
      <c r="F273" s="1" t="s">
        <v>15</v>
      </c>
      <c r="G273" s="1" t="s">
        <v>16</v>
      </c>
      <c r="H273" s="1" t="s">
        <v>17</v>
      </c>
      <c r="I273" s="1" t="s">
        <v>26</v>
      </c>
      <c r="J273">
        <v>30</v>
      </c>
      <c r="K273">
        <v>33</v>
      </c>
      <c r="L273" s="1" t="s">
        <v>21</v>
      </c>
    </row>
    <row r="274" spans="1:12" x14ac:dyDescent="0.3">
      <c r="A274" s="1" t="s">
        <v>2667</v>
      </c>
      <c r="B274" s="2">
        <v>46083</v>
      </c>
      <c r="C274" s="2">
        <v>46117</v>
      </c>
      <c r="D274" s="1" t="s">
        <v>23</v>
      </c>
      <c r="E274" s="1" t="s">
        <v>24</v>
      </c>
      <c r="F274" s="1" t="s">
        <v>15</v>
      </c>
      <c r="G274" s="1" t="s">
        <v>33</v>
      </c>
      <c r="H274" s="1" t="s">
        <v>43</v>
      </c>
      <c r="I274" s="1" t="s">
        <v>18</v>
      </c>
      <c r="J274">
        <v>30</v>
      </c>
      <c r="K274">
        <v>34</v>
      </c>
      <c r="L274" s="1" t="s">
        <v>21</v>
      </c>
    </row>
    <row r="275" spans="1:12" x14ac:dyDescent="0.3">
      <c r="A275" s="1" t="s">
        <v>2873</v>
      </c>
      <c r="B275" s="2">
        <v>46083</v>
      </c>
      <c r="C275" s="2">
        <v>46121</v>
      </c>
      <c r="D275" s="1" t="s">
        <v>13</v>
      </c>
      <c r="E275" s="1" t="s">
        <v>14</v>
      </c>
      <c r="F275" s="1" t="s">
        <v>15</v>
      </c>
      <c r="G275" s="1" t="s">
        <v>33</v>
      </c>
      <c r="H275" s="1" t="s">
        <v>47</v>
      </c>
      <c r="I275" s="1" t="s">
        <v>41</v>
      </c>
      <c r="J275">
        <v>30</v>
      </c>
      <c r="K275">
        <v>38</v>
      </c>
      <c r="L275" s="1" t="s">
        <v>21</v>
      </c>
    </row>
    <row r="276" spans="1:12" x14ac:dyDescent="0.3">
      <c r="A276" s="1" t="s">
        <v>3003</v>
      </c>
      <c r="B276" s="2">
        <v>46083</v>
      </c>
      <c r="C276" s="2">
        <v>46098</v>
      </c>
      <c r="D276" s="1" t="s">
        <v>32</v>
      </c>
      <c r="E276" s="1" t="s">
        <v>14</v>
      </c>
      <c r="F276" s="1" t="s">
        <v>15</v>
      </c>
      <c r="G276" s="1" t="s">
        <v>16</v>
      </c>
      <c r="H276" s="1" t="s">
        <v>71</v>
      </c>
      <c r="I276" s="1" t="s">
        <v>18</v>
      </c>
      <c r="J276">
        <v>15</v>
      </c>
      <c r="K276">
        <v>15</v>
      </c>
      <c r="L276" s="1" t="s">
        <v>19</v>
      </c>
    </row>
    <row r="277" spans="1:12" x14ac:dyDescent="0.3">
      <c r="A277" s="1" t="s">
        <v>194</v>
      </c>
      <c r="B277" s="2">
        <v>46082</v>
      </c>
      <c r="C277" s="2">
        <v>46128</v>
      </c>
      <c r="D277" s="1" t="s">
        <v>23</v>
      </c>
      <c r="E277" s="1" t="s">
        <v>24</v>
      </c>
      <c r="F277" s="1" t="s">
        <v>15</v>
      </c>
      <c r="G277" s="1" t="s">
        <v>16</v>
      </c>
      <c r="H277" s="1" t="s">
        <v>25</v>
      </c>
      <c r="I277" s="1" t="s">
        <v>26</v>
      </c>
      <c r="J277">
        <v>30</v>
      </c>
      <c r="K277">
        <v>46</v>
      </c>
      <c r="L277" s="1" t="s">
        <v>44</v>
      </c>
    </row>
    <row r="278" spans="1:12" x14ac:dyDescent="0.3">
      <c r="A278" s="1" t="s">
        <v>711</v>
      </c>
      <c r="B278" s="2">
        <v>46082</v>
      </c>
      <c r="C278" s="2">
        <v>46156</v>
      </c>
      <c r="D278" s="1" t="s">
        <v>37</v>
      </c>
      <c r="E278" s="1" t="s">
        <v>14</v>
      </c>
      <c r="F278" s="1" t="s">
        <v>15</v>
      </c>
      <c r="G278" s="1" t="s">
        <v>53</v>
      </c>
      <c r="H278" s="1" t="s">
        <v>39</v>
      </c>
      <c r="I278" s="1" t="s">
        <v>18</v>
      </c>
      <c r="J278">
        <v>15</v>
      </c>
      <c r="K278">
        <v>74</v>
      </c>
      <c r="L278" s="1" t="s">
        <v>80</v>
      </c>
    </row>
    <row r="279" spans="1:12" x14ac:dyDescent="0.3">
      <c r="A279" s="1" t="s">
        <v>1606</v>
      </c>
      <c r="B279" s="2">
        <v>46082</v>
      </c>
      <c r="C279" s="2">
        <v>46126</v>
      </c>
      <c r="D279" s="1" t="s">
        <v>37</v>
      </c>
      <c r="E279" s="1" t="s">
        <v>24</v>
      </c>
      <c r="F279" s="1" t="s">
        <v>15</v>
      </c>
      <c r="G279" s="1" t="s">
        <v>16</v>
      </c>
      <c r="H279" s="1" t="s">
        <v>49</v>
      </c>
      <c r="I279" s="1" t="s">
        <v>26</v>
      </c>
      <c r="J279">
        <v>30</v>
      </c>
      <c r="K279">
        <v>44</v>
      </c>
      <c r="L279" s="1" t="s">
        <v>44</v>
      </c>
    </row>
    <row r="280" spans="1:12" x14ac:dyDescent="0.3">
      <c r="A280" s="1" t="s">
        <v>2425</v>
      </c>
      <c r="B280" s="2">
        <v>46082</v>
      </c>
      <c r="C280" s="2">
        <v>46101</v>
      </c>
      <c r="D280" s="1" t="s">
        <v>37</v>
      </c>
      <c r="E280" s="1" t="s">
        <v>14</v>
      </c>
      <c r="F280" s="1" t="s">
        <v>15</v>
      </c>
      <c r="G280" s="1" t="s">
        <v>33</v>
      </c>
      <c r="H280" s="1" t="s">
        <v>39</v>
      </c>
      <c r="I280" s="1" t="s">
        <v>26</v>
      </c>
      <c r="J280">
        <v>15</v>
      </c>
      <c r="K280">
        <v>19</v>
      </c>
      <c r="L280" s="1" t="s">
        <v>19</v>
      </c>
    </row>
    <row r="281" spans="1:12" x14ac:dyDescent="0.3">
      <c r="A281" s="1" t="s">
        <v>757</v>
      </c>
      <c r="B281" s="2">
        <v>46082</v>
      </c>
      <c r="C281" s="2">
        <v>46119</v>
      </c>
      <c r="D281" s="1" t="s">
        <v>28</v>
      </c>
      <c r="E281" s="1" t="s">
        <v>24</v>
      </c>
      <c r="F281" s="1" t="s">
        <v>38</v>
      </c>
      <c r="G281" s="1" t="s">
        <v>16</v>
      </c>
      <c r="H281" s="1" t="s">
        <v>29</v>
      </c>
      <c r="I281" s="1" t="s">
        <v>18</v>
      </c>
      <c r="J281">
        <v>30</v>
      </c>
      <c r="K281">
        <v>37</v>
      </c>
      <c r="L281" s="1" t="s">
        <v>21</v>
      </c>
    </row>
    <row r="282" spans="1:12" x14ac:dyDescent="0.3">
      <c r="A282" s="1" t="s">
        <v>846</v>
      </c>
      <c r="B282" s="2">
        <v>46082</v>
      </c>
      <c r="C282" s="2">
        <v>46125</v>
      </c>
      <c r="D282" s="1" t="s">
        <v>13</v>
      </c>
      <c r="E282" s="1" t="s">
        <v>14</v>
      </c>
      <c r="F282" s="1" t="s">
        <v>38</v>
      </c>
      <c r="G282" s="1" t="s">
        <v>16</v>
      </c>
      <c r="H282" s="1" t="s">
        <v>17</v>
      </c>
      <c r="I282" s="1" t="s">
        <v>18</v>
      </c>
      <c r="J282">
        <v>15</v>
      </c>
      <c r="K282">
        <v>43</v>
      </c>
      <c r="L282" s="1" t="s">
        <v>44</v>
      </c>
    </row>
    <row r="283" spans="1:12" x14ac:dyDescent="0.3">
      <c r="A283" s="1" t="s">
        <v>1145</v>
      </c>
      <c r="B283" s="2">
        <v>46082</v>
      </c>
      <c r="C283" s="2">
        <v>46110</v>
      </c>
      <c r="D283" s="1" t="s">
        <v>28</v>
      </c>
      <c r="E283" s="1" t="s">
        <v>14</v>
      </c>
      <c r="F283" s="1" t="s">
        <v>15</v>
      </c>
      <c r="G283" s="1" t="s">
        <v>16</v>
      </c>
      <c r="H283" s="1" t="s">
        <v>54</v>
      </c>
      <c r="I283" s="1" t="s">
        <v>18</v>
      </c>
      <c r="J283">
        <v>15</v>
      </c>
      <c r="K283">
        <v>28</v>
      </c>
      <c r="L283" s="1" t="s">
        <v>19</v>
      </c>
    </row>
    <row r="284" spans="1:12" x14ac:dyDescent="0.3">
      <c r="A284" s="1" t="s">
        <v>1572</v>
      </c>
      <c r="B284" s="2">
        <v>46082</v>
      </c>
      <c r="C284" s="2">
        <v>46134</v>
      </c>
      <c r="D284" s="1" t="s">
        <v>23</v>
      </c>
      <c r="E284" s="1" t="s">
        <v>14</v>
      </c>
      <c r="F284" s="1" t="s">
        <v>38</v>
      </c>
      <c r="G284" s="1" t="s">
        <v>16</v>
      </c>
      <c r="H284" s="1" t="s">
        <v>25</v>
      </c>
      <c r="I284" s="1" t="s">
        <v>41</v>
      </c>
      <c r="J284">
        <v>15</v>
      </c>
      <c r="K284">
        <v>52</v>
      </c>
      <c r="L284" s="1" t="s">
        <v>44</v>
      </c>
    </row>
    <row r="285" spans="1:12" x14ac:dyDescent="0.3">
      <c r="A285" s="1" t="s">
        <v>1747</v>
      </c>
      <c r="B285" s="2">
        <v>46082</v>
      </c>
      <c r="C285" s="2">
        <v>46108</v>
      </c>
      <c r="D285" s="1" t="s">
        <v>32</v>
      </c>
      <c r="E285" s="1" t="s">
        <v>14</v>
      </c>
      <c r="F285" s="1" t="s">
        <v>15</v>
      </c>
      <c r="G285" s="1" t="s">
        <v>16</v>
      </c>
      <c r="H285" s="1" t="s">
        <v>34</v>
      </c>
      <c r="I285" s="1" t="s">
        <v>41</v>
      </c>
      <c r="J285">
        <v>15</v>
      </c>
      <c r="K285">
        <v>26</v>
      </c>
      <c r="L285" s="1" t="s">
        <v>19</v>
      </c>
    </row>
    <row r="286" spans="1:12" x14ac:dyDescent="0.3">
      <c r="A286" s="1" t="s">
        <v>365</v>
      </c>
      <c r="B286" s="2">
        <v>46081</v>
      </c>
      <c r="C286" s="2">
        <v>46117</v>
      </c>
      <c r="D286" s="1" t="s">
        <v>23</v>
      </c>
      <c r="E286" s="1" t="s">
        <v>24</v>
      </c>
      <c r="F286" s="1" t="s">
        <v>15</v>
      </c>
      <c r="G286" s="1" t="s">
        <v>16</v>
      </c>
      <c r="H286" s="1" t="s">
        <v>43</v>
      </c>
      <c r="I286" s="1" t="s">
        <v>41</v>
      </c>
      <c r="J286">
        <v>30</v>
      </c>
      <c r="K286">
        <v>36</v>
      </c>
      <c r="L286" s="1" t="s">
        <v>21</v>
      </c>
    </row>
    <row r="287" spans="1:12" x14ac:dyDescent="0.3">
      <c r="A287" s="1" t="s">
        <v>571</v>
      </c>
      <c r="B287" s="2">
        <v>46081</v>
      </c>
      <c r="C287" s="2">
        <v>46104</v>
      </c>
      <c r="D287" s="1" t="s">
        <v>13</v>
      </c>
      <c r="E287" s="1" t="s">
        <v>24</v>
      </c>
      <c r="F287" s="1" t="s">
        <v>15</v>
      </c>
      <c r="G287" s="1" t="s">
        <v>16</v>
      </c>
      <c r="H287" s="1" t="s">
        <v>47</v>
      </c>
      <c r="I287" s="1" t="s">
        <v>26</v>
      </c>
      <c r="J287">
        <v>45</v>
      </c>
      <c r="K287">
        <v>23</v>
      </c>
      <c r="L287" s="1" t="s">
        <v>19</v>
      </c>
    </row>
    <row r="288" spans="1:12" x14ac:dyDescent="0.3">
      <c r="A288" s="1" t="s">
        <v>684</v>
      </c>
      <c r="B288" s="2">
        <v>46081</v>
      </c>
      <c r="C288" s="2">
        <v>46112</v>
      </c>
      <c r="D288" s="1" t="s">
        <v>28</v>
      </c>
      <c r="E288" s="1" t="s">
        <v>24</v>
      </c>
      <c r="F288" s="1" t="s">
        <v>15</v>
      </c>
      <c r="G288" s="1" t="s">
        <v>16</v>
      </c>
      <c r="H288" s="1" t="s">
        <v>29</v>
      </c>
      <c r="I288" s="1" t="s">
        <v>41</v>
      </c>
      <c r="J288">
        <v>30</v>
      </c>
      <c r="K288">
        <v>31</v>
      </c>
      <c r="L288" s="1" t="s">
        <v>21</v>
      </c>
    </row>
    <row r="289" spans="1:12" x14ac:dyDescent="0.3">
      <c r="A289" s="1" t="s">
        <v>1212</v>
      </c>
      <c r="B289" s="2">
        <v>46081</v>
      </c>
      <c r="C289" s="2">
        <v>46093</v>
      </c>
      <c r="D289" s="1" t="s">
        <v>23</v>
      </c>
      <c r="E289" s="1" t="s">
        <v>24</v>
      </c>
      <c r="F289" s="1" t="s">
        <v>15</v>
      </c>
      <c r="G289" s="1" t="s">
        <v>16</v>
      </c>
      <c r="H289" s="1" t="s">
        <v>43</v>
      </c>
      <c r="I289" s="1" t="s">
        <v>26</v>
      </c>
      <c r="J289">
        <v>45</v>
      </c>
      <c r="K289">
        <v>12</v>
      </c>
      <c r="L289" s="1" t="s">
        <v>30</v>
      </c>
    </row>
    <row r="290" spans="1:12" x14ac:dyDescent="0.3">
      <c r="A290" s="1" t="s">
        <v>1396</v>
      </c>
      <c r="B290" s="2">
        <v>46081</v>
      </c>
      <c r="C290" s="2">
        <v>46083</v>
      </c>
      <c r="D290" s="1" t="s">
        <v>28</v>
      </c>
      <c r="E290" s="1" t="s">
        <v>24</v>
      </c>
      <c r="F290" s="1" t="s">
        <v>15</v>
      </c>
      <c r="G290" s="1" t="s">
        <v>16</v>
      </c>
      <c r="H290" s="1" t="s">
        <v>54</v>
      </c>
      <c r="I290" s="1" t="s">
        <v>18</v>
      </c>
      <c r="J290">
        <v>30</v>
      </c>
      <c r="K290">
        <v>2</v>
      </c>
      <c r="L290" s="1" t="s">
        <v>30</v>
      </c>
    </row>
    <row r="291" spans="1:12" x14ac:dyDescent="0.3">
      <c r="A291" s="1" t="s">
        <v>1990</v>
      </c>
      <c r="B291" s="2">
        <v>46081</v>
      </c>
      <c r="C291" s="2">
        <v>46124</v>
      </c>
      <c r="D291" s="1" t="s">
        <v>28</v>
      </c>
      <c r="E291" s="1" t="s">
        <v>24</v>
      </c>
      <c r="F291" s="1" t="s">
        <v>15</v>
      </c>
      <c r="G291" s="1" t="s">
        <v>16</v>
      </c>
      <c r="H291" s="1" t="s">
        <v>29</v>
      </c>
      <c r="I291" s="1" t="s">
        <v>26</v>
      </c>
      <c r="J291">
        <v>30</v>
      </c>
      <c r="K291">
        <v>43</v>
      </c>
      <c r="L291" s="1" t="s">
        <v>44</v>
      </c>
    </row>
    <row r="292" spans="1:12" x14ac:dyDescent="0.3">
      <c r="A292" s="1" t="s">
        <v>1993</v>
      </c>
      <c r="B292" s="2">
        <v>46081</v>
      </c>
      <c r="C292" s="2">
        <v>46125</v>
      </c>
      <c r="D292" s="1" t="s">
        <v>32</v>
      </c>
      <c r="E292" s="1" t="s">
        <v>14</v>
      </c>
      <c r="F292" s="1" t="s">
        <v>15</v>
      </c>
      <c r="G292" s="1" t="s">
        <v>16</v>
      </c>
      <c r="H292" s="1" t="s">
        <v>34</v>
      </c>
      <c r="I292" s="1" t="s">
        <v>26</v>
      </c>
      <c r="J292">
        <v>15</v>
      </c>
      <c r="K292">
        <v>44</v>
      </c>
      <c r="L292" s="1" t="s">
        <v>44</v>
      </c>
    </row>
    <row r="293" spans="1:12" x14ac:dyDescent="0.3">
      <c r="A293" s="1" t="s">
        <v>2347</v>
      </c>
      <c r="B293" s="2">
        <v>46081</v>
      </c>
      <c r="C293" s="2">
        <v>46085</v>
      </c>
      <c r="D293" s="1" t="s">
        <v>32</v>
      </c>
      <c r="E293" s="1" t="s">
        <v>24</v>
      </c>
      <c r="F293" s="1" t="s">
        <v>15</v>
      </c>
      <c r="G293" s="1" t="s">
        <v>16</v>
      </c>
      <c r="H293" s="1" t="s">
        <v>71</v>
      </c>
      <c r="I293" s="1" t="s">
        <v>41</v>
      </c>
      <c r="J293">
        <v>30</v>
      </c>
      <c r="K293">
        <v>4</v>
      </c>
      <c r="L293" s="1" t="s">
        <v>30</v>
      </c>
    </row>
    <row r="294" spans="1:12" x14ac:dyDescent="0.3">
      <c r="A294" s="1" t="s">
        <v>2573</v>
      </c>
      <c r="B294" s="2">
        <v>46081</v>
      </c>
      <c r="C294" s="2">
        <v>46156</v>
      </c>
      <c r="D294" s="1" t="s">
        <v>28</v>
      </c>
      <c r="E294" s="1" t="s">
        <v>14</v>
      </c>
      <c r="F294" s="1" t="s">
        <v>15</v>
      </c>
      <c r="G294" s="1" t="s">
        <v>16</v>
      </c>
      <c r="H294" s="1" t="s">
        <v>54</v>
      </c>
      <c r="I294" s="1" t="s">
        <v>18</v>
      </c>
      <c r="J294">
        <v>30</v>
      </c>
      <c r="K294">
        <v>75</v>
      </c>
      <c r="L294" s="1" t="s">
        <v>80</v>
      </c>
    </row>
    <row r="295" spans="1:12" x14ac:dyDescent="0.3">
      <c r="A295" s="1" t="s">
        <v>2838</v>
      </c>
      <c r="B295" s="2">
        <v>46081</v>
      </c>
      <c r="C295" s="2">
        <v>46102</v>
      </c>
      <c r="D295" s="1" t="s">
        <v>28</v>
      </c>
      <c r="E295" s="1" t="s">
        <v>24</v>
      </c>
      <c r="F295" s="1" t="s">
        <v>15</v>
      </c>
      <c r="G295" s="1" t="s">
        <v>16</v>
      </c>
      <c r="H295" s="1" t="s">
        <v>54</v>
      </c>
      <c r="I295" s="1" t="s">
        <v>18</v>
      </c>
      <c r="J295">
        <v>30</v>
      </c>
      <c r="K295">
        <v>21</v>
      </c>
      <c r="L295" s="1" t="s">
        <v>19</v>
      </c>
    </row>
    <row r="296" spans="1:12" x14ac:dyDescent="0.3">
      <c r="A296" s="1" t="s">
        <v>2143</v>
      </c>
      <c r="B296" s="2">
        <v>46080</v>
      </c>
      <c r="C296" s="2">
        <v>46115</v>
      </c>
      <c r="D296" s="1" t="s">
        <v>37</v>
      </c>
      <c r="E296" s="1" t="s">
        <v>24</v>
      </c>
      <c r="F296" s="1" t="s">
        <v>15</v>
      </c>
      <c r="G296" s="1" t="s">
        <v>16</v>
      </c>
      <c r="H296" s="1" t="s">
        <v>39</v>
      </c>
      <c r="I296" s="1" t="s">
        <v>26</v>
      </c>
      <c r="J296">
        <v>30</v>
      </c>
      <c r="K296">
        <v>35</v>
      </c>
      <c r="L296" s="1" t="s">
        <v>21</v>
      </c>
    </row>
    <row r="297" spans="1:12" x14ac:dyDescent="0.3">
      <c r="A297" s="1" t="s">
        <v>985</v>
      </c>
      <c r="B297" s="2">
        <v>46080</v>
      </c>
      <c r="C297" s="2">
        <v>46133</v>
      </c>
      <c r="D297" s="1" t="s">
        <v>32</v>
      </c>
      <c r="E297" s="1" t="s">
        <v>24</v>
      </c>
      <c r="F297" s="1" t="s">
        <v>15</v>
      </c>
      <c r="G297" s="1" t="s">
        <v>16</v>
      </c>
      <c r="H297" s="1" t="s">
        <v>34</v>
      </c>
      <c r="I297" s="1" t="s">
        <v>26</v>
      </c>
      <c r="J297">
        <v>30</v>
      </c>
      <c r="K297">
        <v>53</v>
      </c>
      <c r="L297" s="1" t="s">
        <v>44</v>
      </c>
    </row>
    <row r="298" spans="1:12" x14ac:dyDescent="0.3">
      <c r="A298" s="1" t="s">
        <v>1549</v>
      </c>
      <c r="B298" s="2">
        <v>46080</v>
      </c>
      <c r="C298" s="2">
        <v>46119</v>
      </c>
      <c r="D298" s="1" t="s">
        <v>23</v>
      </c>
      <c r="E298" s="1" t="s">
        <v>14</v>
      </c>
      <c r="F298" s="1" t="s">
        <v>15</v>
      </c>
      <c r="G298" s="1" t="s">
        <v>16</v>
      </c>
      <c r="H298" s="1" t="s">
        <v>25</v>
      </c>
      <c r="I298" s="1" t="s">
        <v>18</v>
      </c>
      <c r="J298">
        <v>15</v>
      </c>
      <c r="K298">
        <v>39</v>
      </c>
      <c r="L298" s="1" t="s">
        <v>21</v>
      </c>
    </row>
    <row r="299" spans="1:12" x14ac:dyDescent="0.3">
      <c r="A299" s="1" t="s">
        <v>1750</v>
      </c>
      <c r="B299" s="2">
        <v>46080</v>
      </c>
      <c r="C299" s="2">
        <v>46114</v>
      </c>
      <c r="D299" s="1" t="s">
        <v>13</v>
      </c>
      <c r="E299" s="1" t="s">
        <v>14</v>
      </c>
      <c r="F299" s="1" t="s">
        <v>15</v>
      </c>
      <c r="G299" s="1" t="s">
        <v>16</v>
      </c>
      <c r="H299" s="1" t="s">
        <v>17</v>
      </c>
      <c r="I299" s="1" t="s">
        <v>18</v>
      </c>
      <c r="J299">
        <v>15</v>
      </c>
      <c r="K299">
        <v>34</v>
      </c>
      <c r="L299" s="1" t="s">
        <v>21</v>
      </c>
    </row>
    <row r="300" spans="1:12" x14ac:dyDescent="0.3">
      <c r="A300" s="1" t="s">
        <v>2155</v>
      </c>
      <c r="B300" s="2">
        <v>46080</v>
      </c>
      <c r="C300" s="2">
        <v>46125</v>
      </c>
      <c r="D300" s="1" t="s">
        <v>23</v>
      </c>
      <c r="E300" s="1" t="s">
        <v>14</v>
      </c>
      <c r="F300" s="1" t="s">
        <v>15</v>
      </c>
      <c r="G300" s="1" t="s">
        <v>53</v>
      </c>
      <c r="H300" s="1" t="s">
        <v>43</v>
      </c>
      <c r="I300" s="1" t="s">
        <v>26</v>
      </c>
      <c r="J300">
        <v>30</v>
      </c>
      <c r="K300">
        <v>45</v>
      </c>
      <c r="L300" s="1" t="s">
        <v>44</v>
      </c>
    </row>
    <row r="301" spans="1:12" x14ac:dyDescent="0.3">
      <c r="A301" s="1" t="s">
        <v>2206</v>
      </c>
      <c r="B301" s="2">
        <v>46080</v>
      </c>
      <c r="C301" s="2">
        <v>46131</v>
      </c>
      <c r="D301" s="1" t="s">
        <v>23</v>
      </c>
      <c r="E301" s="1" t="s">
        <v>24</v>
      </c>
      <c r="F301" s="1" t="s">
        <v>15</v>
      </c>
      <c r="G301" s="1" t="s">
        <v>16</v>
      </c>
      <c r="H301" s="1" t="s">
        <v>25</v>
      </c>
      <c r="I301" s="1" t="s">
        <v>18</v>
      </c>
      <c r="J301">
        <v>45</v>
      </c>
      <c r="K301">
        <v>51</v>
      </c>
      <c r="L301" s="1" t="s">
        <v>44</v>
      </c>
    </row>
    <row r="302" spans="1:12" x14ac:dyDescent="0.3">
      <c r="A302" s="1" t="s">
        <v>2675</v>
      </c>
      <c r="B302" s="2">
        <v>46080</v>
      </c>
      <c r="C302" s="2">
        <v>46125</v>
      </c>
      <c r="D302" s="1" t="s">
        <v>32</v>
      </c>
      <c r="E302" s="1" t="s">
        <v>14</v>
      </c>
      <c r="F302" s="1" t="s">
        <v>15</v>
      </c>
      <c r="G302" s="1" t="s">
        <v>16</v>
      </c>
      <c r="H302" s="1" t="s">
        <v>71</v>
      </c>
      <c r="I302" s="1" t="s">
        <v>18</v>
      </c>
      <c r="J302">
        <v>15</v>
      </c>
      <c r="K302">
        <v>45</v>
      </c>
      <c r="L302" s="1" t="s">
        <v>44</v>
      </c>
    </row>
    <row r="303" spans="1:12" x14ac:dyDescent="0.3">
      <c r="A303" s="1" t="s">
        <v>2936</v>
      </c>
      <c r="B303" s="2">
        <v>46080</v>
      </c>
      <c r="C303" s="2">
        <v>46122</v>
      </c>
      <c r="D303" s="1" t="s">
        <v>23</v>
      </c>
      <c r="E303" s="1" t="s">
        <v>14</v>
      </c>
      <c r="F303" s="1" t="s">
        <v>15</v>
      </c>
      <c r="G303" s="1" t="s">
        <v>16</v>
      </c>
      <c r="H303" s="1" t="s">
        <v>25</v>
      </c>
      <c r="I303" s="1" t="s">
        <v>18</v>
      </c>
      <c r="J303">
        <v>15</v>
      </c>
      <c r="K303">
        <v>42</v>
      </c>
      <c r="L303" s="1" t="s">
        <v>21</v>
      </c>
    </row>
    <row r="304" spans="1:12" x14ac:dyDescent="0.3">
      <c r="A304" s="1" t="s">
        <v>882</v>
      </c>
      <c r="B304" s="2">
        <v>46079</v>
      </c>
      <c r="C304" s="2">
        <v>46124</v>
      </c>
      <c r="D304" s="1" t="s">
        <v>37</v>
      </c>
      <c r="E304" s="1" t="s">
        <v>24</v>
      </c>
      <c r="F304" s="1" t="s">
        <v>15</v>
      </c>
      <c r="G304" s="1" t="s">
        <v>16</v>
      </c>
      <c r="H304" s="1" t="s">
        <v>49</v>
      </c>
      <c r="I304" s="1" t="s">
        <v>26</v>
      </c>
      <c r="J304">
        <v>30</v>
      </c>
      <c r="K304">
        <v>45</v>
      </c>
      <c r="L304" s="1" t="s">
        <v>44</v>
      </c>
    </row>
    <row r="305" spans="1:12" x14ac:dyDescent="0.3">
      <c r="A305" s="1" t="s">
        <v>885</v>
      </c>
      <c r="B305" s="2">
        <v>46079</v>
      </c>
      <c r="C305" s="2">
        <v>46119</v>
      </c>
      <c r="D305" s="1" t="s">
        <v>37</v>
      </c>
      <c r="E305" s="1" t="s">
        <v>24</v>
      </c>
      <c r="F305" s="1" t="s">
        <v>15</v>
      </c>
      <c r="G305" s="1" t="s">
        <v>16</v>
      </c>
      <c r="H305" s="1" t="s">
        <v>39</v>
      </c>
      <c r="I305" s="1" t="s">
        <v>41</v>
      </c>
      <c r="J305">
        <v>30</v>
      </c>
      <c r="K305">
        <v>40</v>
      </c>
      <c r="L305" s="1" t="s">
        <v>21</v>
      </c>
    </row>
    <row r="306" spans="1:12" x14ac:dyDescent="0.3">
      <c r="A306" s="1" t="s">
        <v>1196</v>
      </c>
      <c r="B306" s="2">
        <v>46079</v>
      </c>
      <c r="C306" s="2">
        <v>46093</v>
      </c>
      <c r="D306" s="1" t="s">
        <v>28</v>
      </c>
      <c r="E306" s="1" t="s">
        <v>14</v>
      </c>
      <c r="F306" s="1" t="s">
        <v>38</v>
      </c>
      <c r="G306" s="1" t="s">
        <v>16</v>
      </c>
      <c r="H306" s="1" t="s">
        <v>29</v>
      </c>
      <c r="I306" s="1" t="s">
        <v>41</v>
      </c>
      <c r="J306">
        <v>15</v>
      </c>
      <c r="K306">
        <v>14</v>
      </c>
      <c r="L306" s="1" t="s">
        <v>30</v>
      </c>
    </row>
    <row r="307" spans="1:12" x14ac:dyDescent="0.3">
      <c r="A307" s="1" t="s">
        <v>1611</v>
      </c>
      <c r="B307" s="2">
        <v>46079</v>
      </c>
      <c r="C307" s="2">
        <v>46100</v>
      </c>
      <c r="D307" s="1" t="s">
        <v>32</v>
      </c>
      <c r="E307" s="1" t="s">
        <v>14</v>
      </c>
      <c r="F307" s="1" t="s">
        <v>15</v>
      </c>
      <c r="G307" s="1" t="s">
        <v>16</v>
      </c>
      <c r="H307" s="1" t="s">
        <v>34</v>
      </c>
      <c r="I307" s="1" t="s">
        <v>18</v>
      </c>
      <c r="J307">
        <v>15</v>
      </c>
      <c r="K307">
        <v>21</v>
      </c>
      <c r="L307" s="1" t="s">
        <v>19</v>
      </c>
    </row>
    <row r="308" spans="1:12" x14ac:dyDescent="0.3">
      <c r="A308" s="1" t="s">
        <v>2156</v>
      </c>
      <c r="B308" s="2">
        <v>46079</v>
      </c>
      <c r="C308" s="2">
        <v>46081</v>
      </c>
      <c r="D308" s="1" t="s">
        <v>13</v>
      </c>
      <c r="E308" s="1" t="s">
        <v>24</v>
      </c>
      <c r="F308" s="1" t="s">
        <v>38</v>
      </c>
      <c r="G308" s="1" t="s">
        <v>16</v>
      </c>
      <c r="H308" s="1" t="s">
        <v>17</v>
      </c>
      <c r="I308" s="1" t="s">
        <v>18</v>
      </c>
      <c r="J308">
        <v>30</v>
      </c>
      <c r="K308">
        <v>2</v>
      </c>
      <c r="L308" s="1" t="s">
        <v>30</v>
      </c>
    </row>
    <row r="309" spans="1:12" x14ac:dyDescent="0.3">
      <c r="A309" s="1" t="s">
        <v>2735</v>
      </c>
      <c r="B309" s="2">
        <v>46079</v>
      </c>
      <c r="C309" s="2">
        <v>46122</v>
      </c>
      <c r="D309" s="1" t="s">
        <v>32</v>
      </c>
      <c r="E309" s="1" t="s">
        <v>24</v>
      </c>
      <c r="F309" s="1" t="s">
        <v>15</v>
      </c>
      <c r="G309" s="1" t="s">
        <v>16</v>
      </c>
      <c r="H309" s="1" t="s">
        <v>71</v>
      </c>
      <c r="I309" s="1" t="s">
        <v>26</v>
      </c>
      <c r="J309">
        <v>30</v>
      </c>
      <c r="K309">
        <v>43</v>
      </c>
      <c r="L309" s="1" t="s">
        <v>44</v>
      </c>
    </row>
    <row r="310" spans="1:12" x14ac:dyDescent="0.3">
      <c r="A310" s="1" t="s">
        <v>2827</v>
      </c>
      <c r="B310" s="2">
        <v>46079</v>
      </c>
      <c r="C310" s="2">
        <v>46103</v>
      </c>
      <c r="D310" s="1" t="s">
        <v>32</v>
      </c>
      <c r="E310" s="1" t="s">
        <v>24</v>
      </c>
      <c r="F310" s="1" t="s">
        <v>15</v>
      </c>
      <c r="G310" s="1" t="s">
        <v>16</v>
      </c>
      <c r="H310" s="1" t="s">
        <v>71</v>
      </c>
      <c r="I310" s="1" t="s">
        <v>26</v>
      </c>
      <c r="J310">
        <v>30</v>
      </c>
      <c r="K310">
        <v>24</v>
      </c>
      <c r="L310" s="1" t="s">
        <v>19</v>
      </c>
    </row>
    <row r="311" spans="1:12" x14ac:dyDescent="0.3">
      <c r="A311" s="1" t="s">
        <v>3137</v>
      </c>
      <c r="B311" s="2">
        <v>46079</v>
      </c>
      <c r="C311" s="2">
        <v>46116</v>
      </c>
      <c r="D311" s="1" t="s">
        <v>28</v>
      </c>
      <c r="E311" s="1" t="s">
        <v>14</v>
      </c>
      <c r="F311" s="1" t="s">
        <v>38</v>
      </c>
      <c r="G311" s="1" t="s">
        <v>16</v>
      </c>
      <c r="H311" s="1" t="s">
        <v>54</v>
      </c>
      <c r="I311" s="1" t="s">
        <v>26</v>
      </c>
      <c r="J311">
        <v>30</v>
      </c>
      <c r="K311">
        <v>37</v>
      </c>
      <c r="L311" s="1" t="s">
        <v>21</v>
      </c>
    </row>
    <row r="312" spans="1:12" x14ac:dyDescent="0.3">
      <c r="A312" s="1" t="s">
        <v>243</v>
      </c>
      <c r="B312" s="2">
        <v>46078</v>
      </c>
      <c r="C312" s="2">
        <v>46099</v>
      </c>
      <c r="D312" s="1" t="s">
        <v>32</v>
      </c>
      <c r="E312" s="1" t="s">
        <v>24</v>
      </c>
      <c r="F312" s="1" t="s">
        <v>38</v>
      </c>
      <c r="G312" s="1" t="s">
        <v>16</v>
      </c>
      <c r="H312" s="1" t="s">
        <v>34</v>
      </c>
      <c r="I312" s="1" t="s">
        <v>26</v>
      </c>
      <c r="J312">
        <v>30</v>
      </c>
      <c r="K312">
        <v>21</v>
      </c>
      <c r="L312" s="1" t="s">
        <v>19</v>
      </c>
    </row>
    <row r="313" spans="1:12" x14ac:dyDescent="0.3">
      <c r="A313" s="1" t="s">
        <v>1432</v>
      </c>
      <c r="B313" s="2">
        <v>46078</v>
      </c>
      <c r="C313" s="2">
        <v>46134</v>
      </c>
      <c r="D313" s="1" t="s">
        <v>37</v>
      </c>
      <c r="E313" s="1" t="s">
        <v>14</v>
      </c>
      <c r="F313" s="1" t="s">
        <v>15</v>
      </c>
      <c r="G313" s="1" t="s">
        <v>16</v>
      </c>
      <c r="H313" s="1" t="s">
        <v>49</v>
      </c>
      <c r="I313" s="1" t="s">
        <v>41</v>
      </c>
      <c r="J313">
        <v>30</v>
      </c>
      <c r="K313">
        <v>56</v>
      </c>
      <c r="L313" s="1" t="s">
        <v>44</v>
      </c>
    </row>
    <row r="314" spans="1:12" x14ac:dyDescent="0.3">
      <c r="A314" s="1" t="s">
        <v>1329</v>
      </c>
      <c r="B314" s="2">
        <v>46078</v>
      </c>
      <c r="C314" s="2">
        <v>46102</v>
      </c>
      <c r="D314" s="1" t="s">
        <v>37</v>
      </c>
      <c r="E314" s="1" t="s">
        <v>14</v>
      </c>
      <c r="F314" s="1" t="s">
        <v>15</v>
      </c>
      <c r="G314" s="1" t="s">
        <v>16</v>
      </c>
      <c r="H314" s="1" t="s">
        <v>49</v>
      </c>
      <c r="I314" s="1" t="s">
        <v>41</v>
      </c>
      <c r="J314">
        <v>15</v>
      </c>
      <c r="K314">
        <v>24</v>
      </c>
      <c r="L314" s="1" t="s">
        <v>19</v>
      </c>
    </row>
    <row r="315" spans="1:12" x14ac:dyDescent="0.3">
      <c r="A315" s="1" t="s">
        <v>2110</v>
      </c>
      <c r="B315" s="2">
        <v>46078</v>
      </c>
      <c r="C315" s="2">
        <v>46096</v>
      </c>
      <c r="D315" s="1" t="s">
        <v>37</v>
      </c>
      <c r="E315" s="1" t="s">
        <v>14</v>
      </c>
      <c r="F315" s="1" t="s">
        <v>38</v>
      </c>
      <c r="G315" s="1" t="s">
        <v>16</v>
      </c>
      <c r="H315" s="1" t="s">
        <v>39</v>
      </c>
      <c r="I315" s="1" t="s">
        <v>26</v>
      </c>
      <c r="J315">
        <v>15</v>
      </c>
      <c r="K315">
        <v>18</v>
      </c>
      <c r="L315" s="1" t="s">
        <v>19</v>
      </c>
    </row>
    <row r="316" spans="1:12" x14ac:dyDescent="0.3">
      <c r="A316" s="1" t="s">
        <v>1150</v>
      </c>
      <c r="B316" s="2">
        <v>46078</v>
      </c>
      <c r="C316" s="2">
        <v>46108</v>
      </c>
      <c r="D316" s="1" t="s">
        <v>13</v>
      </c>
      <c r="E316" s="1" t="s">
        <v>14</v>
      </c>
      <c r="F316" s="1" t="s">
        <v>15</v>
      </c>
      <c r="G316" s="1" t="s">
        <v>16</v>
      </c>
      <c r="H316" s="1" t="s">
        <v>47</v>
      </c>
      <c r="I316" s="1" t="s">
        <v>41</v>
      </c>
      <c r="J316">
        <v>15</v>
      </c>
      <c r="K316">
        <v>30</v>
      </c>
      <c r="L316" s="1" t="s">
        <v>21</v>
      </c>
    </row>
    <row r="317" spans="1:12" x14ac:dyDescent="0.3">
      <c r="A317" s="1" t="s">
        <v>3170</v>
      </c>
      <c r="B317" s="2">
        <v>46078</v>
      </c>
      <c r="C317" s="2">
        <v>46085</v>
      </c>
      <c r="D317" s="1" t="s">
        <v>32</v>
      </c>
      <c r="E317" s="1" t="s">
        <v>24</v>
      </c>
      <c r="F317" s="1" t="s">
        <v>38</v>
      </c>
      <c r="G317" s="1" t="s">
        <v>16</v>
      </c>
      <c r="H317" s="1" t="s">
        <v>71</v>
      </c>
      <c r="I317" s="1" t="s">
        <v>18</v>
      </c>
      <c r="J317">
        <v>30</v>
      </c>
      <c r="K317">
        <v>7</v>
      </c>
      <c r="L317" s="1" t="s">
        <v>30</v>
      </c>
    </row>
    <row r="318" spans="1:12" x14ac:dyDescent="0.3">
      <c r="A318" s="1" t="s">
        <v>108</v>
      </c>
      <c r="B318" s="2">
        <v>46077</v>
      </c>
      <c r="C318" s="2">
        <v>46079</v>
      </c>
      <c r="D318" s="1" t="s">
        <v>28</v>
      </c>
      <c r="E318" s="1" t="s">
        <v>14</v>
      </c>
      <c r="F318" s="1" t="s">
        <v>15</v>
      </c>
      <c r="G318" s="1" t="s">
        <v>16</v>
      </c>
      <c r="H318" s="1" t="s">
        <v>29</v>
      </c>
      <c r="I318" s="1" t="s">
        <v>18</v>
      </c>
      <c r="J318">
        <v>15</v>
      </c>
      <c r="K318">
        <v>2</v>
      </c>
      <c r="L318" s="1" t="s">
        <v>30</v>
      </c>
    </row>
    <row r="319" spans="1:12" x14ac:dyDescent="0.3">
      <c r="A319" s="1" t="s">
        <v>386</v>
      </c>
      <c r="B319" s="2">
        <v>46077</v>
      </c>
      <c r="C319" s="2">
        <v>46123</v>
      </c>
      <c r="D319" s="1" t="s">
        <v>23</v>
      </c>
      <c r="E319" s="1" t="s">
        <v>14</v>
      </c>
      <c r="F319" s="1" t="s">
        <v>15</v>
      </c>
      <c r="G319" s="1" t="s">
        <v>16</v>
      </c>
      <c r="H319" s="1" t="s">
        <v>43</v>
      </c>
      <c r="I319" s="1" t="s">
        <v>41</v>
      </c>
      <c r="J319">
        <v>15</v>
      </c>
      <c r="K319">
        <v>46</v>
      </c>
      <c r="L319" s="1" t="s">
        <v>44</v>
      </c>
    </row>
    <row r="320" spans="1:12" x14ac:dyDescent="0.3">
      <c r="A320" s="1" t="s">
        <v>2329</v>
      </c>
      <c r="B320" s="2">
        <v>46077</v>
      </c>
      <c r="C320" s="2">
        <v>46110</v>
      </c>
      <c r="D320" s="1" t="s">
        <v>37</v>
      </c>
      <c r="E320" s="1" t="s">
        <v>24</v>
      </c>
      <c r="F320" s="1" t="s">
        <v>15</v>
      </c>
      <c r="G320" s="1" t="s">
        <v>53</v>
      </c>
      <c r="H320" s="1" t="s">
        <v>39</v>
      </c>
      <c r="I320" s="1" t="s">
        <v>18</v>
      </c>
      <c r="J320">
        <v>30</v>
      </c>
      <c r="K320">
        <v>33</v>
      </c>
      <c r="L320" s="1" t="s">
        <v>21</v>
      </c>
    </row>
    <row r="321" spans="1:12" x14ac:dyDescent="0.3">
      <c r="A321" s="1" t="s">
        <v>1774</v>
      </c>
      <c r="B321" s="2">
        <v>46077</v>
      </c>
      <c r="C321" s="2">
        <v>46116</v>
      </c>
      <c r="D321" s="1" t="s">
        <v>23</v>
      </c>
      <c r="E321" s="1" t="s">
        <v>14</v>
      </c>
      <c r="F321" s="1" t="s">
        <v>15</v>
      </c>
      <c r="G321" s="1" t="s">
        <v>16</v>
      </c>
      <c r="H321" s="1" t="s">
        <v>43</v>
      </c>
      <c r="I321" s="1" t="s">
        <v>18</v>
      </c>
      <c r="J321">
        <v>30</v>
      </c>
      <c r="K321">
        <v>39</v>
      </c>
      <c r="L321" s="1" t="s">
        <v>21</v>
      </c>
    </row>
    <row r="322" spans="1:12" x14ac:dyDescent="0.3">
      <c r="A322" s="1" t="s">
        <v>261</v>
      </c>
      <c r="B322" s="2">
        <v>46076</v>
      </c>
      <c r="C322" s="2">
        <v>46137</v>
      </c>
      <c r="D322" s="1" t="s">
        <v>32</v>
      </c>
      <c r="E322" s="1" t="s">
        <v>24</v>
      </c>
      <c r="F322" s="1" t="s">
        <v>38</v>
      </c>
      <c r="G322" s="1" t="s">
        <v>33</v>
      </c>
      <c r="H322" s="1" t="s">
        <v>34</v>
      </c>
      <c r="I322" s="1" t="s">
        <v>41</v>
      </c>
      <c r="J322">
        <v>30</v>
      </c>
      <c r="K322">
        <v>61</v>
      </c>
      <c r="L322" s="1" t="s">
        <v>80</v>
      </c>
    </row>
    <row r="323" spans="1:12" x14ac:dyDescent="0.3">
      <c r="A323" s="1" t="s">
        <v>2820</v>
      </c>
      <c r="B323" s="2">
        <v>46076</v>
      </c>
      <c r="C323" s="2">
        <v>46102</v>
      </c>
      <c r="D323" s="1" t="s">
        <v>37</v>
      </c>
      <c r="E323" s="1" t="s">
        <v>24</v>
      </c>
      <c r="F323" s="1" t="s">
        <v>15</v>
      </c>
      <c r="G323" s="1" t="s">
        <v>16</v>
      </c>
      <c r="H323" s="1" t="s">
        <v>49</v>
      </c>
      <c r="I323" s="1" t="s">
        <v>26</v>
      </c>
      <c r="J323">
        <v>30</v>
      </c>
      <c r="K323">
        <v>26</v>
      </c>
      <c r="L323" s="1" t="s">
        <v>19</v>
      </c>
    </row>
    <row r="324" spans="1:12" x14ac:dyDescent="0.3">
      <c r="A324" s="1" t="s">
        <v>634</v>
      </c>
      <c r="B324" s="2">
        <v>46076</v>
      </c>
      <c r="C324" s="2">
        <v>46124</v>
      </c>
      <c r="D324" s="1" t="s">
        <v>23</v>
      </c>
      <c r="E324" s="1" t="s">
        <v>14</v>
      </c>
      <c r="F324" s="1" t="s">
        <v>15</v>
      </c>
      <c r="G324" s="1" t="s">
        <v>16</v>
      </c>
      <c r="H324" s="1" t="s">
        <v>43</v>
      </c>
      <c r="I324" s="1" t="s">
        <v>18</v>
      </c>
      <c r="J324">
        <v>15</v>
      </c>
      <c r="K324">
        <v>48</v>
      </c>
      <c r="L324" s="1" t="s">
        <v>44</v>
      </c>
    </row>
    <row r="325" spans="1:12" x14ac:dyDescent="0.3">
      <c r="A325" s="1" t="s">
        <v>1079</v>
      </c>
      <c r="B325" s="2">
        <v>46076</v>
      </c>
      <c r="C325" s="2">
        <v>46133</v>
      </c>
      <c r="D325" s="1" t="s">
        <v>13</v>
      </c>
      <c r="E325" s="1" t="s">
        <v>14</v>
      </c>
      <c r="F325" s="1" t="s">
        <v>15</v>
      </c>
      <c r="G325" s="1" t="s">
        <v>16</v>
      </c>
      <c r="H325" s="1" t="s">
        <v>47</v>
      </c>
      <c r="I325" s="1" t="s">
        <v>41</v>
      </c>
      <c r="J325">
        <v>15</v>
      </c>
      <c r="K325">
        <v>57</v>
      </c>
      <c r="L325" s="1" t="s">
        <v>80</v>
      </c>
    </row>
    <row r="326" spans="1:12" x14ac:dyDescent="0.3">
      <c r="A326" s="1" t="s">
        <v>1248</v>
      </c>
      <c r="B326" s="2">
        <v>46076</v>
      </c>
      <c r="C326" s="2">
        <v>46098</v>
      </c>
      <c r="D326" s="1" t="s">
        <v>23</v>
      </c>
      <c r="E326" s="1" t="s">
        <v>24</v>
      </c>
      <c r="F326" s="1" t="s">
        <v>15</v>
      </c>
      <c r="G326" s="1" t="s">
        <v>33</v>
      </c>
      <c r="H326" s="1" t="s">
        <v>25</v>
      </c>
      <c r="I326" s="1" t="s">
        <v>26</v>
      </c>
      <c r="J326">
        <v>30</v>
      </c>
      <c r="K326">
        <v>22</v>
      </c>
      <c r="L326" s="1" t="s">
        <v>19</v>
      </c>
    </row>
    <row r="327" spans="1:12" x14ac:dyDescent="0.3">
      <c r="A327" s="1" t="s">
        <v>1357</v>
      </c>
      <c r="B327" s="2">
        <v>46076</v>
      </c>
      <c r="C327" s="2">
        <v>46113</v>
      </c>
      <c r="D327" s="1" t="s">
        <v>23</v>
      </c>
      <c r="E327" s="1" t="s">
        <v>14</v>
      </c>
      <c r="F327" s="1" t="s">
        <v>15</v>
      </c>
      <c r="G327" s="1" t="s">
        <v>53</v>
      </c>
      <c r="H327" s="1" t="s">
        <v>43</v>
      </c>
      <c r="I327" s="1" t="s">
        <v>18</v>
      </c>
      <c r="J327">
        <v>15</v>
      </c>
      <c r="K327">
        <v>37</v>
      </c>
      <c r="L327" s="1" t="s">
        <v>21</v>
      </c>
    </row>
    <row r="328" spans="1:12" x14ac:dyDescent="0.3">
      <c r="A328" s="1" t="s">
        <v>1470</v>
      </c>
      <c r="B328" s="2">
        <v>46076</v>
      </c>
      <c r="C328" s="2">
        <v>46139</v>
      </c>
      <c r="D328" s="1" t="s">
        <v>23</v>
      </c>
      <c r="E328" s="1" t="s">
        <v>14</v>
      </c>
      <c r="F328" s="1" t="s">
        <v>38</v>
      </c>
      <c r="G328" s="1" t="s">
        <v>16</v>
      </c>
      <c r="H328" s="1" t="s">
        <v>25</v>
      </c>
      <c r="I328" s="1" t="s">
        <v>41</v>
      </c>
      <c r="J328">
        <v>15</v>
      </c>
      <c r="K328">
        <v>63</v>
      </c>
      <c r="L328" s="1" t="s">
        <v>80</v>
      </c>
    </row>
    <row r="329" spans="1:12" x14ac:dyDescent="0.3">
      <c r="A329" s="1" t="s">
        <v>1868</v>
      </c>
      <c r="B329" s="2">
        <v>46076</v>
      </c>
      <c r="C329" s="2">
        <v>46118</v>
      </c>
      <c r="D329" s="1" t="s">
        <v>23</v>
      </c>
      <c r="E329" s="1" t="s">
        <v>14</v>
      </c>
      <c r="F329" s="1" t="s">
        <v>15</v>
      </c>
      <c r="G329" s="1" t="s">
        <v>16</v>
      </c>
      <c r="H329" s="1" t="s">
        <v>25</v>
      </c>
      <c r="I329" s="1" t="s">
        <v>26</v>
      </c>
      <c r="J329">
        <v>30</v>
      </c>
      <c r="K329">
        <v>42</v>
      </c>
      <c r="L329" s="1" t="s">
        <v>21</v>
      </c>
    </row>
    <row r="330" spans="1:12" x14ac:dyDescent="0.3">
      <c r="A330" s="1" t="s">
        <v>2981</v>
      </c>
      <c r="B330" s="2">
        <v>46076</v>
      </c>
      <c r="C330" s="2">
        <v>46115</v>
      </c>
      <c r="D330" s="1" t="s">
        <v>28</v>
      </c>
      <c r="E330" s="1" t="s">
        <v>14</v>
      </c>
      <c r="F330" s="1" t="s">
        <v>38</v>
      </c>
      <c r="G330" s="1" t="s">
        <v>16</v>
      </c>
      <c r="H330" s="1" t="s">
        <v>29</v>
      </c>
      <c r="I330" s="1" t="s">
        <v>18</v>
      </c>
      <c r="J330">
        <v>15</v>
      </c>
      <c r="K330">
        <v>39</v>
      </c>
      <c r="L330" s="1" t="s">
        <v>21</v>
      </c>
    </row>
    <row r="331" spans="1:12" x14ac:dyDescent="0.3">
      <c r="A331" s="1" t="s">
        <v>3031</v>
      </c>
      <c r="B331" s="2">
        <v>46076</v>
      </c>
      <c r="C331" s="2">
        <v>46113</v>
      </c>
      <c r="D331" s="1" t="s">
        <v>23</v>
      </c>
      <c r="E331" s="1" t="s">
        <v>14</v>
      </c>
      <c r="F331" s="1" t="s">
        <v>38</v>
      </c>
      <c r="G331" s="1" t="s">
        <v>16</v>
      </c>
      <c r="H331" s="1" t="s">
        <v>43</v>
      </c>
      <c r="I331" s="1" t="s">
        <v>18</v>
      </c>
      <c r="J331">
        <v>15</v>
      </c>
      <c r="K331">
        <v>37</v>
      </c>
      <c r="L331" s="1" t="s">
        <v>21</v>
      </c>
    </row>
    <row r="332" spans="1:12" x14ac:dyDescent="0.3">
      <c r="A332" s="1" t="s">
        <v>220</v>
      </c>
      <c r="B332" s="2">
        <v>46075</v>
      </c>
      <c r="C332" s="2">
        <v>46095</v>
      </c>
      <c r="D332" s="1" t="s">
        <v>28</v>
      </c>
      <c r="E332" s="1" t="s">
        <v>14</v>
      </c>
      <c r="F332" s="1" t="s">
        <v>15</v>
      </c>
      <c r="G332" s="1" t="s">
        <v>53</v>
      </c>
      <c r="H332" s="1" t="s">
        <v>29</v>
      </c>
      <c r="I332" s="1" t="s">
        <v>26</v>
      </c>
      <c r="J332">
        <v>15</v>
      </c>
      <c r="K332">
        <v>20</v>
      </c>
      <c r="L332" s="1" t="s">
        <v>19</v>
      </c>
    </row>
    <row r="333" spans="1:12" x14ac:dyDescent="0.3">
      <c r="A333" s="1" t="s">
        <v>3151</v>
      </c>
      <c r="B333" s="2">
        <v>46075</v>
      </c>
      <c r="C333" s="2">
        <v>46143</v>
      </c>
      <c r="D333" s="1" t="s">
        <v>37</v>
      </c>
      <c r="E333" s="1" t="s">
        <v>14</v>
      </c>
      <c r="F333" s="1" t="s">
        <v>15</v>
      </c>
      <c r="G333" s="1" t="s">
        <v>33</v>
      </c>
      <c r="H333" s="1" t="s">
        <v>49</v>
      </c>
      <c r="I333" s="1" t="s">
        <v>18</v>
      </c>
      <c r="J333">
        <v>15</v>
      </c>
      <c r="K333">
        <v>68</v>
      </c>
      <c r="L333" s="1" t="s">
        <v>80</v>
      </c>
    </row>
    <row r="334" spans="1:12" x14ac:dyDescent="0.3">
      <c r="A334" s="1" t="s">
        <v>782</v>
      </c>
      <c r="B334" s="2">
        <v>46075</v>
      </c>
      <c r="C334" s="2">
        <v>46104</v>
      </c>
      <c r="D334" s="1" t="s">
        <v>37</v>
      </c>
      <c r="E334" s="1" t="s">
        <v>14</v>
      </c>
      <c r="F334" s="1" t="s">
        <v>38</v>
      </c>
      <c r="G334" s="1" t="s">
        <v>16</v>
      </c>
      <c r="H334" s="1" t="s">
        <v>49</v>
      </c>
      <c r="I334" s="1" t="s">
        <v>26</v>
      </c>
      <c r="J334">
        <v>15</v>
      </c>
      <c r="K334">
        <v>29</v>
      </c>
      <c r="L334" s="1" t="s">
        <v>21</v>
      </c>
    </row>
    <row r="335" spans="1:12" x14ac:dyDescent="0.3">
      <c r="A335" s="1" t="s">
        <v>2880</v>
      </c>
      <c r="B335" s="2">
        <v>46075</v>
      </c>
      <c r="C335" s="2">
        <v>46101</v>
      </c>
      <c r="D335" s="1" t="s">
        <v>23</v>
      </c>
      <c r="E335" s="1" t="s">
        <v>14</v>
      </c>
      <c r="F335" s="1" t="s">
        <v>15</v>
      </c>
      <c r="G335" s="1" t="s">
        <v>53</v>
      </c>
      <c r="H335" s="1" t="s">
        <v>25</v>
      </c>
      <c r="I335" s="1" t="s">
        <v>26</v>
      </c>
      <c r="J335">
        <v>15</v>
      </c>
      <c r="K335">
        <v>26</v>
      </c>
      <c r="L335" s="1" t="s">
        <v>19</v>
      </c>
    </row>
    <row r="336" spans="1:12" x14ac:dyDescent="0.3">
      <c r="A336" s="1" t="s">
        <v>136</v>
      </c>
      <c r="B336" s="2">
        <v>46074</v>
      </c>
      <c r="C336" s="2">
        <v>46104</v>
      </c>
      <c r="D336" s="1" t="s">
        <v>13</v>
      </c>
      <c r="E336" s="1" t="s">
        <v>14</v>
      </c>
      <c r="F336" s="1" t="s">
        <v>15</v>
      </c>
      <c r="G336" s="1" t="s">
        <v>16</v>
      </c>
      <c r="H336" s="1" t="s">
        <v>17</v>
      </c>
      <c r="I336" s="1" t="s">
        <v>18</v>
      </c>
      <c r="J336">
        <v>15</v>
      </c>
      <c r="K336">
        <v>30</v>
      </c>
      <c r="L336" s="1" t="s">
        <v>21</v>
      </c>
    </row>
    <row r="337" spans="1:12" x14ac:dyDescent="0.3">
      <c r="A337" s="1" t="s">
        <v>345</v>
      </c>
      <c r="B337" s="2">
        <v>46074</v>
      </c>
      <c r="C337" s="2">
        <v>46127</v>
      </c>
      <c r="D337" s="1" t="s">
        <v>13</v>
      </c>
      <c r="E337" s="1" t="s">
        <v>14</v>
      </c>
      <c r="F337" s="1" t="s">
        <v>15</v>
      </c>
      <c r="G337" s="1" t="s">
        <v>16</v>
      </c>
      <c r="H337" s="1" t="s">
        <v>47</v>
      </c>
      <c r="I337" s="1" t="s">
        <v>26</v>
      </c>
      <c r="J337">
        <v>15</v>
      </c>
      <c r="K337">
        <v>53</v>
      </c>
      <c r="L337" s="1" t="s">
        <v>44</v>
      </c>
    </row>
    <row r="338" spans="1:12" x14ac:dyDescent="0.3">
      <c r="A338" s="1" t="s">
        <v>3020</v>
      </c>
      <c r="B338" s="2">
        <v>46074</v>
      </c>
      <c r="C338" s="2">
        <v>46114</v>
      </c>
      <c r="D338" s="1" t="s">
        <v>37</v>
      </c>
      <c r="E338" s="1" t="s">
        <v>14</v>
      </c>
      <c r="F338" s="1" t="s">
        <v>38</v>
      </c>
      <c r="G338" s="1" t="s">
        <v>53</v>
      </c>
      <c r="H338" s="1" t="s">
        <v>49</v>
      </c>
      <c r="I338" s="1" t="s">
        <v>41</v>
      </c>
      <c r="J338">
        <v>15</v>
      </c>
      <c r="K338">
        <v>40</v>
      </c>
      <c r="L338" s="1" t="s">
        <v>21</v>
      </c>
    </row>
    <row r="339" spans="1:12" x14ac:dyDescent="0.3">
      <c r="A339" s="1" t="s">
        <v>870</v>
      </c>
      <c r="B339" s="2">
        <v>46074</v>
      </c>
      <c r="C339" s="2">
        <v>46121</v>
      </c>
      <c r="D339" s="1" t="s">
        <v>28</v>
      </c>
      <c r="E339" s="1" t="s">
        <v>24</v>
      </c>
      <c r="F339" s="1" t="s">
        <v>15</v>
      </c>
      <c r="G339" s="1" t="s">
        <v>16</v>
      </c>
      <c r="H339" s="1" t="s">
        <v>29</v>
      </c>
      <c r="I339" s="1" t="s">
        <v>18</v>
      </c>
      <c r="J339">
        <v>45</v>
      </c>
      <c r="K339">
        <v>47</v>
      </c>
      <c r="L339" s="1" t="s">
        <v>44</v>
      </c>
    </row>
    <row r="340" spans="1:12" x14ac:dyDescent="0.3">
      <c r="A340" s="1" t="s">
        <v>1346</v>
      </c>
      <c r="B340" s="2">
        <v>46074</v>
      </c>
      <c r="C340" s="2">
        <v>46164</v>
      </c>
      <c r="D340" s="1" t="s">
        <v>28</v>
      </c>
      <c r="E340" s="1" t="s">
        <v>24</v>
      </c>
      <c r="F340" s="1" t="s">
        <v>15</v>
      </c>
      <c r="G340" s="1" t="s">
        <v>16</v>
      </c>
      <c r="H340" s="1" t="s">
        <v>54</v>
      </c>
      <c r="I340" s="1" t="s">
        <v>26</v>
      </c>
      <c r="J340">
        <v>30</v>
      </c>
      <c r="K340">
        <v>90</v>
      </c>
      <c r="L340" s="1" t="s">
        <v>80</v>
      </c>
    </row>
    <row r="341" spans="1:12" x14ac:dyDescent="0.3">
      <c r="A341" s="1" t="s">
        <v>1426</v>
      </c>
      <c r="B341" s="2">
        <v>46074</v>
      </c>
      <c r="C341" s="2">
        <v>46103</v>
      </c>
      <c r="D341" s="1" t="s">
        <v>23</v>
      </c>
      <c r="E341" s="1" t="s">
        <v>24</v>
      </c>
      <c r="F341" s="1" t="s">
        <v>15</v>
      </c>
      <c r="G341" s="1" t="s">
        <v>53</v>
      </c>
      <c r="H341" s="1" t="s">
        <v>25</v>
      </c>
      <c r="I341" s="1" t="s">
        <v>26</v>
      </c>
      <c r="J341">
        <v>30</v>
      </c>
      <c r="K341">
        <v>29</v>
      </c>
      <c r="L341" s="1" t="s">
        <v>21</v>
      </c>
    </row>
    <row r="342" spans="1:12" x14ac:dyDescent="0.3">
      <c r="A342" s="1" t="s">
        <v>1513</v>
      </c>
      <c r="B342" s="2">
        <v>46074</v>
      </c>
      <c r="C342" s="2">
        <v>46107</v>
      </c>
      <c r="D342" s="1" t="s">
        <v>28</v>
      </c>
      <c r="E342" s="1" t="s">
        <v>14</v>
      </c>
      <c r="F342" s="1" t="s">
        <v>15</v>
      </c>
      <c r="G342" s="1" t="s">
        <v>16</v>
      </c>
      <c r="H342" s="1" t="s">
        <v>54</v>
      </c>
      <c r="I342" s="1" t="s">
        <v>18</v>
      </c>
      <c r="J342">
        <v>30</v>
      </c>
      <c r="K342">
        <v>33</v>
      </c>
      <c r="L342" s="1" t="s">
        <v>21</v>
      </c>
    </row>
    <row r="343" spans="1:12" x14ac:dyDescent="0.3">
      <c r="A343" s="1" t="s">
        <v>1599</v>
      </c>
      <c r="B343" s="2">
        <v>46074</v>
      </c>
      <c r="C343" s="2">
        <v>46096</v>
      </c>
      <c r="D343" s="1" t="s">
        <v>28</v>
      </c>
      <c r="E343" s="1" t="s">
        <v>14</v>
      </c>
      <c r="F343" s="1" t="s">
        <v>15</v>
      </c>
      <c r="G343" s="1" t="s">
        <v>16</v>
      </c>
      <c r="H343" s="1" t="s">
        <v>29</v>
      </c>
      <c r="I343" s="1" t="s">
        <v>26</v>
      </c>
      <c r="J343">
        <v>15</v>
      </c>
      <c r="K343">
        <v>22</v>
      </c>
      <c r="L343" s="1" t="s">
        <v>19</v>
      </c>
    </row>
    <row r="344" spans="1:12" x14ac:dyDescent="0.3">
      <c r="A344" s="1" t="s">
        <v>1674</v>
      </c>
      <c r="B344" s="2">
        <v>46074</v>
      </c>
      <c r="C344" s="2">
        <v>46094</v>
      </c>
      <c r="D344" s="1" t="s">
        <v>28</v>
      </c>
      <c r="E344" s="1" t="s">
        <v>14</v>
      </c>
      <c r="F344" s="1" t="s">
        <v>15</v>
      </c>
      <c r="G344" s="1" t="s">
        <v>53</v>
      </c>
      <c r="H344" s="1" t="s">
        <v>29</v>
      </c>
      <c r="I344" s="1" t="s">
        <v>18</v>
      </c>
      <c r="J344">
        <v>15</v>
      </c>
      <c r="K344">
        <v>20</v>
      </c>
      <c r="L344" s="1" t="s">
        <v>19</v>
      </c>
    </row>
    <row r="345" spans="1:12" x14ac:dyDescent="0.3">
      <c r="A345" s="1" t="s">
        <v>1920</v>
      </c>
      <c r="B345" s="2">
        <v>46074</v>
      </c>
      <c r="C345" s="2">
        <v>46110</v>
      </c>
      <c r="D345" s="1" t="s">
        <v>23</v>
      </c>
      <c r="E345" s="1" t="s">
        <v>14</v>
      </c>
      <c r="F345" s="1" t="s">
        <v>15</v>
      </c>
      <c r="G345" s="1" t="s">
        <v>16</v>
      </c>
      <c r="H345" s="1" t="s">
        <v>25</v>
      </c>
      <c r="I345" s="1" t="s">
        <v>26</v>
      </c>
      <c r="J345">
        <v>15</v>
      </c>
      <c r="K345">
        <v>36</v>
      </c>
      <c r="L345" s="1" t="s">
        <v>21</v>
      </c>
    </row>
    <row r="346" spans="1:12" x14ac:dyDescent="0.3">
      <c r="A346" s="1" t="s">
        <v>89</v>
      </c>
      <c r="B346" s="2">
        <v>46073</v>
      </c>
      <c r="C346" s="2">
        <v>46111</v>
      </c>
      <c r="D346" s="1" t="s">
        <v>13</v>
      </c>
      <c r="E346" s="1" t="s">
        <v>24</v>
      </c>
      <c r="F346" s="1" t="s">
        <v>15</v>
      </c>
      <c r="G346" s="1" t="s">
        <v>16</v>
      </c>
      <c r="H346" s="1" t="s">
        <v>17</v>
      </c>
      <c r="I346" s="1" t="s">
        <v>26</v>
      </c>
      <c r="J346">
        <v>30</v>
      </c>
      <c r="K346">
        <v>38</v>
      </c>
      <c r="L346" s="1" t="s">
        <v>21</v>
      </c>
    </row>
    <row r="347" spans="1:12" x14ac:dyDescent="0.3">
      <c r="A347" s="1" t="s">
        <v>405</v>
      </c>
      <c r="B347" s="2">
        <v>46073</v>
      </c>
      <c r="C347" s="2">
        <v>46128</v>
      </c>
      <c r="D347" s="1" t="s">
        <v>13</v>
      </c>
      <c r="E347" s="1" t="s">
        <v>24</v>
      </c>
      <c r="F347" s="1" t="s">
        <v>15</v>
      </c>
      <c r="G347" s="1" t="s">
        <v>16</v>
      </c>
      <c r="H347" s="1" t="s">
        <v>17</v>
      </c>
      <c r="I347" s="1" t="s">
        <v>26</v>
      </c>
      <c r="J347">
        <v>45</v>
      </c>
      <c r="K347">
        <v>55</v>
      </c>
      <c r="L347" s="1" t="s">
        <v>44</v>
      </c>
    </row>
    <row r="348" spans="1:12" x14ac:dyDescent="0.3">
      <c r="A348" s="1" t="s">
        <v>2342</v>
      </c>
      <c r="B348" s="2">
        <v>46073</v>
      </c>
      <c r="C348" s="2">
        <v>46115</v>
      </c>
      <c r="D348" s="1" t="s">
        <v>37</v>
      </c>
      <c r="E348" s="1" t="s">
        <v>24</v>
      </c>
      <c r="F348" s="1" t="s">
        <v>38</v>
      </c>
      <c r="G348" s="1" t="s">
        <v>16</v>
      </c>
      <c r="H348" s="1" t="s">
        <v>39</v>
      </c>
      <c r="I348" s="1" t="s">
        <v>18</v>
      </c>
      <c r="J348">
        <v>45</v>
      </c>
      <c r="K348">
        <v>42</v>
      </c>
      <c r="L348" s="1" t="s">
        <v>21</v>
      </c>
    </row>
    <row r="349" spans="1:12" x14ac:dyDescent="0.3">
      <c r="A349" s="1" t="s">
        <v>2488</v>
      </c>
      <c r="B349" s="2">
        <v>46073</v>
      </c>
      <c r="C349" s="2">
        <v>46102</v>
      </c>
      <c r="D349" s="1" t="s">
        <v>37</v>
      </c>
      <c r="E349" s="1" t="s">
        <v>14</v>
      </c>
      <c r="F349" s="1" t="s">
        <v>15</v>
      </c>
      <c r="G349" s="1" t="s">
        <v>16</v>
      </c>
      <c r="H349" s="1" t="s">
        <v>49</v>
      </c>
      <c r="I349" s="1" t="s">
        <v>41</v>
      </c>
      <c r="J349">
        <v>15</v>
      </c>
      <c r="K349">
        <v>29</v>
      </c>
      <c r="L349" s="1" t="s">
        <v>21</v>
      </c>
    </row>
    <row r="350" spans="1:12" x14ac:dyDescent="0.3">
      <c r="A350" s="1" t="s">
        <v>3072</v>
      </c>
      <c r="B350" s="2">
        <v>46073</v>
      </c>
      <c r="C350" s="2">
        <v>46099</v>
      </c>
      <c r="D350" s="1" t="s">
        <v>37</v>
      </c>
      <c r="E350" s="1" t="s">
        <v>14</v>
      </c>
      <c r="F350" s="1" t="s">
        <v>38</v>
      </c>
      <c r="G350" s="1" t="s">
        <v>16</v>
      </c>
      <c r="H350" s="1" t="s">
        <v>39</v>
      </c>
      <c r="I350" s="1" t="s">
        <v>41</v>
      </c>
      <c r="J350">
        <v>15</v>
      </c>
      <c r="K350">
        <v>26</v>
      </c>
      <c r="L350" s="1" t="s">
        <v>19</v>
      </c>
    </row>
    <row r="351" spans="1:12" x14ac:dyDescent="0.3">
      <c r="A351" s="1" t="s">
        <v>621</v>
      </c>
      <c r="B351" s="2">
        <v>46073</v>
      </c>
      <c r="C351" s="2">
        <v>46113</v>
      </c>
      <c r="D351" s="1" t="s">
        <v>23</v>
      </c>
      <c r="E351" s="1" t="s">
        <v>24</v>
      </c>
      <c r="F351" s="1" t="s">
        <v>15</v>
      </c>
      <c r="G351" s="1" t="s">
        <v>33</v>
      </c>
      <c r="H351" s="1" t="s">
        <v>25</v>
      </c>
      <c r="I351" s="1" t="s">
        <v>18</v>
      </c>
      <c r="J351">
        <v>30</v>
      </c>
      <c r="K351">
        <v>40</v>
      </c>
      <c r="L351" s="1" t="s">
        <v>21</v>
      </c>
    </row>
    <row r="352" spans="1:12" x14ac:dyDescent="0.3">
      <c r="A352" s="1" t="s">
        <v>2103</v>
      </c>
      <c r="B352" s="2">
        <v>46073</v>
      </c>
      <c r="C352" s="2">
        <v>46113</v>
      </c>
      <c r="D352" s="1" t="s">
        <v>23</v>
      </c>
      <c r="E352" s="1" t="s">
        <v>24</v>
      </c>
      <c r="F352" s="1" t="s">
        <v>15</v>
      </c>
      <c r="G352" s="1" t="s">
        <v>16</v>
      </c>
      <c r="H352" s="1" t="s">
        <v>25</v>
      </c>
      <c r="I352" s="1" t="s">
        <v>41</v>
      </c>
      <c r="J352">
        <v>30</v>
      </c>
      <c r="K352">
        <v>40</v>
      </c>
      <c r="L352" s="1" t="s">
        <v>21</v>
      </c>
    </row>
    <row r="353" spans="1:12" x14ac:dyDescent="0.3">
      <c r="A353" s="1" t="s">
        <v>399</v>
      </c>
      <c r="B353" s="2">
        <v>46072</v>
      </c>
      <c r="C353" s="2">
        <v>46125</v>
      </c>
      <c r="D353" s="1" t="s">
        <v>32</v>
      </c>
      <c r="E353" s="1" t="s">
        <v>14</v>
      </c>
      <c r="F353" s="1" t="s">
        <v>15</v>
      </c>
      <c r="G353" s="1" t="s">
        <v>16</v>
      </c>
      <c r="H353" s="1" t="s">
        <v>71</v>
      </c>
      <c r="I353" s="1" t="s">
        <v>41</v>
      </c>
      <c r="J353">
        <v>15</v>
      </c>
      <c r="K353">
        <v>53</v>
      </c>
      <c r="L353" s="1" t="s">
        <v>44</v>
      </c>
    </row>
    <row r="354" spans="1:12" x14ac:dyDescent="0.3">
      <c r="A354" s="1" t="s">
        <v>403</v>
      </c>
      <c r="B354" s="2">
        <v>46072</v>
      </c>
      <c r="C354" s="2">
        <v>46125</v>
      </c>
      <c r="D354" s="1" t="s">
        <v>28</v>
      </c>
      <c r="E354" s="1" t="s">
        <v>24</v>
      </c>
      <c r="F354" s="1" t="s">
        <v>38</v>
      </c>
      <c r="G354" s="1" t="s">
        <v>16</v>
      </c>
      <c r="H354" s="1" t="s">
        <v>54</v>
      </c>
      <c r="I354" s="1" t="s">
        <v>18</v>
      </c>
      <c r="J354">
        <v>30</v>
      </c>
      <c r="K354">
        <v>53</v>
      </c>
      <c r="L354" s="1" t="s">
        <v>44</v>
      </c>
    </row>
    <row r="355" spans="1:12" x14ac:dyDescent="0.3">
      <c r="A355" s="1" t="s">
        <v>431</v>
      </c>
      <c r="B355" s="2">
        <v>46072</v>
      </c>
      <c r="C355" s="2">
        <v>46091</v>
      </c>
      <c r="D355" s="1" t="s">
        <v>13</v>
      </c>
      <c r="E355" s="1" t="s">
        <v>24</v>
      </c>
      <c r="F355" s="1" t="s">
        <v>15</v>
      </c>
      <c r="G355" s="1" t="s">
        <v>16</v>
      </c>
      <c r="H355" s="1" t="s">
        <v>17</v>
      </c>
      <c r="I355" s="1" t="s">
        <v>41</v>
      </c>
      <c r="J355">
        <v>30</v>
      </c>
      <c r="K355">
        <v>19</v>
      </c>
      <c r="L355" s="1" t="s">
        <v>19</v>
      </c>
    </row>
    <row r="356" spans="1:12" x14ac:dyDescent="0.3">
      <c r="A356" s="1" t="s">
        <v>1431</v>
      </c>
      <c r="B356" s="2">
        <v>46072</v>
      </c>
      <c r="C356" s="2">
        <v>46120</v>
      </c>
      <c r="D356" s="1" t="s">
        <v>23</v>
      </c>
      <c r="E356" s="1" t="s">
        <v>24</v>
      </c>
      <c r="F356" s="1" t="s">
        <v>15</v>
      </c>
      <c r="G356" s="1" t="s">
        <v>16</v>
      </c>
      <c r="H356" s="1" t="s">
        <v>25</v>
      </c>
      <c r="I356" s="1" t="s">
        <v>41</v>
      </c>
      <c r="J356">
        <v>30</v>
      </c>
      <c r="K356">
        <v>48</v>
      </c>
      <c r="L356" s="1" t="s">
        <v>44</v>
      </c>
    </row>
    <row r="357" spans="1:12" x14ac:dyDescent="0.3">
      <c r="A357" s="1" t="s">
        <v>2084</v>
      </c>
      <c r="B357" s="2">
        <v>46072</v>
      </c>
      <c r="C357" s="2">
        <v>46150</v>
      </c>
      <c r="D357" s="1" t="s">
        <v>28</v>
      </c>
      <c r="E357" s="1" t="s">
        <v>24</v>
      </c>
      <c r="F357" s="1" t="s">
        <v>15</v>
      </c>
      <c r="G357" s="1" t="s">
        <v>16</v>
      </c>
      <c r="H357" s="1" t="s">
        <v>54</v>
      </c>
      <c r="I357" s="1" t="s">
        <v>41</v>
      </c>
      <c r="J357">
        <v>45</v>
      </c>
      <c r="K357">
        <v>78</v>
      </c>
      <c r="L357" s="1" t="s">
        <v>80</v>
      </c>
    </row>
    <row r="358" spans="1:12" x14ac:dyDescent="0.3">
      <c r="A358" s="1" t="s">
        <v>2494</v>
      </c>
      <c r="B358" s="2">
        <v>46072</v>
      </c>
      <c r="C358" s="2">
        <v>46111</v>
      </c>
      <c r="D358" s="1" t="s">
        <v>28</v>
      </c>
      <c r="E358" s="1" t="s">
        <v>14</v>
      </c>
      <c r="F358" s="1" t="s">
        <v>38</v>
      </c>
      <c r="G358" s="1" t="s">
        <v>16</v>
      </c>
      <c r="H358" s="1" t="s">
        <v>29</v>
      </c>
      <c r="I358" s="1" t="s">
        <v>26</v>
      </c>
      <c r="J358">
        <v>30</v>
      </c>
      <c r="K358">
        <v>39</v>
      </c>
      <c r="L358" s="1" t="s">
        <v>21</v>
      </c>
    </row>
    <row r="359" spans="1:12" x14ac:dyDescent="0.3">
      <c r="A359" s="1" t="s">
        <v>2513</v>
      </c>
      <c r="B359" s="2">
        <v>46072</v>
      </c>
      <c r="C359" s="2">
        <v>46084</v>
      </c>
      <c r="D359" s="1" t="s">
        <v>13</v>
      </c>
      <c r="E359" s="1" t="s">
        <v>14</v>
      </c>
      <c r="F359" s="1" t="s">
        <v>15</v>
      </c>
      <c r="G359" s="1" t="s">
        <v>16</v>
      </c>
      <c r="H359" s="1" t="s">
        <v>47</v>
      </c>
      <c r="I359" s="1" t="s">
        <v>18</v>
      </c>
      <c r="J359">
        <v>15</v>
      </c>
      <c r="K359">
        <v>12</v>
      </c>
      <c r="L359" s="1" t="s">
        <v>30</v>
      </c>
    </row>
    <row r="360" spans="1:12" x14ac:dyDescent="0.3">
      <c r="A360" s="1" t="s">
        <v>75</v>
      </c>
      <c r="B360" s="2">
        <v>46071</v>
      </c>
      <c r="C360" s="2">
        <v>46112</v>
      </c>
      <c r="D360" s="1" t="s">
        <v>13</v>
      </c>
      <c r="E360" s="1" t="s">
        <v>14</v>
      </c>
      <c r="F360" s="1" t="s">
        <v>15</v>
      </c>
      <c r="G360" s="1" t="s">
        <v>16</v>
      </c>
      <c r="H360" s="1" t="s">
        <v>17</v>
      </c>
      <c r="I360" s="1" t="s">
        <v>41</v>
      </c>
      <c r="J360">
        <v>15</v>
      </c>
      <c r="K360">
        <v>41</v>
      </c>
      <c r="L360" s="1" t="s">
        <v>21</v>
      </c>
    </row>
    <row r="361" spans="1:12" x14ac:dyDescent="0.3">
      <c r="A361" s="1" t="s">
        <v>607</v>
      </c>
      <c r="B361" s="2">
        <v>46071</v>
      </c>
      <c r="C361" s="2">
        <v>46105</v>
      </c>
      <c r="D361" s="1" t="s">
        <v>37</v>
      </c>
      <c r="E361" s="1" t="s">
        <v>24</v>
      </c>
      <c r="F361" s="1" t="s">
        <v>15</v>
      </c>
      <c r="G361" s="1" t="s">
        <v>16</v>
      </c>
      <c r="H361" s="1" t="s">
        <v>39</v>
      </c>
      <c r="I361" s="1" t="s">
        <v>41</v>
      </c>
      <c r="J361">
        <v>30</v>
      </c>
      <c r="K361">
        <v>34</v>
      </c>
      <c r="L361" s="1" t="s">
        <v>21</v>
      </c>
    </row>
    <row r="362" spans="1:12" x14ac:dyDescent="0.3">
      <c r="A362" s="1" t="s">
        <v>1734</v>
      </c>
      <c r="B362" s="2">
        <v>46071</v>
      </c>
      <c r="C362" s="2">
        <v>46105</v>
      </c>
      <c r="D362" s="1" t="s">
        <v>37</v>
      </c>
      <c r="E362" s="1" t="s">
        <v>24</v>
      </c>
      <c r="F362" s="1" t="s">
        <v>15</v>
      </c>
      <c r="G362" s="1" t="s">
        <v>53</v>
      </c>
      <c r="H362" s="1" t="s">
        <v>39</v>
      </c>
      <c r="I362" s="1" t="s">
        <v>26</v>
      </c>
      <c r="J362">
        <v>30</v>
      </c>
      <c r="K362">
        <v>34</v>
      </c>
      <c r="L362" s="1" t="s">
        <v>21</v>
      </c>
    </row>
    <row r="363" spans="1:12" x14ac:dyDescent="0.3">
      <c r="A363" s="1" t="s">
        <v>1954</v>
      </c>
      <c r="B363" s="2">
        <v>46071</v>
      </c>
      <c r="C363" s="2">
        <v>46100</v>
      </c>
      <c r="D363" s="1" t="s">
        <v>37</v>
      </c>
      <c r="E363" s="1" t="s">
        <v>24</v>
      </c>
      <c r="F363" s="1" t="s">
        <v>15</v>
      </c>
      <c r="G363" s="1" t="s">
        <v>16</v>
      </c>
      <c r="H363" s="1" t="s">
        <v>39</v>
      </c>
      <c r="I363" s="1" t="s">
        <v>18</v>
      </c>
      <c r="J363">
        <v>30</v>
      </c>
      <c r="K363">
        <v>29</v>
      </c>
      <c r="L363" s="1" t="s">
        <v>21</v>
      </c>
    </row>
    <row r="364" spans="1:12" x14ac:dyDescent="0.3">
      <c r="A364" s="1" t="s">
        <v>3204</v>
      </c>
      <c r="B364" s="2">
        <v>46071</v>
      </c>
      <c r="C364" s="2">
        <v>46089</v>
      </c>
      <c r="D364" s="1" t="s">
        <v>37</v>
      </c>
      <c r="E364" s="1" t="s">
        <v>24</v>
      </c>
      <c r="F364" s="1" t="s">
        <v>15</v>
      </c>
      <c r="G364" s="1" t="s">
        <v>33</v>
      </c>
      <c r="H364" s="1" t="s">
        <v>49</v>
      </c>
      <c r="I364" s="1" t="s">
        <v>26</v>
      </c>
      <c r="J364">
        <v>30</v>
      </c>
      <c r="K364">
        <v>18</v>
      </c>
      <c r="L364" s="1" t="s">
        <v>19</v>
      </c>
    </row>
    <row r="365" spans="1:12" x14ac:dyDescent="0.3">
      <c r="A365" s="1" t="s">
        <v>1417</v>
      </c>
      <c r="B365" s="2">
        <v>46071</v>
      </c>
      <c r="C365" s="2">
        <v>46092</v>
      </c>
      <c r="D365" s="1" t="s">
        <v>28</v>
      </c>
      <c r="E365" s="1" t="s">
        <v>14</v>
      </c>
      <c r="F365" s="1" t="s">
        <v>15</v>
      </c>
      <c r="G365" s="1" t="s">
        <v>33</v>
      </c>
      <c r="H365" s="1" t="s">
        <v>54</v>
      </c>
      <c r="I365" s="1" t="s">
        <v>41</v>
      </c>
      <c r="J365">
        <v>15</v>
      </c>
      <c r="K365">
        <v>21</v>
      </c>
      <c r="L365" s="1" t="s">
        <v>19</v>
      </c>
    </row>
    <row r="366" spans="1:12" x14ac:dyDescent="0.3">
      <c r="A366" s="1" t="s">
        <v>1648</v>
      </c>
      <c r="B366" s="2">
        <v>46071</v>
      </c>
      <c r="C366" s="2">
        <v>46112</v>
      </c>
      <c r="D366" s="1" t="s">
        <v>32</v>
      </c>
      <c r="E366" s="1" t="s">
        <v>24</v>
      </c>
      <c r="F366" s="1" t="s">
        <v>38</v>
      </c>
      <c r="G366" s="1" t="s">
        <v>33</v>
      </c>
      <c r="H366" s="1" t="s">
        <v>71</v>
      </c>
      <c r="I366" s="1" t="s">
        <v>26</v>
      </c>
      <c r="J366">
        <v>30</v>
      </c>
      <c r="K366">
        <v>41</v>
      </c>
      <c r="L366" s="1" t="s">
        <v>21</v>
      </c>
    </row>
    <row r="367" spans="1:12" x14ac:dyDescent="0.3">
      <c r="A367" s="1" t="s">
        <v>1794</v>
      </c>
      <c r="B367" s="2">
        <v>46071</v>
      </c>
      <c r="C367" s="2">
        <v>46117</v>
      </c>
      <c r="D367" s="1" t="s">
        <v>32</v>
      </c>
      <c r="E367" s="1" t="s">
        <v>14</v>
      </c>
      <c r="F367" s="1" t="s">
        <v>15</v>
      </c>
      <c r="G367" s="1" t="s">
        <v>53</v>
      </c>
      <c r="H367" s="1" t="s">
        <v>71</v>
      </c>
      <c r="I367" s="1" t="s">
        <v>18</v>
      </c>
      <c r="J367">
        <v>30</v>
      </c>
      <c r="K367">
        <v>46</v>
      </c>
      <c r="L367" s="1" t="s">
        <v>44</v>
      </c>
    </row>
    <row r="368" spans="1:12" x14ac:dyDescent="0.3">
      <c r="A368" s="1" t="s">
        <v>2540</v>
      </c>
      <c r="B368" s="2">
        <v>46071</v>
      </c>
      <c r="C368" s="2">
        <v>46118</v>
      </c>
      <c r="D368" s="1" t="s">
        <v>23</v>
      </c>
      <c r="E368" s="1" t="s">
        <v>14</v>
      </c>
      <c r="F368" s="1" t="s">
        <v>15</v>
      </c>
      <c r="G368" s="1" t="s">
        <v>16</v>
      </c>
      <c r="H368" s="1" t="s">
        <v>43</v>
      </c>
      <c r="I368" s="1" t="s">
        <v>26</v>
      </c>
      <c r="J368">
        <v>15</v>
      </c>
      <c r="K368">
        <v>47</v>
      </c>
      <c r="L368" s="1" t="s">
        <v>44</v>
      </c>
    </row>
    <row r="369" spans="1:12" x14ac:dyDescent="0.3">
      <c r="A369" s="1" t="s">
        <v>3168</v>
      </c>
      <c r="B369" s="2">
        <v>46071</v>
      </c>
      <c r="C369" s="2">
        <v>46093</v>
      </c>
      <c r="D369" s="1" t="s">
        <v>23</v>
      </c>
      <c r="E369" s="1" t="s">
        <v>24</v>
      </c>
      <c r="F369" s="1" t="s">
        <v>15</v>
      </c>
      <c r="G369" s="1" t="s">
        <v>16</v>
      </c>
      <c r="H369" s="1" t="s">
        <v>43</v>
      </c>
      <c r="I369" s="1" t="s">
        <v>18</v>
      </c>
      <c r="J369">
        <v>45</v>
      </c>
      <c r="K369">
        <v>22</v>
      </c>
      <c r="L369" s="1" t="s">
        <v>19</v>
      </c>
    </row>
    <row r="370" spans="1:12" x14ac:dyDescent="0.3">
      <c r="A370" s="1" t="s">
        <v>416</v>
      </c>
      <c r="B370" s="2">
        <v>46070</v>
      </c>
      <c r="C370" s="2">
        <v>46080</v>
      </c>
      <c r="D370" s="1" t="s">
        <v>13</v>
      </c>
      <c r="E370" s="1" t="s">
        <v>24</v>
      </c>
      <c r="F370" s="1" t="s">
        <v>15</v>
      </c>
      <c r="G370" s="1" t="s">
        <v>16</v>
      </c>
      <c r="H370" s="1" t="s">
        <v>17</v>
      </c>
      <c r="I370" s="1" t="s">
        <v>18</v>
      </c>
      <c r="J370">
        <v>30</v>
      </c>
      <c r="K370">
        <v>10</v>
      </c>
      <c r="L370" s="1" t="s">
        <v>30</v>
      </c>
    </row>
    <row r="371" spans="1:12" x14ac:dyDescent="0.3">
      <c r="A371" s="1" t="s">
        <v>1046</v>
      </c>
      <c r="B371" s="2">
        <v>46070</v>
      </c>
      <c r="C371" s="2">
        <v>46135</v>
      </c>
      <c r="D371" s="1" t="s">
        <v>13</v>
      </c>
      <c r="E371" s="1" t="s">
        <v>24</v>
      </c>
      <c r="F371" s="1" t="s">
        <v>38</v>
      </c>
      <c r="G371" s="1" t="s">
        <v>16</v>
      </c>
      <c r="H371" s="1" t="s">
        <v>17</v>
      </c>
      <c r="I371" s="1" t="s">
        <v>18</v>
      </c>
      <c r="J371">
        <v>45</v>
      </c>
      <c r="K371">
        <v>65</v>
      </c>
      <c r="L371" s="1" t="s">
        <v>80</v>
      </c>
    </row>
    <row r="372" spans="1:12" x14ac:dyDescent="0.3">
      <c r="A372" s="1" t="s">
        <v>1366</v>
      </c>
      <c r="B372" s="2">
        <v>46070</v>
      </c>
      <c r="C372" s="2">
        <v>46125</v>
      </c>
      <c r="D372" s="1" t="s">
        <v>28</v>
      </c>
      <c r="E372" s="1" t="s">
        <v>14</v>
      </c>
      <c r="F372" s="1" t="s">
        <v>38</v>
      </c>
      <c r="G372" s="1" t="s">
        <v>16</v>
      </c>
      <c r="H372" s="1" t="s">
        <v>54</v>
      </c>
      <c r="I372" s="1" t="s">
        <v>41</v>
      </c>
      <c r="J372">
        <v>15</v>
      </c>
      <c r="K372">
        <v>55</v>
      </c>
      <c r="L372" s="1" t="s">
        <v>44</v>
      </c>
    </row>
    <row r="373" spans="1:12" x14ac:dyDescent="0.3">
      <c r="A373" s="1" t="s">
        <v>2133</v>
      </c>
      <c r="B373" s="2">
        <v>46070</v>
      </c>
      <c r="C373" s="2">
        <v>46130</v>
      </c>
      <c r="D373" s="1" t="s">
        <v>28</v>
      </c>
      <c r="E373" s="1" t="s">
        <v>14</v>
      </c>
      <c r="F373" s="1" t="s">
        <v>15</v>
      </c>
      <c r="G373" s="1" t="s">
        <v>53</v>
      </c>
      <c r="H373" s="1" t="s">
        <v>29</v>
      </c>
      <c r="I373" s="1" t="s">
        <v>26</v>
      </c>
      <c r="J373">
        <v>15</v>
      </c>
      <c r="K373">
        <v>60</v>
      </c>
      <c r="L373" s="1" t="s">
        <v>80</v>
      </c>
    </row>
    <row r="374" spans="1:12" x14ac:dyDescent="0.3">
      <c r="A374" s="1" t="s">
        <v>2282</v>
      </c>
      <c r="B374" s="2">
        <v>46070</v>
      </c>
      <c r="C374" s="2">
        <v>46104</v>
      </c>
      <c r="D374" s="1" t="s">
        <v>32</v>
      </c>
      <c r="E374" s="1" t="s">
        <v>14</v>
      </c>
      <c r="F374" s="1" t="s">
        <v>15</v>
      </c>
      <c r="G374" s="1" t="s">
        <v>16</v>
      </c>
      <c r="H374" s="1" t="s">
        <v>34</v>
      </c>
      <c r="I374" s="1" t="s">
        <v>18</v>
      </c>
      <c r="J374">
        <v>15</v>
      </c>
      <c r="K374">
        <v>34</v>
      </c>
      <c r="L374" s="1" t="s">
        <v>21</v>
      </c>
    </row>
    <row r="375" spans="1:12" x14ac:dyDescent="0.3">
      <c r="A375" s="1" t="s">
        <v>1857</v>
      </c>
      <c r="B375" s="2">
        <v>46069</v>
      </c>
      <c r="C375" s="2">
        <v>46103</v>
      </c>
      <c r="D375" s="1" t="s">
        <v>37</v>
      </c>
      <c r="E375" s="1" t="s">
        <v>24</v>
      </c>
      <c r="F375" s="1" t="s">
        <v>15</v>
      </c>
      <c r="G375" s="1" t="s">
        <v>16</v>
      </c>
      <c r="H375" s="1" t="s">
        <v>39</v>
      </c>
      <c r="I375" s="1" t="s">
        <v>18</v>
      </c>
      <c r="J375">
        <v>30</v>
      </c>
      <c r="K375">
        <v>34</v>
      </c>
      <c r="L375" s="1" t="s">
        <v>21</v>
      </c>
    </row>
    <row r="376" spans="1:12" x14ac:dyDescent="0.3">
      <c r="A376" s="1" t="s">
        <v>946</v>
      </c>
      <c r="B376" s="2">
        <v>46069</v>
      </c>
      <c r="C376" s="2">
        <v>46082</v>
      </c>
      <c r="D376" s="1" t="s">
        <v>37</v>
      </c>
      <c r="E376" s="1" t="s">
        <v>14</v>
      </c>
      <c r="F376" s="1" t="s">
        <v>15</v>
      </c>
      <c r="G376" s="1" t="s">
        <v>16</v>
      </c>
      <c r="H376" s="1" t="s">
        <v>49</v>
      </c>
      <c r="I376" s="1" t="s">
        <v>18</v>
      </c>
      <c r="J376">
        <v>15</v>
      </c>
      <c r="K376">
        <v>13</v>
      </c>
      <c r="L376" s="1" t="s">
        <v>30</v>
      </c>
    </row>
    <row r="377" spans="1:12" x14ac:dyDescent="0.3">
      <c r="A377" s="1" t="s">
        <v>2799</v>
      </c>
      <c r="B377" s="2">
        <v>46069</v>
      </c>
      <c r="C377" s="2">
        <v>46115</v>
      </c>
      <c r="D377" s="1" t="s">
        <v>23</v>
      </c>
      <c r="E377" s="1" t="s">
        <v>24</v>
      </c>
      <c r="F377" s="1" t="s">
        <v>15</v>
      </c>
      <c r="G377" s="1" t="s">
        <v>16</v>
      </c>
      <c r="H377" s="1" t="s">
        <v>43</v>
      </c>
      <c r="I377" s="1" t="s">
        <v>26</v>
      </c>
      <c r="J377">
        <v>30</v>
      </c>
      <c r="K377">
        <v>46</v>
      </c>
      <c r="L377" s="1" t="s">
        <v>44</v>
      </c>
    </row>
    <row r="378" spans="1:12" x14ac:dyDescent="0.3">
      <c r="A378" s="1" t="s">
        <v>3088</v>
      </c>
      <c r="B378" s="2">
        <v>46069</v>
      </c>
      <c r="C378" s="2">
        <v>46107</v>
      </c>
      <c r="D378" s="1" t="s">
        <v>28</v>
      </c>
      <c r="E378" s="1" t="s">
        <v>24</v>
      </c>
      <c r="F378" s="1" t="s">
        <v>15</v>
      </c>
      <c r="G378" s="1" t="s">
        <v>16</v>
      </c>
      <c r="H378" s="1" t="s">
        <v>29</v>
      </c>
      <c r="I378" s="1" t="s">
        <v>26</v>
      </c>
      <c r="J378">
        <v>30</v>
      </c>
      <c r="K378">
        <v>38</v>
      </c>
      <c r="L378" s="1" t="s">
        <v>21</v>
      </c>
    </row>
    <row r="379" spans="1:12" x14ac:dyDescent="0.3">
      <c r="A379" s="1" t="s">
        <v>1834</v>
      </c>
      <c r="B379" s="2">
        <v>46068</v>
      </c>
      <c r="C379" s="2">
        <v>46110</v>
      </c>
      <c r="D379" s="1" t="s">
        <v>37</v>
      </c>
      <c r="E379" s="1" t="s">
        <v>14</v>
      </c>
      <c r="F379" s="1" t="s">
        <v>15</v>
      </c>
      <c r="G379" s="1" t="s">
        <v>33</v>
      </c>
      <c r="H379" s="1" t="s">
        <v>49</v>
      </c>
      <c r="I379" s="1" t="s">
        <v>18</v>
      </c>
      <c r="J379">
        <v>15</v>
      </c>
      <c r="K379">
        <v>42</v>
      </c>
      <c r="L379" s="1" t="s">
        <v>21</v>
      </c>
    </row>
    <row r="380" spans="1:12" x14ac:dyDescent="0.3">
      <c r="A380" s="1" t="s">
        <v>559</v>
      </c>
      <c r="B380" s="2">
        <v>46068</v>
      </c>
      <c r="C380" s="2">
        <v>46102</v>
      </c>
      <c r="D380" s="1" t="s">
        <v>28</v>
      </c>
      <c r="E380" s="1" t="s">
        <v>24</v>
      </c>
      <c r="F380" s="1" t="s">
        <v>15</v>
      </c>
      <c r="G380" s="1" t="s">
        <v>16</v>
      </c>
      <c r="H380" s="1" t="s">
        <v>54</v>
      </c>
      <c r="I380" s="1" t="s">
        <v>41</v>
      </c>
      <c r="J380">
        <v>45</v>
      </c>
      <c r="K380">
        <v>34</v>
      </c>
      <c r="L380" s="1" t="s">
        <v>21</v>
      </c>
    </row>
    <row r="381" spans="1:12" x14ac:dyDescent="0.3">
      <c r="A381" s="1" t="s">
        <v>854</v>
      </c>
      <c r="B381" s="2">
        <v>46068</v>
      </c>
      <c r="C381" s="2">
        <v>46098</v>
      </c>
      <c r="D381" s="1" t="s">
        <v>13</v>
      </c>
      <c r="E381" s="1" t="s">
        <v>24</v>
      </c>
      <c r="F381" s="1" t="s">
        <v>15</v>
      </c>
      <c r="G381" s="1" t="s">
        <v>16</v>
      </c>
      <c r="H381" s="1" t="s">
        <v>49</v>
      </c>
      <c r="I381" s="1" t="s">
        <v>26</v>
      </c>
      <c r="J381">
        <v>30</v>
      </c>
      <c r="K381">
        <v>30</v>
      </c>
      <c r="L381" s="1" t="s">
        <v>21</v>
      </c>
    </row>
    <row r="382" spans="1:12" x14ac:dyDescent="0.3">
      <c r="A382" s="1" t="s">
        <v>1183</v>
      </c>
      <c r="B382" s="2">
        <v>46068</v>
      </c>
      <c r="C382" s="2">
        <v>46118</v>
      </c>
      <c r="D382" s="1" t="s">
        <v>32</v>
      </c>
      <c r="E382" s="1" t="s">
        <v>14</v>
      </c>
      <c r="F382" s="1" t="s">
        <v>15</v>
      </c>
      <c r="G382" s="1" t="s">
        <v>16</v>
      </c>
      <c r="H382" s="1" t="s">
        <v>71</v>
      </c>
      <c r="I382" s="1" t="s">
        <v>26</v>
      </c>
      <c r="J382">
        <v>15</v>
      </c>
      <c r="K382">
        <v>50</v>
      </c>
      <c r="L382" s="1" t="s">
        <v>44</v>
      </c>
    </row>
    <row r="383" spans="1:12" x14ac:dyDescent="0.3">
      <c r="A383" s="1" t="s">
        <v>1413</v>
      </c>
      <c r="B383" s="2">
        <v>46068</v>
      </c>
      <c r="C383" s="2">
        <v>46089</v>
      </c>
      <c r="D383" s="1" t="s">
        <v>32</v>
      </c>
      <c r="E383" s="1" t="s">
        <v>24</v>
      </c>
      <c r="F383" s="1" t="s">
        <v>15</v>
      </c>
      <c r="G383" s="1" t="s">
        <v>53</v>
      </c>
      <c r="H383" s="1" t="s">
        <v>34</v>
      </c>
      <c r="I383" s="1" t="s">
        <v>18</v>
      </c>
      <c r="J383">
        <v>30</v>
      </c>
      <c r="K383">
        <v>21</v>
      </c>
      <c r="L383" s="1" t="s">
        <v>19</v>
      </c>
    </row>
    <row r="384" spans="1:12" x14ac:dyDescent="0.3">
      <c r="A384" s="1" t="s">
        <v>1676</v>
      </c>
      <c r="B384" s="2">
        <v>46068</v>
      </c>
      <c r="C384" s="2">
        <v>46081</v>
      </c>
      <c r="D384" s="1" t="s">
        <v>23</v>
      </c>
      <c r="E384" s="1" t="s">
        <v>24</v>
      </c>
      <c r="F384" s="1" t="s">
        <v>15</v>
      </c>
      <c r="G384" s="1" t="s">
        <v>16</v>
      </c>
      <c r="H384" s="1" t="s">
        <v>25</v>
      </c>
      <c r="I384" s="1" t="s">
        <v>18</v>
      </c>
      <c r="J384">
        <v>30</v>
      </c>
      <c r="K384">
        <v>13</v>
      </c>
      <c r="L384" s="1" t="s">
        <v>30</v>
      </c>
    </row>
    <row r="385" spans="1:12" x14ac:dyDescent="0.3">
      <c r="A385" s="1" t="s">
        <v>1755</v>
      </c>
      <c r="B385" s="2">
        <v>46068</v>
      </c>
      <c r="C385" s="2">
        <v>46099</v>
      </c>
      <c r="D385" s="1" t="s">
        <v>13</v>
      </c>
      <c r="E385" s="1" t="s">
        <v>24</v>
      </c>
      <c r="F385" s="1" t="s">
        <v>15</v>
      </c>
      <c r="G385" s="1" t="s">
        <v>16</v>
      </c>
      <c r="H385" s="1" t="s">
        <v>47</v>
      </c>
      <c r="I385" s="1" t="s">
        <v>26</v>
      </c>
      <c r="J385">
        <v>45</v>
      </c>
      <c r="K385">
        <v>31</v>
      </c>
      <c r="L385" s="1" t="s">
        <v>21</v>
      </c>
    </row>
    <row r="386" spans="1:12" x14ac:dyDescent="0.3">
      <c r="A386" s="1" t="s">
        <v>2693</v>
      </c>
      <c r="B386" s="2">
        <v>46068</v>
      </c>
      <c r="C386" s="2">
        <v>46103</v>
      </c>
      <c r="D386" s="1" t="s">
        <v>13</v>
      </c>
      <c r="E386" s="1" t="s">
        <v>14</v>
      </c>
      <c r="F386" s="1" t="s">
        <v>15</v>
      </c>
      <c r="G386" s="1" t="s">
        <v>16</v>
      </c>
      <c r="H386" s="1" t="s">
        <v>17</v>
      </c>
      <c r="I386" s="1" t="s">
        <v>18</v>
      </c>
      <c r="J386">
        <v>30</v>
      </c>
      <c r="K386">
        <v>35</v>
      </c>
      <c r="L386" s="1" t="s">
        <v>21</v>
      </c>
    </row>
    <row r="387" spans="1:12" x14ac:dyDescent="0.3">
      <c r="A387" s="1" t="s">
        <v>2743</v>
      </c>
      <c r="B387" s="2">
        <v>46068</v>
      </c>
      <c r="C387" s="2">
        <v>46108</v>
      </c>
      <c r="D387" s="1" t="s">
        <v>23</v>
      </c>
      <c r="E387" s="1" t="s">
        <v>14</v>
      </c>
      <c r="F387" s="1" t="s">
        <v>38</v>
      </c>
      <c r="G387" s="1" t="s">
        <v>33</v>
      </c>
      <c r="H387" s="1" t="s">
        <v>25</v>
      </c>
      <c r="I387" s="1" t="s">
        <v>26</v>
      </c>
      <c r="J387">
        <v>15</v>
      </c>
      <c r="K387">
        <v>40</v>
      </c>
      <c r="L387" s="1" t="s">
        <v>21</v>
      </c>
    </row>
    <row r="388" spans="1:12" x14ac:dyDescent="0.3">
      <c r="A388" s="1" t="s">
        <v>2720</v>
      </c>
      <c r="B388" s="2">
        <v>46067</v>
      </c>
      <c r="C388" s="2">
        <v>46106</v>
      </c>
      <c r="D388" s="1" t="s">
        <v>37</v>
      </c>
      <c r="E388" s="1" t="s">
        <v>14</v>
      </c>
      <c r="F388" s="1" t="s">
        <v>15</v>
      </c>
      <c r="G388" s="1" t="s">
        <v>16</v>
      </c>
      <c r="H388" s="1" t="s">
        <v>49</v>
      </c>
      <c r="I388" s="1" t="s">
        <v>18</v>
      </c>
      <c r="J388">
        <v>15</v>
      </c>
      <c r="K388">
        <v>39</v>
      </c>
      <c r="L388" s="1" t="s">
        <v>21</v>
      </c>
    </row>
    <row r="389" spans="1:12" x14ac:dyDescent="0.3">
      <c r="A389" s="1" t="s">
        <v>1758</v>
      </c>
      <c r="B389" s="2">
        <v>46067</v>
      </c>
      <c r="C389" s="2">
        <v>46081</v>
      </c>
      <c r="D389" s="1" t="s">
        <v>37</v>
      </c>
      <c r="E389" s="1" t="s">
        <v>24</v>
      </c>
      <c r="F389" s="1" t="s">
        <v>15</v>
      </c>
      <c r="G389" s="1" t="s">
        <v>16</v>
      </c>
      <c r="H389" s="1" t="s">
        <v>39</v>
      </c>
      <c r="I389" s="1" t="s">
        <v>41</v>
      </c>
      <c r="J389">
        <v>45</v>
      </c>
      <c r="K389">
        <v>14</v>
      </c>
      <c r="L389" s="1" t="s">
        <v>30</v>
      </c>
    </row>
    <row r="390" spans="1:12" x14ac:dyDescent="0.3">
      <c r="A390" s="1" t="s">
        <v>823</v>
      </c>
      <c r="B390" s="2">
        <v>46067</v>
      </c>
      <c r="C390" s="2">
        <v>46128</v>
      </c>
      <c r="D390" s="1" t="s">
        <v>23</v>
      </c>
      <c r="E390" s="1" t="s">
        <v>24</v>
      </c>
      <c r="F390" s="1" t="s">
        <v>15</v>
      </c>
      <c r="G390" s="1" t="s">
        <v>16</v>
      </c>
      <c r="H390" s="1" t="s">
        <v>43</v>
      </c>
      <c r="I390" s="1" t="s">
        <v>18</v>
      </c>
      <c r="J390">
        <v>45</v>
      </c>
      <c r="K390">
        <v>61</v>
      </c>
      <c r="L390" s="1" t="s">
        <v>80</v>
      </c>
    </row>
    <row r="391" spans="1:12" x14ac:dyDescent="0.3">
      <c r="A391" s="1" t="s">
        <v>1243</v>
      </c>
      <c r="B391" s="2">
        <v>46067</v>
      </c>
      <c r="C391" s="2">
        <v>46089</v>
      </c>
      <c r="D391" s="1" t="s">
        <v>23</v>
      </c>
      <c r="E391" s="1" t="s">
        <v>24</v>
      </c>
      <c r="F391" s="1" t="s">
        <v>38</v>
      </c>
      <c r="G391" s="1" t="s">
        <v>16</v>
      </c>
      <c r="H391" s="1" t="s">
        <v>43</v>
      </c>
      <c r="I391" s="1" t="s">
        <v>26</v>
      </c>
      <c r="J391">
        <v>30</v>
      </c>
      <c r="K391">
        <v>22</v>
      </c>
      <c r="L391" s="1" t="s">
        <v>19</v>
      </c>
    </row>
    <row r="392" spans="1:12" x14ac:dyDescent="0.3">
      <c r="A392" s="1" t="s">
        <v>1866</v>
      </c>
      <c r="B392" s="2">
        <v>46067</v>
      </c>
      <c r="C392" s="2">
        <v>46089</v>
      </c>
      <c r="D392" s="1" t="s">
        <v>32</v>
      </c>
      <c r="E392" s="1" t="s">
        <v>24</v>
      </c>
      <c r="F392" s="1" t="s">
        <v>15</v>
      </c>
      <c r="G392" s="1" t="s">
        <v>16</v>
      </c>
      <c r="H392" s="1" t="s">
        <v>34</v>
      </c>
      <c r="I392" s="1" t="s">
        <v>26</v>
      </c>
      <c r="J392">
        <v>30</v>
      </c>
      <c r="K392">
        <v>22</v>
      </c>
      <c r="L392" s="1" t="s">
        <v>19</v>
      </c>
    </row>
    <row r="393" spans="1:12" x14ac:dyDescent="0.3">
      <c r="A393" s="1" t="s">
        <v>1935</v>
      </c>
      <c r="B393" s="2">
        <v>46067</v>
      </c>
      <c r="C393" s="2">
        <v>46136</v>
      </c>
      <c r="D393" s="1" t="s">
        <v>13</v>
      </c>
      <c r="E393" s="1" t="s">
        <v>14</v>
      </c>
      <c r="F393" s="1" t="s">
        <v>38</v>
      </c>
      <c r="G393" s="1" t="s">
        <v>16</v>
      </c>
      <c r="H393" s="1" t="s">
        <v>17</v>
      </c>
      <c r="I393" s="1" t="s">
        <v>26</v>
      </c>
      <c r="J393">
        <v>30</v>
      </c>
      <c r="K393">
        <v>69</v>
      </c>
      <c r="L393" s="1" t="s">
        <v>80</v>
      </c>
    </row>
    <row r="394" spans="1:12" x14ac:dyDescent="0.3">
      <c r="A394" s="1" t="s">
        <v>2043</v>
      </c>
      <c r="B394" s="2">
        <v>46067</v>
      </c>
      <c r="C394" s="2">
        <v>46114</v>
      </c>
      <c r="D394" s="1" t="s">
        <v>32</v>
      </c>
      <c r="E394" s="1" t="s">
        <v>14</v>
      </c>
      <c r="F394" s="1" t="s">
        <v>15</v>
      </c>
      <c r="G394" s="1" t="s">
        <v>16</v>
      </c>
      <c r="H394" s="1" t="s">
        <v>71</v>
      </c>
      <c r="I394" s="1" t="s">
        <v>18</v>
      </c>
      <c r="J394">
        <v>15</v>
      </c>
      <c r="K394">
        <v>47</v>
      </c>
      <c r="L394" s="1" t="s">
        <v>44</v>
      </c>
    </row>
    <row r="395" spans="1:12" x14ac:dyDescent="0.3">
      <c r="A395" s="1" t="s">
        <v>2269</v>
      </c>
      <c r="B395" s="2">
        <v>46067</v>
      </c>
      <c r="C395" s="2">
        <v>46096</v>
      </c>
      <c r="D395" s="1" t="s">
        <v>13</v>
      </c>
      <c r="E395" s="1" t="s">
        <v>14</v>
      </c>
      <c r="F395" s="1" t="s">
        <v>15</v>
      </c>
      <c r="G395" s="1" t="s">
        <v>16</v>
      </c>
      <c r="H395" s="1" t="s">
        <v>17</v>
      </c>
      <c r="I395" s="1" t="s">
        <v>26</v>
      </c>
      <c r="J395">
        <v>15</v>
      </c>
      <c r="K395">
        <v>29</v>
      </c>
      <c r="L395" s="1" t="s">
        <v>21</v>
      </c>
    </row>
    <row r="396" spans="1:12" x14ac:dyDescent="0.3">
      <c r="A396" s="1" t="s">
        <v>2346</v>
      </c>
      <c r="B396" s="2">
        <v>46067</v>
      </c>
      <c r="C396" s="2">
        <v>46131</v>
      </c>
      <c r="D396" s="1" t="s">
        <v>28</v>
      </c>
      <c r="E396" s="1" t="s">
        <v>14</v>
      </c>
      <c r="F396" s="1" t="s">
        <v>15</v>
      </c>
      <c r="G396" s="1" t="s">
        <v>33</v>
      </c>
      <c r="H396" s="1" t="s">
        <v>54</v>
      </c>
      <c r="I396" s="1" t="s">
        <v>41</v>
      </c>
      <c r="J396">
        <v>15</v>
      </c>
      <c r="K396">
        <v>64</v>
      </c>
      <c r="L396" s="1" t="s">
        <v>80</v>
      </c>
    </row>
    <row r="397" spans="1:12" x14ac:dyDescent="0.3">
      <c r="A397" s="1" t="s">
        <v>2694</v>
      </c>
      <c r="B397" s="2">
        <v>46067</v>
      </c>
      <c r="C397" s="2">
        <v>46107</v>
      </c>
      <c r="D397" s="1" t="s">
        <v>23</v>
      </c>
      <c r="E397" s="1" t="s">
        <v>14</v>
      </c>
      <c r="F397" s="1" t="s">
        <v>15</v>
      </c>
      <c r="G397" s="1" t="s">
        <v>16</v>
      </c>
      <c r="H397" s="1" t="s">
        <v>25</v>
      </c>
      <c r="I397" s="1" t="s">
        <v>18</v>
      </c>
      <c r="J397">
        <v>15</v>
      </c>
      <c r="K397">
        <v>40</v>
      </c>
      <c r="L397" s="1" t="s">
        <v>21</v>
      </c>
    </row>
    <row r="398" spans="1:12" x14ac:dyDescent="0.3">
      <c r="A398" s="1" t="s">
        <v>2752</v>
      </c>
      <c r="B398" s="2">
        <v>46066</v>
      </c>
      <c r="C398" s="2">
        <v>46097</v>
      </c>
      <c r="D398" s="1" t="s">
        <v>37</v>
      </c>
      <c r="E398" s="1" t="s">
        <v>24</v>
      </c>
      <c r="F398" s="1" t="s">
        <v>38</v>
      </c>
      <c r="G398" s="1" t="s">
        <v>53</v>
      </c>
      <c r="H398" s="1" t="s">
        <v>49</v>
      </c>
      <c r="I398" s="1" t="s">
        <v>26</v>
      </c>
      <c r="J398">
        <v>30</v>
      </c>
      <c r="K398">
        <v>31</v>
      </c>
      <c r="L398" s="1" t="s">
        <v>21</v>
      </c>
    </row>
    <row r="399" spans="1:12" x14ac:dyDescent="0.3">
      <c r="A399" s="1" t="s">
        <v>438</v>
      </c>
      <c r="B399" s="2">
        <v>46066</v>
      </c>
      <c r="C399" s="2">
        <v>46082</v>
      </c>
      <c r="D399" s="1" t="s">
        <v>37</v>
      </c>
      <c r="E399" s="1" t="s">
        <v>24</v>
      </c>
      <c r="F399" s="1" t="s">
        <v>15</v>
      </c>
      <c r="G399" s="1" t="s">
        <v>16</v>
      </c>
      <c r="H399" s="1" t="s">
        <v>39</v>
      </c>
      <c r="I399" s="1" t="s">
        <v>26</v>
      </c>
      <c r="J399">
        <v>45</v>
      </c>
      <c r="K399">
        <v>16</v>
      </c>
      <c r="L399" s="1" t="s">
        <v>19</v>
      </c>
    </row>
    <row r="400" spans="1:12" x14ac:dyDescent="0.3">
      <c r="A400" s="1" t="s">
        <v>600</v>
      </c>
      <c r="B400" s="2">
        <v>46066</v>
      </c>
      <c r="C400" s="2">
        <v>46102</v>
      </c>
      <c r="D400" s="1" t="s">
        <v>23</v>
      </c>
      <c r="E400" s="1" t="s">
        <v>14</v>
      </c>
      <c r="F400" s="1" t="s">
        <v>38</v>
      </c>
      <c r="G400" s="1" t="s">
        <v>16</v>
      </c>
      <c r="H400" s="1" t="s">
        <v>43</v>
      </c>
      <c r="I400" s="1" t="s">
        <v>18</v>
      </c>
      <c r="J400">
        <v>15</v>
      </c>
      <c r="K400">
        <v>36</v>
      </c>
      <c r="L400" s="1" t="s">
        <v>21</v>
      </c>
    </row>
    <row r="401" spans="1:12" x14ac:dyDescent="0.3">
      <c r="A401" s="1" t="s">
        <v>1287</v>
      </c>
      <c r="B401" s="2">
        <v>46066</v>
      </c>
      <c r="C401" s="2">
        <v>46085</v>
      </c>
      <c r="D401" s="1" t="s">
        <v>32</v>
      </c>
      <c r="E401" s="1" t="s">
        <v>24</v>
      </c>
      <c r="F401" s="1" t="s">
        <v>38</v>
      </c>
      <c r="G401" s="1" t="s">
        <v>33</v>
      </c>
      <c r="H401" s="1" t="s">
        <v>71</v>
      </c>
      <c r="I401" s="1" t="s">
        <v>26</v>
      </c>
      <c r="J401">
        <v>30</v>
      </c>
      <c r="K401">
        <v>19</v>
      </c>
      <c r="L401" s="1" t="s">
        <v>19</v>
      </c>
    </row>
    <row r="402" spans="1:12" x14ac:dyDescent="0.3">
      <c r="A402" s="1" t="s">
        <v>1450</v>
      </c>
      <c r="B402" s="2">
        <v>46066</v>
      </c>
      <c r="C402" s="2">
        <v>46088</v>
      </c>
      <c r="D402" s="1" t="s">
        <v>28</v>
      </c>
      <c r="E402" s="1" t="s">
        <v>24</v>
      </c>
      <c r="F402" s="1" t="s">
        <v>15</v>
      </c>
      <c r="G402" s="1" t="s">
        <v>16</v>
      </c>
      <c r="H402" s="1" t="s">
        <v>54</v>
      </c>
      <c r="I402" s="1" t="s">
        <v>26</v>
      </c>
      <c r="J402">
        <v>30</v>
      </c>
      <c r="K402">
        <v>22</v>
      </c>
      <c r="L402" s="1" t="s">
        <v>19</v>
      </c>
    </row>
    <row r="403" spans="1:12" x14ac:dyDescent="0.3">
      <c r="A403" s="1" t="s">
        <v>1700</v>
      </c>
      <c r="B403" s="2">
        <v>46066</v>
      </c>
      <c r="C403" s="2">
        <v>46122</v>
      </c>
      <c r="D403" s="1" t="s">
        <v>23</v>
      </c>
      <c r="E403" s="1" t="s">
        <v>14</v>
      </c>
      <c r="F403" s="1" t="s">
        <v>15</v>
      </c>
      <c r="G403" s="1" t="s">
        <v>16</v>
      </c>
      <c r="H403" s="1" t="s">
        <v>43</v>
      </c>
      <c r="I403" s="1" t="s">
        <v>18</v>
      </c>
      <c r="J403">
        <v>15</v>
      </c>
      <c r="K403">
        <v>56</v>
      </c>
      <c r="L403" s="1" t="s">
        <v>44</v>
      </c>
    </row>
    <row r="404" spans="1:12" x14ac:dyDescent="0.3">
      <c r="A404" s="1" t="s">
        <v>1940</v>
      </c>
      <c r="B404" s="2">
        <v>46066</v>
      </c>
      <c r="C404" s="2">
        <v>46084</v>
      </c>
      <c r="D404" s="1" t="s">
        <v>13</v>
      </c>
      <c r="E404" s="1" t="s">
        <v>24</v>
      </c>
      <c r="F404" s="1" t="s">
        <v>15</v>
      </c>
      <c r="G404" s="1" t="s">
        <v>33</v>
      </c>
      <c r="H404" s="1" t="s">
        <v>47</v>
      </c>
      <c r="I404" s="1" t="s">
        <v>41</v>
      </c>
      <c r="J404">
        <v>30</v>
      </c>
      <c r="K404">
        <v>18</v>
      </c>
      <c r="L404" s="1" t="s">
        <v>19</v>
      </c>
    </row>
    <row r="405" spans="1:12" x14ac:dyDescent="0.3">
      <c r="A405" s="1" t="s">
        <v>1985</v>
      </c>
      <c r="B405" s="2">
        <v>46066</v>
      </c>
      <c r="C405" s="2">
        <v>46112</v>
      </c>
      <c r="D405" s="1" t="s">
        <v>32</v>
      </c>
      <c r="E405" s="1" t="s">
        <v>24</v>
      </c>
      <c r="F405" s="1" t="s">
        <v>15</v>
      </c>
      <c r="G405" s="1" t="s">
        <v>53</v>
      </c>
      <c r="H405" s="1" t="s">
        <v>34</v>
      </c>
      <c r="I405" s="1" t="s">
        <v>26</v>
      </c>
      <c r="J405">
        <v>45</v>
      </c>
      <c r="K405">
        <v>46</v>
      </c>
      <c r="L405" s="1" t="s">
        <v>44</v>
      </c>
    </row>
    <row r="406" spans="1:12" x14ac:dyDescent="0.3">
      <c r="A406" s="1" t="s">
        <v>2184</v>
      </c>
      <c r="B406" s="2">
        <v>46066</v>
      </c>
      <c r="C406" s="2">
        <v>46084</v>
      </c>
      <c r="D406" s="1" t="s">
        <v>28</v>
      </c>
      <c r="E406" s="1" t="s">
        <v>14</v>
      </c>
      <c r="F406" s="1" t="s">
        <v>15</v>
      </c>
      <c r="G406" s="1" t="s">
        <v>16</v>
      </c>
      <c r="H406" s="1" t="s">
        <v>54</v>
      </c>
      <c r="I406" s="1" t="s">
        <v>41</v>
      </c>
      <c r="J406">
        <v>15</v>
      </c>
      <c r="K406">
        <v>18</v>
      </c>
      <c r="L406" s="1" t="s">
        <v>19</v>
      </c>
    </row>
    <row r="407" spans="1:12" x14ac:dyDescent="0.3">
      <c r="A407" s="1" t="s">
        <v>2428</v>
      </c>
      <c r="B407" s="2">
        <v>46066</v>
      </c>
      <c r="C407" s="2">
        <v>46100</v>
      </c>
      <c r="D407" s="1" t="s">
        <v>23</v>
      </c>
      <c r="E407" s="1" t="s">
        <v>14</v>
      </c>
      <c r="F407" s="1" t="s">
        <v>15</v>
      </c>
      <c r="G407" s="1" t="s">
        <v>16</v>
      </c>
      <c r="H407" s="1" t="s">
        <v>25</v>
      </c>
      <c r="I407" s="1" t="s">
        <v>18</v>
      </c>
      <c r="J407">
        <v>15</v>
      </c>
      <c r="K407">
        <v>34</v>
      </c>
      <c r="L407" s="1" t="s">
        <v>21</v>
      </c>
    </row>
    <row r="408" spans="1:12" x14ac:dyDescent="0.3">
      <c r="A408" s="1" t="s">
        <v>963</v>
      </c>
      <c r="B408" s="2">
        <v>46065</v>
      </c>
      <c r="C408" s="2">
        <v>46132</v>
      </c>
      <c r="D408" s="1" t="s">
        <v>32</v>
      </c>
      <c r="E408" s="1" t="s">
        <v>14</v>
      </c>
      <c r="F408" s="1" t="s">
        <v>15</v>
      </c>
      <c r="G408" s="1" t="s">
        <v>53</v>
      </c>
      <c r="H408" s="1" t="s">
        <v>71</v>
      </c>
      <c r="I408" s="1" t="s">
        <v>18</v>
      </c>
      <c r="J408">
        <v>30</v>
      </c>
      <c r="K408">
        <v>67</v>
      </c>
      <c r="L408" s="1" t="s">
        <v>80</v>
      </c>
    </row>
    <row r="409" spans="1:12" x14ac:dyDescent="0.3">
      <c r="A409" s="1" t="s">
        <v>2147</v>
      </c>
      <c r="B409" s="2">
        <v>46065</v>
      </c>
      <c r="C409" s="2">
        <v>46096</v>
      </c>
      <c r="D409" s="1" t="s">
        <v>13</v>
      </c>
      <c r="E409" s="1" t="s">
        <v>24</v>
      </c>
      <c r="F409" s="1" t="s">
        <v>15</v>
      </c>
      <c r="G409" s="1" t="s">
        <v>16</v>
      </c>
      <c r="H409" s="1" t="s">
        <v>47</v>
      </c>
      <c r="I409" s="1" t="s">
        <v>26</v>
      </c>
      <c r="J409">
        <v>30</v>
      </c>
      <c r="K409">
        <v>31</v>
      </c>
      <c r="L409" s="1" t="s">
        <v>21</v>
      </c>
    </row>
    <row r="410" spans="1:12" x14ac:dyDescent="0.3">
      <c r="A410" s="1" t="s">
        <v>2432</v>
      </c>
      <c r="B410" s="2">
        <v>46065</v>
      </c>
      <c r="C410" s="2">
        <v>46099</v>
      </c>
      <c r="D410" s="1" t="s">
        <v>32</v>
      </c>
      <c r="E410" s="1" t="s">
        <v>24</v>
      </c>
      <c r="F410" s="1" t="s">
        <v>38</v>
      </c>
      <c r="G410" s="1" t="s">
        <v>16</v>
      </c>
      <c r="H410" s="1" t="s">
        <v>71</v>
      </c>
      <c r="I410" s="1" t="s">
        <v>18</v>
      </c>
      <c r="J410">
        <v>30</v>
      </c>
      <c r="K410">
        <v>34</v>
      </c>
      <c r="L410" s="1" t="s">
        <v>21</v>
      </c>
    </row>
    <row r="411" spans="1:12" x14ac:dyDescent="0.3">
      <c r="A411" s="1" t="s">
        <v>2798</v>
      </c>
      <c r="B411" s="2">
        <v>46065</v>
      </c>
      <c r="C411" s="2">
        <v>46099</v>
      </c>
      <c r="D411" s="1" t="s">
        <v>28</v>
      </c>
      <c r="E411" s="1" t="s">
        <v>14</v>
      </c>
      <c r="F411" s="1" t="s">
        <v>15</v>
      </c>
      <c r="G411" s="1" t="s">
        <v>16</v>
      </c>
      <c r="H411" s="1" t="s">
        <v>29</v>
      </c>
      <c r="I411" s="1" t="s">
        <v>26</v>
      </c>
      <c r="J411">
        <v>30</v>
      </c>
      <c r="K411">
        <v>34</v>
      </c>
      <c r="L411" s="1" t="s">
        <v>21</v>
      </c>
    </row>
    <row r="412" spans="1:12" x14ac:dyDescent="0.3">
      <c r="A412" s="1" t="s">
        <v>2839</v>
      </c>
      <c r="B412" s="2">
        <v>46065</v>
      </c>
      <c r="C412" s="2">
        <v>46115</v>
      </c>
      <c r="D412" s="1" t="s">
        <v>28</v>
      </c>
      <c r="E412" s="1" t="s">
        <v>14</v>
      </c>
      <c r="F412" s="1" t="s">
        <v>15</v>
      </c>
      <c r="G412" s="1" t="s">
        <v>16</v>
      </c>
      <c r="H412" s="1" t="s">
        <v>29</v>
      </c>
      <c r="I412" s="1" t="s">
        <v>18</v>
      </c>
      <c r="J412">
        <v>15</v>
      </c>
      <c r="K412">
        <v>50</v>
      </c>
      <c r="L412" s="1" t="s">
        <v>44</v>
      </c>
    </row>
    <row r="413" spans="1:12" x14ac:dyDescent="0.3">
      <c r="A413" s="1" t="s">
        <v>2921</v>
      </c>
      <c r="B413" s="2">
        <v>46065</v>
      </c>
      <c r="C413" s="2">
        <v>46074</v>
      </c>
      <c r="D413" s="1" t="s">
        <v>23</v>
      </c>
      <c r="E413" s="1" t="s">
        <v>14</v>
      </c>
      <c r="F413" s="1" t="s">
        <v>15</v>
      </c>
      <c r="G413" s="1" t="s">
        <v>16</v>
      </c>
      <c r="H413" s="1" t="s">
        <v>43</v>
      </c>
      <c r="I413" s="1" t="s">
        <v>26</v>
      </c>
      <c r="J413">
        <v>15</v>
      </c>
      <c r="K413">
        <v>9</v>
      </c>
      <c r="L413" s="1" t="s">
        <v>30</v>
      </c>
    </row>
    <row r="414" spans="1:12" x14ac:dyDescent="0.3">
      <c r="A414" s="1" t="s">
        <v>3202</v>
      </c>
      <c r="B414" s="2">
        <v>46065</v>
      </c>
      <c r="C414" s="2">
        <v>46102</v>
      </c>
      <c r="D414" s="1" t="s">
        <v>28</v>
      </c>
      <c r="E414" s="1" t="s">
        <v>14</v>
      </c>
      <c r="F414" s="1" t="s">
        <v>15</v>
      </c>
      <c r="G414" s="1" t="s">
        <v>16</v>
      </c>
      <c r="H414" s="1" t="s">
        <v>29</v>
      </c>
      <c r="I414" s="1" t="s">
        <v>26</v>
      </c>
      <c r="J414">
        <v>15</v>
      </c>
      <c r="K414">
        <v>37</v>
      </c>
      <c r="L414" s="1" t="s">
        <v>21</v>
      </c>
    </row>
    <row r="415" spans="1:12" x14ac:dyDescent="0.3">
      <c r="A415" s="1" t="s">
        <v>1065</v>
      </c>
      <c r="B415" s="2">
        <v>46064</v>
      </c>
      <c r="C415" s="2">
        <v>46097</v>
      </c>
      <c r="D415" s="1" t="s">
        <v>37</v>
      </c>
      <c r="E415" s="1" t="s">
        <v>24</v>
      </c>
      <c r="F415" s="1" t="s">
        <v>15</v>
      </c>
      <c r="G415" s="1" t="s">
        <v>16</v>
      </c>
      <c r="H415" s="1" t="s">
        <v>39</v>
      </c>
      <c r="I415" s="1" t="s">
        <v>41</v>
      </c>
      <c r="J415">
        <v>30</v>
      </c>
      <c r="K415">
        <v>33</v>
      </c>
      <c r="L415" s="1" t="s">
        <v>21</v>
      </c>
    </row>
    <row r="416" spans="1:12" x14ac:dyDescent="0.3">
      <c r="A416" s="1" t="s">
        <v>534</v>
      </c>
      <c r="B416" s="2">
        <v>46063</v>
      </c>
      <c r="C416" s="2">
        <v>46075</v>
      </c>
      <c r="D416" s="1" t="s">
        <v>13</v>
      </c>
      <c r="E416" s="1" t="s">
        <v>14</v>
      </c>
      <c r="F416" s="1" t="s">
        <v>15</v>
      </c>
      <c r="G416" s="1" t="s">
        <v>53</v>
      </c>
      <c r="H416" s="1" t="s">
        <v>47</v>
      </c>
      <c r="I416" s="1" t="s">
        <v>26</v>
      </c>
      <c r="J416">
        <v>30</v>
      </c>
      <c r="K416">
        <v>12</v>
      </c>
      <c r="L416" s="1" t="s">
        <v>30</v>
      </c>
    </row>
    <row r="417" spans="1:12" x14ac:dyDescent="0.3">
      <c r="A417" s="1" t="s">
        <v>546</v>
      </c>
      <c r="B417" s="2">
        <v>46063</v>
      </c>
      <c r="C417" s="2">
        <v>46104</v>
      </c>
      <c r="D417" s="1" t="s">
        <v>32</v>
      </c>
      <c r="E417" s="1" t="s">
        <v>24</v>
      </c>
      <c r="F417" s="1" t="s">
        <v>15</v>
      </c>
      <c r="G417" s="1" t="s">
        <v>16</v>
      </c>
      <c r="H417" s="1" t="s">
        <v>71</v>
      </c>
      <c r="I417" s="1" t="s">
        <v>18</v>
      </c>
      <c r="J417">
        <v>30</v>
      </c>
      <c r="K417">
        <v>41</v>
      </c>
      <c r="L417" s="1" t="s">
        <v>21</v>
      </c>
    </row>
    <row r="418" spans="1:12" x14ac:dyDescent="0.3">
      <c r="A418" s="1" t="s">
        <v>1256</v>
      </c>
      <c r="B418" s="2">
        <v>46063</v>
      </c>
      <c r="C418" s="2">
        <v>46095</v>
      </c>
      <c r="D418" s="1" t="s">
        <v>23</v>
      </c>
      <c r="E418" s="1" t="s">
        <v>14</v>
      </c>
      <c r="F418" s="1" t="s">
        <v>15</v>
      </c>
      <c r="G418" s="1" t="s">
        <v>16</v>
      </c>
      <c r="H418" s="1" t="s">
        <v>43</v>
      </c>
      <c r="I418" s="1" t="s">
        <v>18</v>
      </c>
      <c r="J418">
        <v>15</v>
      </c>
      <c r="K418">
        <v>32</v>
      </c>
      <c r="L418" s="1" t="s">
        <v>21</v>
      </c>
    </row>
    <row r="419" spans="1:12" x14ac:dyDescent="0.3">
      <c r="A419" s="1" t="s">
        <v>1322</v>
      </c>
      <c r="B419" s="2">
        <v>46063</v>
      </c>
      <c r="C419" s="2">
        <v>46099</v>
      </c>
      <c r="D419" s="1" t="s">
        <v>23</v>
      </c>
      <c r="E419" s="1" t="s">
        <v>14</v>
      </c>
      <c r="F419" s="1" t="s">
        <v>15</v>
      </c>
      <c r="G419" s="1" t="s">
        <v>16</v>
      </c>
      <c r="H419" s="1" t="s">
        <v>43</v>
      </c>
      <c r="I419" s="1" t="s">
        <v>18</v>
      </c>
      <c r="J419">
        <v>15</v>
      </c>
      <c r="K419">
        <v>36</v>
      </c>
      <c r="L419" s="1" t="s">
        <v>21</v>
      </c>
    </row>
    <row r="420" spans="1:12" x14ac:dyDescent="0.3">
      <c r="A420" s="1" t="s">
        <v>1367</v>
      </c>
      <c r="B420" s="2">
        <v>46063</v>
      </c>
      <c r="C420" s="2">
        <v>46097</v>
      </c>
      <c r="D420" s="1" t="s">
        <v>28</v>
      </c>
      <c r="E420" s="1" t="s">
        <v>14</v>
      </c>
      <c r="F420" s="1" t="s">
        <v>38</v>
      </c>
      <c r="G420" s="1" t="s">
        <v>16</v>
      </c>
      <c r="H420" s="1" t="s">
        <v>54</v>
      </c>
      <c r="I420" s="1" t="s">
        <v>26</v>
      </c>
      <c r="J420">
        <v>15</v>
      </c>
      <c r="K420">
        <v>34</v>
      </c>
      <c r="L420" s="1" t="s">
        <v>21</v>
      </c>
    </row>
    <row r="421" spans="1:12" x14ac:dyDescent="0.3">
      <c r="A421" s="1" t="s">
        <v>1776</v>
      </c>
      <c r="B421" s="2">
        <v>46063</v>
      </c>
      <c r="C421" s="2">
        <v>46107</v>
      </c>
      <c r="D421" s="1" t="s">
        <v>13</v>
      </c>
      <c r="E421" s="1" t="s">
        <v>24</v>
      </c>
      <c r="F421" s="1" t="s">
        <v>15</v>
      </c>
      <c r="G421" s="1" t="s">
        <v>16</v>
      </c>
      <c r="H421" s="1" t="s">
        <v>17</v>
      </c>
      <c r="I421" s="1" t="s">
        <v>41</v>
      </c>
      <c r="J421">
        <v>45</v>
      </c>
      <c r="K421">
        <v>44</v>
      </c>
      <c r="L421" s="1" t="s">
        <v>44</v>
      </c>
    </row>
    <row r="422" spans="1:12" x14ac:dyDescent="0.3">
      <c r="A422" s="1" t="s">
        <v>2600</v>
      </c>
      <c r="B422" s="2">
        <v>46063</v>
      </c>
      <c r="C422" s="2">
        <v>46115</v>
      </c>
      <c r="D422" s="1" t="s">
        <v>28</v>
      </c>
      <c r="E422" s="1" t="s">
        <v>24</v>
      </c>
      <c r="F422" s="1" t="s">
        <v>15</v>
      </c>
      <c r="G422" s="1" t="s">
        <v>16</v>
      </c>
      <c r="H422" s="1" t="s">
        <v>54</v>
      </c>
      <c r="I422" s="1" t="s">
        <v>26</v>
      </c>
      <c r="J422">
        <v>30</v>
      </c>
      <c r="K422">
        <v>52</v>
      </c>
      <c r="L422" s="1" t="s">
        <v>44</v>
      </c>
    </row>
    <row r="423" spans="1:12" x14ac:dyDescent="0.3">
      <c r="A423" s="1" t="s">
        <v>2860</v>
      </c>
      <c r="B423" s="2">
        <v>46063</v>
      </c>
      <c r="C423" s="2">
        <v>46095</v>
      </c>
      <c r="D423" s="1" t="s">
        <v>28</v>
      </c>
      <c r="E423" s="1" t="s">
        <v>14</v>
      </c>
      <c r="F423" s="1" t="s">
        <v>15</v>
      </c>
      <c r="G423" s="1" t="s">
        <v>53</v>
      </c>
      <c r="H423" s="1" t="s">
        <v>29</v>
      </c>
      <c r="I423" s="1" t="s">
        <v>18</v>
      </c>
      <c r="J423">
        <v>15</v>
      </c>
      <c r="K423">
        <v>32</v>
      </c>
      <c r="L423" s="1" t="s">
        <v>21</v>
      </c>
    </row>
    <row r="424" spans="1:12" x14ac:dyDescent="0.3">
      <c r="A424" s="1" t="s">
        <v>3162</v>
      </c>
      <c r="B424" s="2">
        <v>46063</v>
      </c>
      <c r="C424" s="2">
        <v>46078</v>
      </c>
      <c r="D424" s="1" t="s">
        <v>28</v>
      </c>
      <c r="E424" s="1" t="s">
        <v>24</v>
      </c>
      <c r="F424" s="1" t="s">
        <v>15</v>
      </c>
      <c r="G424" s="1" t="s">
        <v>53</v>
      </c>
      <c r="H424" s="1" t="s">
        <v>54</v>
      </c>
      <c r="I424" s="1" t="s">
        <v>41</v>
      </c>
      <c r="J424">
        <v>45</v>
      </c>
      <c r="K424">
        <v>15</v>
      </c>
      <c r="L424" s="1" t="s">
        <v>19</v>
      </c>
    </row>
    <row r="425" spans="1:12" x14ac:dyDescent="0.3">
      <c r="A425" s="1" t="s">
        <v>469</v>
      </c>
      <c r="B425" s="2">
        <v>46062</v>
      </c>
      <c r="C425" s="2">
        <v>46100</v>
      </c>
      <c r="D425" s="1" t="s">
        <v>23</v>
      </c>
      <c r="E425" s="1" t="s">
        <v>14</v>
      </c>
      <c r="F425" s="1" t="s">
        <v>15</v>
      </c>
      <c r="G425" s="1" t="s">
        <v>16</v>
      </c>
      <c r="H425" s="1" t="s">
        <v>25</v>
      </c>
      <c r="I425" s="1" t="s">
        <v>26</v>
      </c>
      <c r="J425">
        <v>15</v>
      </c>
      <c r="K425">
        <v>38</v>
      </c>
      <c r="L425" s="1" t="s">
        <v>21</v>
      </c>
    </row>
    <row r="426" spans="1:12" x14ac:dyDescent="0.3">
      <c r="A426" s="1" t="s">
        <v>871</v>
      </c>
      <c r="B426" s="2">
        <v>46062</v>
      </c>
      <c r="C426" s="2">
        <v>46117</v>
      </c>
      <c r="D426" s="1" t="s">
        <v>37</v>
      </c>
      <c r="E426" s="1" t="s">
        <v>24</v>
      </c>
      <c r="F426" s="1" t="s">
        <v>15</v>
      </c>
      <c r="G426" s="1" t="s">
        <v>16</v>
      </c>
      <c r="H426" s="1" t="s">
        <v>39</v>
      </c>
      <c r="I426" s="1" t="s">
        <v>26</v>
      </c>
      <c r="J426">
        <v>30</v>
      </c>
      <c r="K426">
        <v>55</v>
      </c>
      <c r="L426" s="1" t="s">
        <v>44</v>
      </c>
    </row>
    <row r="427" spans="1:12" x14ac:dyDescent="0.3">
      <c r="A427" s="1" t="s">
        <v>2945</v>
      </c>
      <c r="B427" s="2">
        <v>46062</v>
      </c>
      <c r="C427" s="2">
        <v>46116</v>
      </c>
      <c r="D427" s="1" t="s">
        <v>37</v>
      </c>
      <c r="E427" s="1" t="s">
        <v>24</v>
      </c>
      <c r="F427" s="1" t="s">
        <v>15</v>
      </c>
      <c r="G427" s="1" t="s">
        <v>53</v>
      </c>
      <c r="H427" s="1" t="s">
        <v>49</v>
      </c>
      <c r="I427" s="1" t="s">
        <v>41</v>
      </c>
      <c r="J427">
        <v>45</v>
      </c>
      <c r="K427">
        <v>54</v>
      </c>
      <c r="L427" s="1" t="s">
        <v>44</v>
      </c>
    </row>
    <row r="428" spans="1:12" x14ac:dyDescent="0.3">
      <c r="A428" s="1" t="s">
        <v>1528</v>
      </c>
      <c r="B428" s="2">
        <v>46062</v>
      </c>
      <c r="C428" s="2">
        <v>46090</v>
      </c>
      <c r="D428" s="1" t="s">
        <v>23</v>
      </c>
      <c r="E428" s="1" t="s">
        <v>14</v>
      </c>
      <c r="F428" s="1" t="s">
        <v>15</v>
      </c>
      <c r="G428" s="1" t="s">
        <v>53</v>
      </c>
      <c r="H428" s="1" t="s">
        <v>43</v>
      </c>
      <c r="I428" s="1" t="s">
        <v>41</v>
      </c>
      <c r="J428">
        <v>15</v>
      </c>
      <c r="K428">
        <v>28</v>
      </c>
      <c r="L428" s="1" t="s">
        <v>19</v>
      </c>
    </row>
    <row r="429" spans="1:12" x14ac:dyDescent="0.3">
      <c r="A429" s="1" t="s">
        <v>1551</v>
      </c>
      <c r="B429" s="2">
        <v>46062</v>
      </c>
      <c r="C429" s="2">
        <v>46134</v>
      </c>
      <c r="D429" s="1" t="s">
        <v>13</v>
      </c>
      <c r="E429" s="1" t="s">
        <v>24</v>
      </c>
      <c r="F429" s="1" t="s">
        <v>15</v>
      </c>
      <c r="G429" s="1" t="s">
        <v>16</v>
      </c>
      <c r="H429" s="1" t="s">
        <v>47</v>
      </c>
      <c r="I429" s="1" t="s">
        <v>26</v>
      </c>
      <c r="J429">
        <v>45</v>
      </c>
      <c r="K429">
        <v>72</v>
      </c>
      <c r="L429" s="1" t="s">
        <v>80</v>
      </c>
    </row>
    <row r="430" spans="1:12" x14ac:dyDescent="0.3">
      <c r="A430" s="1" t="s">
        <v>1563</v>
      </c>
      <c r="B430" s="2">
        <v>46062</v>
      </c>
      <c r="C430" s="2">
        <v>46088</v>
      </c>
      <c r="D430" s="1" t="s">
        <v>28</v>
      </c>
      <c r="E430" s="1" t="s">
        <v>14</v>
      </c>
      <c r="F430" s="1" t="s">
        <v>15</v>
      </c>
      <c r="G430" s="1" t="s">
        <v>16</v>
      </c>
      <c r="H430" s="1" t="s">
        <v>54</v>
      </c>
      <c r="I430" s="1" t="s">
        <v>18</v>
      </c>
      <c r="J430">
        <v>30</v>
      </c>
      <c r="K430">
        <v>26</v>
      </c>
      <c r="L430" s="1" t="s">
        <v>19</v>
      </c>
    </row>
    <row r="431" spans="1:12" x14ac:dyDescent="0.3">
      <c r="A431" s="1" t="s">
        <v>2643</v>
      </c>
      <c r="B431" s="2">
        <v>46062</v>
      </c>
      <c r="C431" s="2">
        <v>46073</v>
      </c>
      <c r="D431" s="1" t="s">
        <v>28</v>
      </c>
      <c r="E431" s="1" t="s">
        <v>24</v>
      </c>
      <c r="F431" s="1" t="s">
        <v>15</v>
      </c>
      <c r="G431" s="1" t="s">
        <v>33</v>
      </c>
      <c r="H431" s="1" t="s">
        <v>29</v>
      </c>
      <c r="I431" s="1" t="s">
        <v>18</v>
      </c>
      <c r="J431">
        <v>45</v>
      </c>
      <c r="K431">
        <v>11</v>
      </c>
      <c r="L431" s="1" t="s">
        <v>30</v>
      </c>
    </row>
    <row r="432" spans="1:12" x14ac:dyDescent="0.3">
      <c r="A432" s="1" t="s">
        <v>2948</v>
      </c>
      <c r="B432" s="2">
        <v>46062</v>
      </c>
      <c r="C432" s="2">
        <v>46106</v>
      </c>
      <c r="D432" s="1" t="s">
        <v>13</v>
      </c>
      <c r="E432" s="1" t="s">
        <v>24</v>
      </c>
      <c r="F432" s="1" t="s">
        <v>15</v>
      </c>
      <c r="G432" s="1" t="s">
        <v>33</v>
      </c>
      <c r="H432" s="1" t="s">
        <v>47</v>
      </c>
      <c r="I432" s="1" t="s">
        <v>26</v>
      </c>
      <c r="J432">
        <v>30</v>
      </c>
      <c r="K432">
        <v>44</v>
      </c>
      <c r="L432" s="1" t="s">
        <v>44</v>
      </c>
    </row>
    <row r="433" spans="1:12" x14ac:dyDescent="0.3">
      <c r="A433" s="1" t="s">
        <v>3149</v>
      </c>
      <c r="B433" s="2">
        <v>46061</v>
      </c>
      <c r="C433" s="2">
        <v>46119</v>
      </c>
      <c r="D433" s="1" t="s">
        <v>37</v>
      </c>
      <c r="E433" s="1" t="s">
        <v>24</v>
      </c>
      <c r="F433" s="1" t="s">
        <v>15</v>
      </c>
      <c r="G433" s="1" t="s">
        <v>16</v>
      </c>
      <c r="H433" s="1" t="s">
        <v>39</v>
      </c>
      <c r="I433" s="1" t="s">
        <v>41</v>
      </c>
      <c r="J433">
        <v>30</v>
      </c>
      <c r="K433">
        <v>58</v>
      </c>
      <c r="L433" s="1" t="s">
        <v>80</v>
      </c>
    </row>
    <row r="434" spans="1:12" x14ac:dyDescent="0.3">
      <c r="A434" s="1" t="s">
        <v>2889</v>
      </c>
      <c r="B434" s="2">
        <v>46061</v>
      </c>
      <c r="C434" s="2">
        <v>46086</v>
      </c>
      <c r="D434" s="1" t="s">
        <v>37</v>
      </c>
      <c r="E434" s="1" t="s">
        <v>24</v>
      </c>
      <c r="F434" s="1" t="s">
        <v>15</v>
      </c>
      <c r="G434" s="1" t="s">
        <v>16</v>
      </c>
      <c r="H434" s="1" t="s">
        <v>39</v>
      </c>
      <c r="I434" s="1" t="s">
        <v>26</v>
      </c>
      <c r="J434">
        <v>45</v>
      </c>
      <c r="K434">
        <v>25</v>
      </c>
      <c r="L434" s="1" t="s">
        <v>19</v>
      </c>
    </row>
    <row r="435" spans="1:12" x14ac:dyDescent="0.3">
      <c r="A435" s="1" t="s">
        <v>1461</v>
      </c>
      <c r="B435" s="2">
        <v>46061</v>
      </c>
      <c r="C435" s="2">
        <v>46085</v>
      </c>
      <c r="D435" s="1" t="s">
        <v>37</v>
      </c>
      <c r="E435" s="1" t="s">
        <v>24</v>
      </c>
      <c r="F435" s="1" t="s">
        <v>15</v>
      </c>
      <c r="G435" s="1" t="s">
        <v>16</v>
      </c>
      <c r="H435" s="1" t="s">
        <v>39</v>
      </c>
      <c r="I435" s="1" t="s">
        <v>26</v>
      </c>
      <c r="J435">
        <v>45</v>
      </c>
      <c r="K435">
        <v>24</v>
      </c>
      <c r="L435" s="1" t="s">
        <v>19</v>
      </c>
    </row>
    <row r="436" spans="1:12" x14ac:dyDescent="0.3">
      <c r="A436" s="1" t="s">
        <v>710</v>
      </c>
      <c r="B436" s="2">
        <v>46061</v>
      </c>
      <c r="C436" s="2">
        <v>46106</v>
      </c>
      <c r="D436" s="1" t="s">
        <v>13</v>
      </c>
      <c r="E436" s="1" t="s">
        <v>24</v>
      </c>
      <c r="F436" s="1" t="s">
        <v>15</v>
      </c>
      <c r="G436" s="1" t="s">
        <v>16</v>
      </c>
      <c r="H436" s="1" t="s">
        <v>17</v>
      </c>
      <c r="I436" s="1" t="s">
        <v>18</v>
      </c>
      <c r="J436">
        <v>30</v>
      </c>
      <c r="K436">
        <v>45</v>
      </c>
      <c r="L436" s="1" t="s">
        <v>44</v>
      </c>
    </row>
    <row r="437" spans="1:12" x14ac:dyDescent="0.3">
      <c r="A437" s="1" t="s">
        <v>1631</v>
      </c>
      <c r="B437" s="2">
        <v>46061</v>
      </c>
      <c r="C437" s="2">
        <v>46127</v>
      </c>
      <c r="D437" s="1" t="s">
        <v>13</v>
      </c>
      <c r="E437" s="1" t="s">
        <v>14</v>
      </c>
      <c r="F437" s="1" t="s">
        <v>15</v>
      </c>
      <c r="G437" s="1" t="s">
        <v>16</v>
      </c>
      <c r="H437" s="1" t="s">
        <v>47</v>
      </c>
      <c r="I437" s="1" t="s">
        <v>26</v>
      </c>
      <c r="J437">
        <v>15</v>
      </c>
      <c r="K437">
        <v>66</v>
      </c>
      <c r="L437" s="1" t="s">
        <v>80</v>
      </c>
    </row>
    <row r="438" spans="1:12" x14ac:dyDescent="0.3">
      <c r="A438" s="1" t="s">
        <v>1777</v>
      </c>
      <c r="B438" s="2">
        <v>46061</v>
      </c>
      <c r="C438" s="2">
        <v>46085</v>
      </c>
      <c r="D438" s="1" t="s">
        <v>28</v>
      </c>
      <c r="E438" s="1" t="s">
        <v>14</v>
      </c>
      <c r="F438" s="1" t="s">
        <v>38</v>
      </c>
      <c r="G438" s="1" t="s">
        <v>16</v>
      </c>
      <c r="H438" s="1" t="s">
        <v>54</v>
      </c>
      <c r="I438" s="1" t="s">
        <v>41</v>
      </c>
      <c r="J438">
        <v>30</v>
      </c>
      <c r="K438">
        <v>24</v>
      </c>
      <c r="L438" s="1" t="s">
        <v>19</v>
      </c>
    </row>
    <row r="439" spans="1:12" x14ac:dyDescent="0.3">
      <c r="A439" s="1" t="s">
        <v>2140</v>
      </c>
      <c r="B439" s="2">
        <v>46061</v>
      </c>
      <c r="C439" s="2">
        <v>46130</v>
      </c>
      <c r="D439" s="1" t="s">
        <v>23</v>
      </c>
      <c r="E439" s="1" t="s">
        <v>14</v>
      </c>
      <c r="F439" s="1" t="s">
        <v>38</v>
      </c>
      <c r="G439" s="1" t="s">
        <v>16</v>
      </c>
      <c r="H439" s="1" t="s">
        <v>43</v>
      </c>
      <c r="I439" s="1" t="s">
        <v>18</v>
      </c>
      <c r="J439">
        <v>30</v>
      </c>
      <c r="K439">
        <v>69</v>
      </c>
      <c r="L439" s="1" t="s">
        <v>80</v>
      </c>
    </row>
    <row r="440" spans="1:12" x14ac:dyDescent="0.3">
      <c r="A440" s="1" t="s">
        <v>2240</v>
      </c>
      <c r="B440" s="2">
        <v>46061</v>
      </c>
      <c r="C440" s="2">
        <v>46073</v>
      </c>
      <c r="D440" s="1" t="s">
        <v>28</v>
      </c>
      <c r="E440" s="1" t="s">
        <v>24</v>
      </c>
      <c r="F440" s="1" t="s">
        <v>15</v>
      </c>
      <c r="G440" s="1" t="s">
        <v>53</v>
      </c>
      <c r="H440" s="1" t="s">
        <v>54</v>
      </c>
      <c r="I440" s="1" t="s">
        <v>26</v>
      </c>
      <c r="J440">
        <v>30</v>
      </c>
      <c r="K440">
        <v>12</v>
      </c>
      <c r="L440" s="1" t="s">
        <v>30</v>
      </c>
    </row>
    <row r="441" spans="1:12" x14ac:dyDescent="0.3">
      <c r="A441" s="1" t="s">
        <v>2374</v>
      </c>
      <c r="B441" s="2">
        <v>46061</v>
      </c>
      <c r="C441" s="2">
        <v>46070</v>
      </c>
      <c r="D441" s="1" t="s">
        <v>32</v>
      </c>
      <c r="E441" s="1" t="s">
        <v>24</v>
      </c>
      <c r="F441" s="1" t="s">
        <v>15</v>
      </c>
      <c r="G441" s="1" t="s">
        <v>16</v>
      </c>
      <c r="H441" s="1" t="s">
        <v>34</v>
      </c>
      <c r="I441" s="1" t="s">
        <v>26</v>
      </c>
      <c r="J441">
        <v>30</v>
      </c>
      <c r="K441">
        <v>9</v>
      </c>
      <c r="L441" s="1" t="s">
        <v>30</v>
      </c>
    </row>
    <row r="442" spans="1:12" x14ac:dyDescent="0.3">
      <c r="A442" s="1" t="s">
        <v>2524</v>
      </c>
      <c r="B442" s="2">
        <v>46061</v>
      </c>
      <c r="C442" s="2">
        <v>46093</v>
      </c>
      <c r="D442" s="1" t="s">
        <v>32</v>
      </c>
      <c r="E442" s="1" t="s">
        <v>14</v>
      </c>
      <c r="F442" s="1" t="s">
        <v>15</v>
      </c>
      <c r="G442" s="1" t="s">
        <v>16</v>
      </c>
      <c r="H442" s="1" t="s">
        <v>34</v>
      </c>
      <c r="I442" s="1" t="s">
        <v>41</v>
      </c>
      <c r="J442">
        <v>15</v>
      </c>
      <c r="K442">
        <v>32</v>
      </c>
      <c r="L442" s="1" t="s">
        <v>21</v>
      </c>
    </row>
    <row r="443" spans="1:12" x14ac:dyDescent="0.3">
      <c r="A443" s="1" t="s">
        <v>2911</v>
      </c>
      <c r="B443" s="2">
        <v>46061</v>
      </c>
      <c r="C443" s="2">
        <v>46092</v>
      </c>
      <c r="D443" s="1" t="s">
        <v>28</v>
      </c>
      <c r="E443" s="1" t="s">
        <v>14</v>
      </c>
      <c r="F443" s="1" t="s">
        <v>15</v>
      </c>
      <c r="G443" s="1" t="s">
        <v>16</v>
      </c>
      <c r="H443" s="1" t="s">
        <v>54</v>
      </c>
      <c r="I443" s="1" t="s">
        <v>41</v>
      </c>
      <c r="J443">
        <v>30</v>
      </c>
      <c r="K443">
        <v>31</v>
      </c>
      <c r="L443" s="1" t="s">
        <v>21</v>
      </c>
    </row>
    <row r="444" spans="1:12" x14ac:dyDescent="0.3">
      <c r="A444" s="1" t="s">
        <v>35</v>
      </c>
      <c r="B444" s="2">
        <v>46060</v>
      </c>
      <c r="C444" s="2">
        <v>46083</v>
      </c>
      <c r="D444" s="1" t="s">
        <v>13</v>
      </c>
      <c r="E444" s="1" t="s">
        <v>14</v>
      </c>
      <c r="F444" s="1" t="s">
        <v>15</v>
      </c>
      <c r="G444" s="1" t="s">
        <v>16</v>
      </c>
      <c r="H444" s="1" t="s">
        <v>17</v>
      </c>
      <c r="I444" s="1" t="s">
        <v>26</v>
      </c>
      <c r="J444">
        <v>15</v>
      </c>
      <c r="K444">
        <v>23</v>
      </c>
      <c r="L444" s="1" t="s">
        <v>19</v>
      </c>
    </row>
    <row r="445" spans="1:12" x14ac:dyDescent="0.3">
      <c r="A445" s="1" t="s">
        <v>77</v>
      </c>
      <c r="B445" s="2">
        <v>46060</v>
      </c>
      <c r="C445" s="2">
        <v>46100</v>
      </c>
      <c r="D445" s="1" t="s">
        <v>13</v>
      </c>
      <c r="E445" s="1" t="s">
        <v>24</v>
      </c>
      <c r="F445" s="1" t="s">
        <v>15</v>
      </c>
      <c r="G445" s="1" t="s">
        <v>16</v>
      </c>
      <c r="H445" s="1" t="s">
        <v>47</v>
      </c>
      <c r="I445" s="1" t="s">
        <v>26</v>
      </c>
      <c r="J445">
        <v>30</v>
      </c>
      <c r="K445">
        <v>40</v>
      </c>
      <c r="L445" s="1" t="s">
        <v>21</v>
      </c>
    </row>
    <row r="446" spans="1:12" x14ac:dyDescent="0.3">
      <c r="A446" s="1" t="s">
        <v>652</v>
      </c>
      <c r="B446" s="2">
        <v>46060</v>
      </c>
      <c r="C446" s="2">
        <v>46083</v>
      </c>
      <c r="D446" s="1" t="s">
        <v>23</v>
      </c>
      <c r="E446" s="1" t="s">
        <v>24</v>
      </c>
      <c r="F446" s="1" t="s">
        <v>15</v>
      </c>
      <c r="G446" s="1" t="s">
        <v>16</v>
      </c>
      <c r="H446" s="1" t="s">
        <v>43</v>
      </c>
      <c r="I446" s="1" t="s">
        <v>18</v>
      </c>
      <c r="J446">
        <v>30</v>
      </c>
      <c r="K446">
        <v>23</v>
      </c>
      <c r="L446" s="1" t="s">
        <v>19</v>
      </c>
    </row>
    <row r="447" spans="1:12" x14ac:dyDescent="0.3">
      <c r="A447" s="1" t="s">
        <v>1289</v>
      </c>
      <c r="B447" s="2">
        <v>46060</v>
      </c>
      <c r="C447" s="2">
        <v>46126</v>
      </c>
      <c r="D447" s="1" t="s">
        <v>23</v>
      </c>
      <c r="E447" s="1" t="s">
        <v>14</v>
      </c>
      <c r="F447" s="1" t="s">
        <v>15</v>
      </c>
      <c r="G447" s="1" t="s">
        <v>53</v>
      </c>
      <c r="H447" s="1" t="s">
        <v>43</v>
      </c>
      <c r="I447" s="1" t="s">
        <v>26</v>
      </c>
      <c r="J447">
        <v>15</v>
      </c>
      <c r="K447">
        <v>66</v>
      </c>
      <c r="L447" s="1" t="s">
        <v>80</v>
      </c>
    </row>
    <row r="448" spans="1:12" x14ac:dyDescent="0.3">
      <c r="A448" s="1" t="s">
        <v>1334</v>
      </c>
      <c r="B448" s="2">
        <v>46060</v>
      </c>
      <c r="C448" s="2">
        <v>46120</v>
      </c>
      <c r="D448" s="1" t="s">
        <v>32</v>
      </c>
      <c r="E448" s="1" t="s">
        <v>14</v>
      </c>
      <c r="F448" s="1" t="s">
        <v>15</v>
      </c>
      <c r="G448" s="1" t="s">
        <v>16</v>
      </c>
      <c r="H448" s="1" t="s">
        <v>34</v>
      </c>
      <c r="I448" s="1" t="s">
        <v>41</v>
      </c>
      <c r="J448">
        <v>15</v>
      </c>
      <c r="K448">
        <v>60</v>
      </c>
      <c r="L448" s="1" t="s">
        <v>80</v>
      </c>
    </row>
    <row r="449" spans="1:12" x14ac:dyDescent="0.3">
      <c r="A449" s="1" t="s">
        <v>1748</v>
      </c>
      <c r="B449" s="2">
        <v>46060</v>
      </c>
      <c r="C449" s="2">
        <v>46102</v>
      </c>
      <c r="D449" s="1" t="s">
        <v>23</v>
      </c>
      <c r="E449" s="1" t="s">
        <v>24</v>
      </c>
      <c r="F449" s="1" t="s">
        <v>15</v>
      </c>
      <c r="G449" s="1" t="s">
        <v>16</v>
      </c>
      <c r="H449" s="1" t="s">
        <v>43</v>
      </c>
      <c r="I449" s="1" t="s">
        <v>18</v>
      </c>
      <c r="J449">
        <v>45</v>
      </c>
      <c r="K449">
        <v>42</v>
      </c>
      <c r="L449" s="1" t="s">
        <v>21</v>
      </c>
    </row>
    <row r="450" spans="1:12" x14ac:dyDescent="0.3">
      <c r="A450" s="1" t="s">
        <v>192</v>
      </c>
      <c r="B450" s="2">
        <v>46059</v>
      </c>
      <c r="C450" s="2">
        <v>46083</v>
      </c>
      <c r="D450" s="1" t="s">
        <v>28</v>
      </c>
      <c r="E450" s="1" t="s">
        <v>14</v>
      </c>
      <c r="F450" s="1" t="s">
        <v>15</v>
      </c>
      <c r="G450" s="1" t="s">
        <v>16</v>
      </c>
      <c r="H450" s="1" t="s">
        <v>54</v>
      </c>
      <c r="I450" s="1" t="s">
        <v>26</v>
      </c>
      <c r="J450">
        <v>30</v>
      </c>
      <c r="K450">
        <v>24</v>
      </c>
      <c r="L450" s="1" t="s">
        <v>19</v>
      </c>
    </row>
    <row r="451" spans="1:12" x14ac:dyDescent="0.3">
      <c r="A451" s="1" t="s">
        <v>273</v>
      </c>
      <c r="B451" s="2">
        <v>46059</v>
      </c>
      <c r="C451" s="2">
        <v>46093</v>
      </c>
      <c r="D451" s="1" t="s">
        <v>37</v>
      </c>
      <c r="E451" s="1" t="s">
        <v>14</v>
      </c>
      <c r="F451" s="1" t="s">
        <v>15</v>
      </c>
      <c r="G451" s="1" t="s">
        <v>16</v>
      </c>
      <c r="H451" s="1" t="s">
        <v>39</v>
      </c>
      <c r="I451" s="1" t="s">
        <v>18</v>
      </c>
      <c r="J451">
        <v>30</v>
      </c>
      <c r="K451">
        <v>34</v>
      </c>
      <c r="L451" s="1" t="s">
        <v>21</v>
      </c>
    </row>
    <row r="452" spans="1:12" x14ac:dyDescent="0.3">
      <c r="A452" s="1" t="s">
        <v>166</v>
      </c>
      <c r="B452" s="2">
        <v>46059</v>
      </c>
      <c r="C452" s="2">
        <v>46082</v>
      </c>
      <c r="D452" s="1" t="s">
        <v>37</v>
      </c>
      <c r="E452" s="1" t="s">
        <v>24</v>
      </c>
      <c r="F452" s="1" t="s">
        <v>15</v>
      </c>
      <c r="G452" s="1" t="s">
        <v>16</v>
      </c>
      <c r="H452" s="1" t="s">
        <v>39</v>
      </c>
      <c r="I452" s="1" t="s">
        <v>18</v>
      </c>
      <c r="J452">
        <v>30</v>
      </c>
      <c r="K452">
        <v>23</v>
      </c>
      <c r="L452" s="1" t="s">
        <v>19</v>
      </c>
    </row>
    <row r="453" spans="1:12" x14ac:dyDescent="0.3">
      <c r="A453" s="1" t="s">
        <v>1084</v>
      </c>
      <c r="B453" s="2">
        <v>46059</v>
      </c>
      <c r="C453" s="2">
        <v>46119</v>
      </c>
      <c r="D453" s="1" t="s">
        <v>13</v>
      </c>
      <c r="E453" s="1" t="s">
        <v>14</v>
      </c>
      <c r="F453" s="1" t="s">
        <v>38</v>
      </c>
      <c r="G453" s="1" t="s">
        <v>16</v>
      </c>
      <c r="H453" s="1" t="s">
        <v>17</v>
      </c>
      <c r="I453" s="1" t="s">
        <v>26</v>
      </c>
      <c r="J453">
        <v>30</v>
      </c>
      <c r="K453">
        <v>60</v>
      </c>
      <c r="L453" s="1" t="s">
        <v>80</v>
      </c>
    </row>
    <row r="454" spans="1:12" x14ac:dyDescent="0.3">
      <c r="A454" s="1" t="s">
        <v>1389</v>
      </c>
      <c r="B454" s="2">
        <v>46059</v>
      </c>
      <c r="C454" s="2">
        <v>46114</v>
      </c>
      <c r="D454" s="1" t="s">
        <v>28</v>
      </c>
      <c r="E454" s="1" t="s">
        <v>14</v>
      </c>
      <c r="F454" s="1" t="s">
        <v>38</v>
      </c>
      <c r="G454" s="1" t="s">
        <v>16</v>
      </c>
      <c r="H454" s="1" t="s">
        <v>54</v>
      </c>
      <c r="I454" s="1" t="s">
        <v>18</v>
      </c>
      <c r="J454">
        <v>30</v>
      </c>
      <c r="K454">
        <v>55</v>
      </c>
      <c r="L454" s="1" t="s">
        <v>44</v>
      </c>
    </row>
    <row r="455" spans="1:12" x14ac:dyDescent="0.3">
      <c r="A455" s="1" t="s">
        <v>1443</v>
      </c>
      <c r="B455" s="2">
        <v>46059</v>
      </c>
      <c r="C455" s="2">
        <v>46071</v>
      </c>
      <c r="D455" s="1" t="s">
        <v>32</v>
      </c>
      <c r="E455" s="1" t="s">
        <v>24</v>
      </c>
      <c r="F455" s="1" t="s">
        <v>15</v>
      </c>
      <c r="G455" s="1" t="s">
        <v>16</v>
      </c>
      <c r="H455" s="1" t="s">
        <v>71</v>
      </c>
      <c r="I455" s="1" t="s">
        <v>18</v>
      </c>
      <c r="J455">
        <v>30</v>
      </c>
      <c r="K455">
        <v>12</v>
      </c>
      <c r="L455" s="1" t="s">
        <v>30</v>
      </c>
    </row>
    <row r="456" spans="1:12" x14ac:dyDescent="0.3">
      <c r="A456" s="1" t="s">
        <v>1602</v>
      </c>
      <c r="B456" s="2">
        <v>46059</v>
      </c>
      <c r="C456" s="2">
        <v>46071</v>
      </c>
      <c r="D456" s="1" t="s">
        <v>13</v>
      </c>
      <c r="E456" s="1" t="s">
        <v>14</v>
      </c>
      <c r="F456" s="1" t="s">
        <v>15</v>
      </c>
      <c r="G456" s="1" t="s">
        <v>16</v>
      </c>
      <c r="H456" s="1" t="s">
        <v>47</v>
      </c>
      <c r="I456" s="1" t="s">
        <v>18</v>
      </c>
      <c r="J456">
        <v>15</v>
      </c>
      <c r="K456">
        <v>12</v>
      </c>
      <c r="L456" s="1" t="s">
        <v>30</v>
      </c>
    </row>
    <row r="457" spans="1:12" x14ac:dyDescent="0.3">
      <c r="A457" s="1" t="s">
        <v>2195</v>
      </c>
      <c r="B457" s="2">
        <v>46059</v>
      </c>
      <c r="C457" s="2">
        <v>46091</v>
      </c>
      <c r="D457" s="1" t="s">
        <v>23</v>
      </c>
      <c r="E457" s="1" t="s">
        <v>14</v>
      </c>
      <c r="F457" s="1" t="s">
        <v>38</v>
      </c>
      <c r="G457" s="1" t="s">
        <v>16</v>
      </c>
      <c r="H457" s="1" t="s">
        <v>43</v>
      </c>
      <c r="I457" s="1" t="s">
        <v>18</v>
      </c>
      <c r="J457">
        <v>30</v>
      </c>
      <c r="K457">
        <v>32</v>
      </c>
      <c r="L457" s="1" t="s">
        <v>21</v>
      </c>
    </row>
    <row r="458" spans="1:12" x14ac:dyDescent="0.3">
      <c r="A458" s="1" t="s">
        <v>2714</v>
      </c>
      <c r="B458" s="2">
        <v>46059</v>
      </c>
      <c r="C458" s="2">
        <v>46106</v>
      </c>
      <c r="D458" s="1" t="s">
        <v>23</v>
      </c>
      <c r="E458" s="1" t="s">
        <v>24</v>
      </c>
      <c r="F458" s="1" t="s">
        <v>15</v>
      </c>
      <c r="G458" s="1" t="s">
        <v>16</v>
      </c>
      <c r="H458" s="1" t="s">
        <v>43</v>
      </c>
      <c r="I458" s="1" t="s">
        <v>41</v>
      </c>
      <c r="J458">
        <v>30</v>
      </c>
      <c r="K458">
        <v>47</v>
      </c>
      <c r="L458" s="1" t="s">
        <v>44</v>
      </c>
    </row>
    <row r="459" spans="1:12" x14ac:dyDescent="0.3">
      <c r="A459" s="1" t="s">
        <v>3036</v>
      </c>
      <c r="B459" s="2">
        <v>46059</v>
      </c>
      <c r="C459" s="2">
        <v>46100</v>
      </c>
      <c r="D459" s="1" t="s">
        <v>23</v>
      </c>
      <c r="E459" s="1" t="s">
        <v>24</v>
      </c>
      <c r="F459" s="1" t="s">
        <v>15</v>
      </c>
      <c r="G459" s="1" t="s">
        <v>16</v>
      </c>
      <c r="H459" s="1" t="s">
        <v>43</v>
      </c>
      <c r="I459" s="1" t="s">
        <v>26</v>
      </c>
      <c r="J459">
        <v>30</v>
      </c>
      <c r="K459">
        <v>41</v>
      </c>
      <c r="L459" s="1" t="s">
        <v>21</v>
      </c>
    </row>
    <row r="460" spans="1:12" x14ac:dyDescent="0.3">
      <c r="A460" s="1" t="s">
        <v>187</v>
      </c>
      <c r="B460" s="2">
        <v>46058</v>
      </c>
      <c r="C460" s="2">
        <v>46127</v>
      </c>
      <c r="D460" s="1" t="s">
        <v>32</v>
      </c>
      <c r="E460" s="1" t="s">
        <v>14</v>
      </c>
      <c r="F460" s="1" t="s">
        <v>15</v>
      </c>
      <c r="G460" s="1" t="s">
        <v>16</v>
      </c>
      <c r="H460" s="1" t="s">
        <v>34</v>
      </c>
      <c r="I460" s="1" t="s">
        <v>41</v>
      </c>
      <c r="J460">
        <v>30</v>
      </c>
      <c r="K460">
        <v>69</v>
      </c>
      <c r="L460" s="1" t="s">
        <v>80</v>
      </c>
    </row>
    <row r="461" spans="1:12" x14ac:dyDescent="0.3">
      <c r="A461" s="1" t="s">
        <v>1898</v>
      </c>
      <c r="B461" s="2">
        <v>46058</v>
      </c>
      <c r="C461" s="2">
        <v>46094</v>
      </c>
      <c r="D461" s="1" t="s">
        <v>37</v>
      </c>
      <c r="E461" s="1" t="s">
        <v>24</v>
      </c>
      <c r="F461" s="1" t="s">
        <v>15</v>
      </c>
      <c r="G461" s="1" t="s">
        <v>16</v>
      </c>
      <c r="H461" s="1" t="s">
        <v>39</v>
      </c>
      <c r="I461" s="1" t="s">
        <v>18</v>
      </c>
      <c r="J461">
        <v>30</v>
      </c>
      <c r="K461">
        <v>36</v>
      </c>
      <c r="L461" s="1" t="s">
        <v>21</v>
      </c>
    </row>
    <row r="462" spans="1:12" x14ac:dyDescent="0.3">
      <c r="A462" s="1" t="s">
        <v>1507</v>
      </c>
      <c r="B462" s="2">
        <v>46058</v>
      </c>
      <c r="C462" s="2">
        <v>46089</v>
      </c>
      <c r="D462" s="1" t="s">
        <v>37</v>
      </c>
      <c r="E462" s="1" t="s">
        <v>14</v>
      </c>
      <c r="F462" s="1" t="s">
        <v>15</v>
      </c>
      <c r="G462" s="1" t="s">
        <v>16</v>
      </c>
      <c r="H462" s="1" t="s">
        <v>49</v>
      </c>
      <c r="I462" s="1" t="s">
        <v>26</v>
      </c>
      <c r="J462">
        <v>30</v>
      </c>
      <c r="K462">
        <v>31</v>
      </c>
      <c r="L462" s="1" t="s">
        <v>21</v>
      </c>
    </row>
    <row r="463" spans="1:12" x14ac:dyDescent="0.3">
      <c r="A463" s="1" t="s">
        <v>877</v>
      </c>
      <c r="B463" s="2">
        <v>46058</v>
      </c>
      <c r="C463" s="2">
        <v>46077</v>
      </c>
      <c r="D463" s="1" t="s">
        <v>37</v>
      </c>
      <c r="E463" s="1" t="s">
        <v>14</v>
      </c>
      <c r="F463" s="1" t="s">
        <v>15</v>
      </c>
      <c r="G463" s="1" t="s">
        <v>16</v>
      </c>
      <c r="H463" s="1" t="s">
        <v>49</v>
      </c>
      <c r="I463" s="1" t="s">
        <v>26</v>
      </c>
      <c r="J463">
        <v>15</v>
      </c>
      <c r="K463">
        <v>19</v>
      </c>
      <c r="L463" s="1" t="s">
        <v>19</v>
      </c>
    </row>
    <row r="464" spans="1:12" x14ac:dyDescent="0.3">
      <c r="A464" s="1" t="s">
        <v>685</v>
      </c>
      <c r="B464" s="2">
        <v>46058</v>
      </c>
      <c r="C464" s="2">
        <v>46094</v>
      </c>
      <c r="D464" s="1" t="s">
        <v>28</v>
      </c>
      <c r="E464" s="1" t="s">
        <v>14</v>
      </c>
      <c r="F464" s="1" t="s">
        <v>15</v>
      </c>
      <c r="G464" s="1" t="s">
        <v>16</v>
      </c>
      <c r="H464" s="1" t="s">
        <v>54</v>
      </c>
      <c r="I464" s="1" t="s">
        <v>26</v>
      </c>
      <c r="J464">
        <v>30</v>
      </c>
      <c r="K464">
        <v>36</v>
      </c>
      <c r="L464" s="1" t="s">
        <v>21</v>
      </c>
    </row>
    <row r="465" spans="1:12" x14ac:dyDescent="0.3">
      <c r="A465" s="1" t="s">
        <v>1169</v>
      </c>
      <c r="B465" s="2">
        <v>46058</v>
      </c>
      <c r="C465" s="2">
        <v>46061</v>
      </c>
      <c r="D465" s="1" t="s">
        <v>23</v>
      </c>
      <c r="E465" s="1" t="s">
        <v>24</v>
      </c>
      <c r="F465" s="1" t="s">
        <v>38</v>
      </c>
      <c r="G465" s="1" t="s">
        <v>16</v>
      </c>
      <c r="H465" s="1" t="s">
        <v>43</v>
      </c>
      <c r="I465" s="1" t="s">
        <v>26</v>
      </c>
      <c r="J465">
        <v>30</v>
      </c>
      <c r="K465">
        <v>3</v>
      </c>
      <c r="L465" s="1" t="s">
        <v>30</v>
      </c>
    </row>
    <row r="466" spans="1:12" x14ac:dyDescent="0.3">
      <c r="A466" s="1" t="s">
        <v>1192</v>
      </c>
      <c r="B466" s="2">
        <v>46058</v>
      </c>
      <c r="C466" s="2">
        <v>46090</v>
      </c>
      <c r="D466" s="1" t="s">
        <v>23</v>
      </c>
      <c r="E466" s="1" t="s">
        <v>14</v>
      </c>
      <c r="F466" s="1" t="s">
        <v>38</v>
      </c>
      <c r="G466" s="1" t="s">
        <v>16</v>
      </c>
      <c r="H466" s="1" t="s">
        <v>43</v>
      </c>
      <c r="I466" s="1" t="s">
        <v>41</v>
      </c>
      <c r="J466">
        <v>30</v>
      </c>
      <c r="K466">
        <v>32</v>
      </c>
      <c r="L466" s="1" t="s">
        <v>21</v>
      </c>
    </row>
    <row r="467" spans="1:12" x14ac:dyDescent="0.3">
      <c r="A467" s="1" t="s">
        <v>1352</v>
      </c>
      <c r="B467" s="2">
        <v>46058</v>
      </c>
      <c r="C467" s="2">
        <v>46103</v>
      </c>
      <c r="D467" s="1" t="s">
        <v>13</v>
      </c>
      <c r="E467" s="1" t="s">
        <v>14</v>
      </c>
      <c r="F467" s="1" t="s">
        <v>15</v>
      </c>
      <c r="G467" s="1" t="s">
        <v>16</v>
      </c>
      <c r="H467" s="1" t="s">
        <v>47</v>
      </c>
      <c r="I467" s="1" t="s">
        <v>18</v>
      </c>
      <c r="J467">
        <v>30</v>
      </c>
      <c r="K467">
        <v>45</v>
      </c>
      <c r="L467" s="1" t="s">
        <v>44</v>
      </c>
    </row>
    <row r="468" spans="1:12" x14ac:dyDescent="0.3">
      <c r="A468" s="1" t="s">
        <v>1356</v>
      </c>
      <c r="B468" s="2">
        <v>46058</v>
      </c>
      <c r="C468" s="2">
        <v>46060</v>
      </c>
      <c r="D468" s="1" t="s">
        <v>23</v>
      </c>
      <c r="E468" s="1" t="s">
        <v>14</v>
      </c>
      <c r="F468" s="1" t="s">
        <v>38</v>
      </c>
      <c r="G468" s="1" t="s">
        <v>53</v>
      </c>
      <c r="H468" s="1" t="s">
        <v>25</v>
      </c>
      <c r="I468" s="1" t="s">
        <v>26</v>
      </c>
      <c r="J468">
        <v>15</v>
      </c>
      <c r="K468">
        <v>2</v>
      </c>
      <c r="L468" s="1" t="s">
        <v>30</v>
      </c>
    </row>
    <row r="469" spans="1:12" x14ac:dyDescent="0.3">
      <c r="A469" s="1" t="s">
        <v>1594</v>
      </c>
      <c r="B469" s="2">
        <v>46058</v>
      </c>
      <c r="C469" s="2">
        <v>46114</v>
      </c>
      <c r="D469" s="1" t="s">
        <v>23</v>
      </c>
      <c r="E469" s="1" t="s">
        <v>14</v>
      </c>
      <c r="F469" s="1" t="s">
        <v>15</v>
      </c>
      <c r="G469" s="1" t="s">
        <v>16</v>
      </c>
      <c r="H469" s="1" t="s">
        <v>43</v>
      </c>
      <c r="I469" s="1" t="s">
        <v>41</v>
      </c>
      <c r="J469">
        <v>15</v>
      </c>
      <c r="K469">
        <v>56</v>
      </c>
      <c r="L469" s="1" t="s">
        <v>44</v>
      </c>
    </row>
    <row r="470" spans="1:12" x14ac:dyDescent="0.3">
      <c r="A470" s="1" t="s">
        <v>2192</v>
      </c>
      <c r="B470" s="2">
        <v>46058</v>
      </c>
      <c r="C470" s="2">
        <v>46087</v>
      </c>
      <c r="D470" s="1" t="s">
        <v>13</v>
      </c>
      <c r="E470" s="1" t="s">
        <v>24</v>
      </c>
      <c r="F470" s="1" t="s">
        <v>15</v>
      </c>
      <c r="G470" s="1" t="s">
        <v>16</v>
      </c>
      <c r="H470" s="1" t="s">
        <v>17</v>
      </c>
      <c r="I470" s="1" t="s">
        <v>41</v>
      </c>
      <c r="J470">
        <v>30</v>
      </c>
      <c r="K470">
        <v>29</v>
      </c>
      <c r="L470" s="1" t="s">
        <v>21</v>
      </c>
    </row>
    <row r="471" spans="1:12" x14ac:dyDescent="0.3">
      <c r="A471" s="1" t="s">
        <v>2419</v>
      </c>
      <c r="B471" s="2">
        <v>46058</v>
      </c>
      <c r="C471" s="2">
        <v>46114</v>
      </c>
      <c r="D471" s="1" t="s">
        <v>28</v>
      </c>
      <c r="E471" s="1" t="s">
        <v>24</v>
      </c>
      <c r="F471" s="1" t="s">
        <v>15</v>
      </c>
      <c r="G471" s="1" t="s">
        <v>33</v>
      </c>
      <c r="H471" s="1" t="s">
        <v>54</v>
      </c>
      <c r="I471" s="1" t="s">
        <v>26</v>
      </c>
      <c r="J471">
        <v>45</v>
      </c>
      <c r="K471">
        <v>56</v>
      </c>
      <c r="L471" s="1" t="s">
        <v>44</v>
      </c>
    </row>
    <row r="472" spans="1:12" x14ac:dyDescent="0.3">
      <c r="A472" s="1" t="s">
        <v>2554</v>
      </c>
      <c r="B472" s="2">
        <v>46058</v>
      </c>
      <c r="C472" s="2">
        <v>46090</v>
      </c>
      <c r="D472" s="1" t="s">
        <v>13</v>
      </c>
      <c r="E472" s="1" t="s">
        <v>14</v>
      </c>
      <c r="F472" s="1" t="s">
        <v>15</v>
      </c>
      <c r="G472" s="1" t="s">
        <v>16</v>
      </c>
      <c r="H472" s="1" t="s">
        <v>17</v>
      </c>
      <c r="I472" s="1" t="s">
        <v>41</v>
      </c>
      <c r="J472">
        <v>30</v>
      </c>
      <c r="K472">
        <v>32</v>
      </c>
      <c r="L472" s="1" t="s">
        <v>21</v>
      </c>
    </row>
    <row r="473" spans="1:12" x14ac:dyDescent="0.3">
      <c r="A473" s="1" t="s">
        <v>2682</v>
      </c>
      <c r="B473" s="2">
        <v>46058</v>
      </c>
      <c r="C473" s="2">
        <v>46098</v>
      </c>
      <c r="D473" s="1" t="s">
        <v>32</v>
      </c>
      <c r="E473" s="1" t="s">
        <v>14</v>
      </c>
      <c r="F473" s="1" t="s">
        <v>15</v>
      </c>
      <c r="G473" s="1" t="s">
        <v>16</v>
      </c>
      <c r="H473" s="1" t="s">
        <v>34</v>
      </c>
      <c r="I473" s="1" t="s">
        <v>18</v>
      </c>
      <c r="J473">
        <v>15</v>
      </c>
      <c r="K473">
        <v>40</v>
      </c>
      <c r="L473" s="1" t="s">
        <v>21</v>
      </c>
    </row>
    <row r="474" spans="1:12" x14ac:dyDescent="0.3">
      <c r="A474" s="1" t="s">
        <v>338</v>
      </c>
      <c r="B474" s="2">
        <v>46057</v>
      </c>
      <c r="C474" s="2">
        <v>46088</v>
      </c>
      <c r="D474" s="1" t="s">
        <v>23</v>
      </c>
      <c r="E474" s="1" t="s">
        <v>14</v>
      </c>
      <c r="F474" s="1" t="s">
        <v>15</v>
      </c>
      <c r="G474" s="1" t="s">
        <v>33</v>
      </c>
      <c r="H474" s="1" t="s">
        <v>25</v>
      </c>
      <c r="I474" s="1" t="s">
        <v>41</v>
      </c>
      <c r="J474">
        <v>15</v>
      </c>
      <c r="K474">
        <v>31</v>
      </c>
      <c r="L474" s="1" t="s">
        <v>21</v>
      </c>
    </row>
    <row r="475" spans="1:12" x14ac:dyDescent="0.3">
      <c r="A475" s="1" t="s">
        <v>898</v>
      </c>
      <c r="B475" s="2">
        <v>46057</v>
      </c>
      <c r="C475" s="2">
        <v>46116</v>
      </c>
      <c r="D475" s="1" t="s">
        <v>37</v>
      </c>
      <c r="E475" s="1" t="s">
        <v>14</v>
      </c>
      <c r="F475" s="1" t="s">
        <v>15</v>
      </c>
      <c r="G475" s="1" t="s">
        <v>16</v>
      </c>
      <c r="H475" s="1" t="s">
        <v>49</v>
      </c>
      <c r="I475" s="1" t="s">
        <v>26</v>
      </c>
      <c r="J475">
        <v>15</v>
      </c>
      <c r="K475">
        <v>59</v>
      </c>
      <c r="L475" s="1" t="s">
        <v>80</v>
      </c>
    </row>
    <row r="476" spans="1:12" x14ac:dyDescent="0.3">
      <c r="A476" s="1" t="s">
        <v>822</v>
      </c>
      <c r="B476" s="2">
        <v>46057</v>
      </c>
      <c r="C476" s="2">
        <v>46107</v>
      </c>
      <c r="D476" s="1" t="s">
        <v>37</v>
      </c>
      <c r="E476" s="1" t="s">
        <v>14</v>
      </c>
      <c r="F476" s="1" t="s">
        <v>38</v>
      </c>
      <c r="G476" s="1" t="s">
        <v>16</v>
      </c>
      <c r="H476" s="1" t="s">
        <v>49</v>
      </c>
      <c r="I476" s="1" t="s">
        <v>41</v>
      </c>
      <c r="J476">
        <v>15</v>
      </c>
      <c r="K476">
        <v>50</v>
      </c>
      <c r="L476" s="1" t="s">
        <v>44</v>
      </c>
    </row>
    <row r="477" spans="1:12" x14ac:dyDescent="0.3">
      <c r="A477" s="1" t="s">
        <v>1200</v>
      </c>
      <c r="B477" s="2">
        <v>46057</v>
      </c>
      <c r="C477" s="2">
        <v>46094</v>
      </c>
      <c r="D477" s="1" t="s">
        <v>37</v>
      </c>
      <c r="E477" s="1" t="s">
        <v>24</v>
      </c>
      <c r="F477" s="1" t="s">
        <v>15</v>
      </c>
      <c r="G477" s="1" t="s">
        <v>53</v>
      </c>
      <c r="H477" s="1" t="s">
        <v>39</v>
      </c>
      <c r="I477" s="1" t="s">
        <v>18</v>
      </c>
      <c r="J477">
        <v>45</v>
      </c>
      <c r="K477">
        <v>37</v>
      </c>
      <c r="L477" s="1" t="s">
        <v>21</v>
      </c>
    </row>
    <row r="478" spans="1:12" x14ac:dyDescent="0.3">
      <c r="A478" s="1" t="s">
        <v>1938</v>
      </c>
      <c r="B478" s="2">
        <v>46057</v>
      </c>
      <c r="C478" s="2">
        <v>46076</v>
      </c>
      <c r="D478" s="1" t="s">
        <v>37</v>
      </c>
      <c r="E478" s="1" t="s">
        <v>24</v>
      </c>
      <c r="F478" s="1" t="s">
        <v>15</v>
      </c>
      <c r="G478" s="1" t="s">
        <v>16</v>
      </c>
      <c r="H478" s="1" t="s">
        <v>39</v>
      </c>
      <c r="I478" s="1" t="s">
        <v>41</v>
      </c>
      <c r="J478">
        <v>30</v>
      </c>
      <c r="K478">
        <v>19</v>
      </c>
      <c r="L478" s="1" t="s">
        <v>19</v>
      </c>
    </row>
    <row r="479" spans="1:12" x14ac:dyDescent="0.3">
      <c r="A479" s="1" t="s">
        <v>2715</v>
      </c>
      <c r="B479" s="2">
        <v>46057</v>
      </c>
      <c r="C479" s="2">
        <v>46074</v>
      </c>
      <c r="D479" s="1" t="s">
        <v>37</v>
      </c>
      <c r="E479" s="1" t="s">
        <v>24</v>
      </c>
      <c r="F479" s="1" t="s">
        <v>38</v>
      </c>
      <c r="G479" s="1" t="s">
        <v>33</v>
      </c>
      <c r="H479" s="1" t="s">
        <v>49</v>
      </c>
      <c r="I479" s="1" t="s">
        <v>26</v>
      </c>
      <c r="J479">
        <v>30</v>
      </c>
      <c r="K479">
        <v>17</v>
      </c>
      <c r="L479" s="1" t="s">
        <v>19</v>
      </c>
    </row>
    <row r="480" spans="1:12" x14ac:dyDescent="0.3">
      <c r="A480" s="1" t="s">
        <v>602</v>
      </c>
      <c r="B480" s="2">
        <v>46057</v>
      </c>
      <c r="C480" s="2">
        <v>46105</v>
      </c>
      <c r="D480" s="1" t="s">
        <v>23</v>
      </c>
      <c r="E480" s="1" t="s">
        <v>24</v>
      </c>
      <c r="F480" s="1" t="s">
        <v>38</v>
      </c>
      <c r="G480" s="1" t="s">
        <v>16</v>
      </c>
      <c r="H480" s="1" t="s">
        <v>43</v>
      </c>
      <c r="I480" s="1" t="s">
        <v>26</v>
      </c>
      <c r="J480">
        <v>30</v>
      </c>
      <c r="K480">
        <v>48</v>
      </c>
      <c r="L480" s="1" t="s">
        <v>44</v>
      </c>
    </row>
    <row r="481" spans="1:12" x14ac:dyDescent="0.3">
      <c r="A481" s="1" t="s">
        <v>924</v>
      </c>
      <c r="B481" s="2">
        <v>46057</v>
      </c>
      <c r="C481" s="2">
        <v>46102</v>
      </c>
      <c r="D481" s="1" t="s">
        <v>23</v>
      </c>
      <c r="E481" s="1" t="s">
        <v>14</v>
      </c>
      <c r="F481" s="1" t="s">
        <v>38</v>
      </c>
      <c r="G481" s="1" t="s">
        <v>16</v>
      </c>
      <c r="H481" s="1" t="s">
        <v>25</v>
      </c>
      <c r="I481" s="1" t="s">
        <v>41</v>
      </c>
      <c r="J481">
        <v>30</v>
      </c>
      <c r="K481">
        <v>45</v>
      </c>
      <c r="L481" s="1" t="s">
        <v>44</v>
      </c>
    </row>
    <row r="482" spans="1:12" x14ac:dyDescent="0.3">
      <c r="A482" s="1" t="s">
        <v>1049</v>
      </c>
      <c r="B482" s="2">
        <v>46057</v>
      </c>
      <c r="C482" s="2">
        <v>46095</v>
      </c>
      <c r="D482" s="1" t="s">
        <v>28</v>
      </c>
      <c r="E482" s="1" t="s">
        <v>24</v>
      </c>
      <c r="F482" s="1" t="s">
        <v>15</v>
      </c>
      <c r="G482" s="1" t="s">
        <v>16</v>
      </c>
      <c r="H482" s="1" t="s">
        <v>29</v>
      </c>
      <c r="I482" s="1" t="s">
        <v>18</v>
      </c>
      <c r="J482">
        <v>30</v>
      </c>
      <c r="K482">
        <v>38</v>
      </c>
      <c r="L482" s="1" t="s">
        <v>21</v>
      </c>
    </row>
    <row r="483" spans="1:12" x14ac:dyDescent="0.3">
      <c r="A483" s="1" t="s">
        <v>1590</v>
      </c>
      <c r="B483" s="2">
        <v>46057</v>
      </c>
      <c r="C483" s="2">
        <v>46094</v>
      </c>
      <c r="D483" s="1" t="s">
        <v>23</v>
      </c>
      <c r="E483" s="1" t="s">
        <v>14</v>
      </c>
      <c r="F483" s="1" t="s">
        <v>38</v>
      </c>
      <c r="G483" s="1" t="s">
        <v>53</v>
      </c>
      <c r="H483" s="1" t="s">
        <v>43</v>
      </c>
      <c r="I483" s="1" t="s">
        <v>26</v>
      </c>
      <c r="J483">
        <v>15</v>
      </c>
      <c r="K483">
        <v>37</v>
      </c>
      <c r="L483" s="1" t="s">
        <v>21</v>
      </c>
    </row>
    <row r="484" spans="1:12" x14ac:dyDescent="0.3">
      <c r="A484" s="1" t="s">
        <v>2361</v>
      </c>
      <c r="B484" s="2">
        <v>46057</v>
      </c>
      <c r="C484" s="2">
        <v>46068</v>
      </c>
      <c r="D484" s="1" t="s">
        <v>23</v>
      </c>
      <c r="E484" s="1" t="s">
        <v>24</v>
      </c>
      <c r="F484" s="1" t="s">
        <v>15</v>
      </c>
      <c r="G484" s="1" t="s">
        <v>16</v>
      </c>
      <c r="H484" s="1" t="s">
        <v>25</v>
      </c>
      <c r="I484" s="1" t="s">
        <v>18</v>
      </c>
      <c r="J484">
        <v>30</v>
      </c>
      <c r="K484">
        <v>11</v>
      </c>
      <c r="L484" s="1" t="s">
        <v>30</v>
      </c>
    </row>
    <row r="485" spans="1:12" x14ac:dyDescent="0.3">
      <c r="A485" s="1" t="s">
        <v>2697</v>
      </c>
      <c r="B485" s="2">
        <v>46057</v>
      </c>
      <c r="C485" s="2">
        <v>46089</v>
      </c>
      <c r="D485" s="1" t="s">
        <v>13</v>
      </c>
      <c r="E485" s="1" t="s">
        <v>14</v>
      </c>
      <c r="F485" s="1" t="s">
        <v>15</v>
      </c>
      <c r="G485" s="1" t="s">
        <v>53</v>
      </c>
      <c r="H485" s="1" t="s">
        <v>17</v>
      </c>
      <c r="I485" s="1" t="s">
        <v>18</v>
      </c>
      <c r="J485">
        <v>30</v>
      </c>
      <c r="K485">
        <v>32</v>
      </c>
      <c r="L485" s="1" t="s">
        <v>21</v>
      </c>
    </row>
    <row r="486" spans="1:12" x14ac:dyDescent="0.3">
      <c r="A486" s="1" t="s">
        <v>2961</v>
      </c>
      <c r="B486" s="2">
        <v>46057</v>
      </c>
      <c r="C486" s="2">
        <v>46105</v>
      </c>
      <c r="D486" s="1" t="s">
        <v>13</v>
      </c>
      <c r="E486" s="1" t="s">
        <v>24</v>
      </c>
      <c r="F486" s="1" t="s">
        <v>15</v>
      </c>
      <c r="G486" s="1" t="s">
        <v>16</v>
      </c>
      <c r="H486" s="1" t="s">
        <v>47</v>
      </c>
      <c r="I486" s="1" t="s">
        <v>18</v>
      </c>
      <c r="J486">
        <v>30</v>
      </c>
      <c r="K486">
        <v>48</v>
      </c>
      <c r="L486" s="1" t="s">
        <v>44</v>
      </c>
    </row>
    <row r="487" spans="1:12" x14ac:dyDescent="0.3">
      <c r="A487" s="1" t="s">
        <v>519</v>
      </c>
      <c r="B487" s="2">
        <v>46056</v>
      </c>
      <c r="C487" s="2">
        <v>46082</v>
      </c>
      <c r="D487" s="1" t="s">
        <v>37</v>
      </c>
      <c r="E487" s="1" t="s">
        <v>14</v>
      </c>
      <c r="F487" s="1" t="s">
        <v>15</v>
      </c>
      <c r="G487" s="1" t="s">
        <v>16</v>
      </c>
      <c r="H487" s="1" t="s">
        <v>49</v>
      </c>
      <c r="I487" s="1" t="s">
        <v>26</v>
      </c>
      <c r="J487">
        <v>15</v>
      </c>
      <c r="K487">
        <v>26</v>
      </c>
      <c r="L487" s="1" t="s">
        <v>19</v>
      </c>
    </row>
    <row r="488" spans="1:12" x14ac:dyDescent="0.3">
      <c r="A488" s="1" t="s">
        <v>692</v>
      </c>
      <c r="B488" s="2">
        <v>46056</v>
      </c>
      <c r="C488" s="2">
        <v>46083</v>
      </c>
      <c r="D488" s="1" t="s">
        <v>23</v>
      </c>
      <c r="E488" s="1" t="s">
        <v>24</v>
      </c>
      <c r="F488" s="1" t="s">
        <v>15</v>
      </c>
      <c r="G488" s="1" t="s">
        <v>16</v>
      </c>
      <c r="H488" s="1" t="s">
        <v>43</v>
      </c>
      <c r="I488" s="1" t="s">
        <v>18</v>
      </c>
      <c r="J488">
        <v>30</v>
      </c>
      <c r="K488">
        <v>27</v>
      </c>
      <c r="L488" s="1" t="s">
        <v>19</v>
      </c>
    </row>
    <row r="489" spans="1:12" x14ac:dyDescent="0.3">
      <c r="A489" s="1" t="s">
        <v>817</v>
      </c>
      <c r="B489" s="2">
        <v>46056</v>
      </c>
      <c r="C489" s="2">
        <v>46082</v>
      </c>
      <c r="D489" s="1" t="s">
        <v>28</v>
      </c>
      <c r="E489" s="1" t="s">
        <v>24</v>
      </c>
      <c r="F489" s="1" t="s">
        <v>15</v>
      </c>
      <c r="G489" s="1" t="s">
        <v>33</v>
      </c>
      <c r="H489" s="1" t="s">
        <v>29</v>
      </c>
      <c r="I489" s="1" t="s">
        <v>41</v>
      </c>
      <c r="J489">
        <v>30</v>
      </c>
      <c r="K489">
        <v>26</v>
      </c>
      <c r="L489" s="1" t="s">
        <v>19</v>
      </c>
    </row>
    <row r="490" spans="1:12" x14ac:dyDescent="0.3">
      <c r="A490" s="1" t="s">
        <v>1205</v>
      </c>
      <c r="B490" s="2">
        <v>46056</v>
      </c>
      <c r="C490" s="2">
        <v>46059</v>
      </c>
      <c r="D490" s="1" t="s">
        <v>28</v>
      </c>
      <c r="E490" s="1" t="s">
        <v>24</v>
      </c>
      <c r="F490" s="1" t="s">
        <v>38</v>
      </c>
      <c r="G490" s="1" t="s">
        <v>16</v>
      </c>
      <c r="H490" s="1" t="s">
        <v>54</v>
      </c>
      <c r="I490" s="1" t="s">
        <v>41</v>
      </c>
      <c r="J490">
        <v>30</v>
      </c>
      <c r="K490">
        <v>3</v>
      </c>
      <c r="L490" s="1" t="s">
        <v>30</v>
      </c>
    </row>
    <row r="491" spans="1:12" x14ac:dyDescent="0.3">
      <c r="A491" s="1" t="s">
        <v>1699</v>
      </c>
      <c r="B491" s="2">
        <v>46056</v>
      </c>
      <c r="C491" s="2">
        <v>46067</v>
      </c>
      <c r="D491" s="1" t="s">
        <v>28</v>
      </c>
      <c r="E491" s="1" t="s">
        <v>24</v>
      </c>
      <c r="F491" s="1" t="s">
        <v>38</v>
      </c>
      <c r="G491" s="1" t="s">
        <v>16</v>
      </c>
      <c r="H491" s="1" t="s">
        <v>29</v>
      </c>
      <c r="I491" s="1" t="s">
        <v>26</v>
      </c>
      <c r="J491">
        <v>45</v>
      </c>
      <c r="K491">
        <v>11</v>
      </c>
      <c r="L491" s="1" t="s">
        <v>30</v>
      </c>
    </row>
    <row r="492" spans="1:12" x14ac:dyDescent="0.3">
      <c r="A492" s="1" t="s">
        <v>1905</v>
      </c>
      <c r="B492" s="2">
        <v>46056</v>
      </c>
      <c r="C492" s="2">
        <v>46110</v>
      </c>
      <c r="D492" s="1" t="s">
        <v>28</v>
      </c>
      <c r="E492" s="1" t="s">
        <v>14</v>
      </c>
      <c r="F492" s="1" t="s">
        <v>15</v>
      </c>
      <c r="G492" s="1" t="s">
        <v>16</v>
      </c>
      <c r="H492" s="1" t="s">
        <v>29</v>
      </c>
      <c r="I492" s="1" t="s">
        <v>26</v>
      </c>
      <c r="J492">
        <v>30</v>
      </c>
      <c r="K492">
        <v>54</v>
      </c>
      <c r="L492" s="1" t="s">
        <v>44</v>
      </c>
    </row>
    <row r="493" spans="1:12" x14ac:dyDescent="0.3">
      <c r="A493" s="1" t="s">
        <v>1926</v>
      </c>
      <c r="B493" s="2">
        <v>46056</v>
      </c>
      <c r="C493" s="2">
        <v>46084</v>
      </c>
      <c r="D493" s="1" t="s">
        <v>28</v>
      </c>
      <c r="E493" s="1" t="s">
        <v>14</v>
      </c>
      <c r="F493" s="1" t="s">
        <v>15</v>
      </c>
      <c r="G493" s="1" t="s">
        <v>16</v>
      </c>
      <c r="H493" s="1" t="s">
        <v>29</v>
      </c>
      <c r="I493" s="1" t="s">
        <v>26</v>
      </c>
      <c r="J493">
        <v>15</v>
      </c>
      <c r="K493">
        <v>28</v>
      </c>
      <c r="L493" s="1" t="s">
        <v>19</v>
      </c>
    </row>
    <row r="494" spans="1:12" x14ac:dyDescent="0.3">
      <c r="A494" s="1" t="s">
        <v>2191</v>
      </c>
      <c r="B494" s="2">
        <v>46056</v>
      </c>
      <c r="C494" s="2">
        <v>46088</v>
      </c>
      <c r="D494" s="1" t="s">
        <v>28</v>
      </c>
      <c r="E494" s="1" t="s">
        <v>14</v>
      </c>
      <c r="F494" s="1" t="s">
        <v>38</v>
      </c>
      <c r="G494" s="1" t="s">
        <v>16</v>
      </c>
      <c r="H494" s="1" t="s">
        <v>54</v>
      </c>
      <c r="I494" s="1" t="s">
        <v>26</v>
      </c>
      <c r="J494">
        <v>15</v>
      </c>
      <c r="K494">
        <v>32</v>
      </c>
      <c r="L494" s="1" t="s">
        <v>21</v>
      </c>
    </row>
    <row r="495" spans="1:12" x14ac:dyDescent="0.3">
      <c r="A495" s="1" t="s">
        <v>2663</v>
      </c>
      <c r="B495" s="2">
        <v>46056</v>
      </c>
      <c r="C495" s="2">
        <v>46112</v>
      </c>
      <c r="D495" s="1" t="s">
        <v>32</v>
      </c>
      <c r="E495" s="1" t="s">
        <v>14</v>
      </c>
      <c r="F495" s="1" t="s">
        <v>15</v>
      </c>
      <c r="G495" s="1" t="s">
        <v>33</v>
      </c>
      <c r="H495" s="1" t="s">
        <v>71</v>
      </c>
      <c r="I495" s="1" t="s">
        <v>41</v>
      </c>
      <c r="J495">
        <v>30</v>
      </c>
      <c r="K495">
        <v>56</v>
      </c>
      <c r="L495" s="1" t="s">
        <v>44</v>
      </c>
    </row>
    <row r="496" spans="1:12" x14ac:dyDescent="0.3">
      <c r="A496" s="1" t="s">
        <v>3198</v>
      </c>
      <c r="B496" s="2">
        <v>46056</v>
      </c>
      <c r="C496" s="2">
        <v>46120</v>
      </c>
      <c r="D496" s="1" t="s">
        <v>13</v>
      </c>
      <c r="E496" s="1" t="s">
        <v>14</v>
      </c>
      <c r="F496" s="1" t="s">
        <v>38</v>
      </c>
      <c r="G496" s="1" t="s">
        <v>53</v>
      </c>
      <c r="H496" s="1" t="s">
        <v>47</v>
      </c>
      <c r="I496" s="1" t="s">
        <v>18</v>
      </c>
      <c r="J496">
        <v>15</v>
      </c>
      <c r="K496">
        <v>64</v>
      </c>
      <c r="L496" s="1" t="s">
        <v>80</v>
      </c>
    </row>
    <row r="497" spans="1:12" x14ac:dyDescent="0.3">
      <c r="A497" s="1" t="s">
        <v>402</v>
      </c>
      <c r="B497" s="2">
        <v>46055</v>
      </c>
      <c r="C497" s="2">
        <v>46070</v>
      </c>
      <c r="D497" s="1" t="s">
        <v>28</v>
      </c>
      <c r="E497" s="1" t="s">
        <v>14</v>
      </c>
      <c r="F497" s="1" t="s">
        <v>38</v>
      </c>
      <c r="G497" s="1" t="s">
        <v>16</v>
      </c>
      <c r="H497" s="1" t="s">
        <v>54</v>
      </c>
      <c r="I497" s="1" t="s">
        <v>26</v>
      </c>
      <c r="J497">
        <v>15</v>
      </c>
      <c r="K497">
        <v>15</v>
      </c>
      <c r="L497" s="1" t="s">
        <v>19</v>
      </c>
    </row>
    <row r="498" spans="1:12" x14ac:dyDescent="0.3">
      <c r="A498" s="1" t="s">
        <v>1186</v>
      </c>
      <c r="B498" s="2">
        <v>46055</v>
      </c>
      <c r="C498" s="2">
        <v>46111</v>
      </c>
      <c r="D498" s="1" t="s">
        <v>37</v>
      </c>
      <c r="E498" s="1" t="s">
        <v>24</v>
      </c>
      <c r="F498" s="1" t="s">
        <v>15</v>
      </c>
      <c r="G498" s="1" t="s">
        <v>16</v>
      </c>
      <c r="H498" s="1" t="s">
        <v>39</v>
      </c>
      <c r="I498" s="1" t="s">
        <v>18</v>
      </c>
      <c r="J498">
        <v>30</v>
      </c>
      <c r="K498">
        <v>56</v>
      </c>
      <c r="L498" s="1" t="s">
        <v>44</v>
      </c>
    </row>
    <row r="499" spans="1:12" x14ac:dyDescent="0.3">
      <c r="A499" s="1" t="s">
        <v>907</v>
      </c>
      <c r="B499" s="2">
        <v>46055</v>
      </c>
      <c r="C499" s="2">
        <v>46091</v>
      </c>
      <c r="D499" s="1" t="s">
        <v>37</v>
      </c>
      <c r="E499" s="1" t="s">
        <v>24</v>
      </c>
      <c r="F499" s="1" t="s">
        <v>38</v>
      </c>
      <c r="G499" s="1" t="s">
        <v>16</v>
      </c>
      <c r="H499" s="1" t="s">
        <v>49</v>
      </c>
      <c r="I499" s="1" t="s">
        <v>18</v>
      </c>
      <c r="J499">
        <v>30</v>
      </c>
      <c r="K499">
        <v>36</v>
      </c>
      <c r="L499" s="1" t="s">
        <v>21</v>
      </c>
    </row>
    <row r="500" spans="1:12" x14ac:dyDescent="0.3">
      <c r="A500" s="1" t="s">
        <v>2481</v>
      </c>
      <c r="B500" s="2">
        <v>46055</v>
      </c>
      <c r="C500" s="2">
        <v>46078</v>
      </c>
      <c r="D500" s="1" t="s">
        <v>37</v>
      </c>
      <c r="E500" s="1" t="s">
        <v>24</v>
      </c>
      <c r="F500" s="1" t="s">
        <v>15</v>
      </c>
      <c r="G500" s="1" t="s">
        <v>16</v>
      </c>
      <c r="H500" s="1" t="s">
        <v>49</v>
      </c>
      <c r="I500" s="1" t="s">
        <v>26</v>
      </c>
      <c r="J500">
        <v>30</v>
      </c>
      <c r="K500">
        <v>23</v>
      </c>
      <c r="L500" s="1" t="s">
        <v>19</v>
      </c>
    </row>
    <row r="501" spans="1:12" x14ac:dyDescent="0.3">
      <c r="A501" s="1" t="s">
        <v>1641</v>
      </c>
      <c r="B501" s="2">
        <v>46055</v>
      </c>
      <c r="C501" s="2">
        <v>46063</v>
      </c>
      <c r="D501" s="1" t="s">
        <v>37</v>
      </c>
      <c r="E501" s="1" t="s">
        <v>14</v>
      </c>
      <c r="F501" s="1" t="s">
        <v>15</v>
      </c>
      <c r="G501" s="1" t="s">
        <v>16</v>
      </c>
      <c r="H501" s="1" t="s">
        <v>39</v>
      </c>
      <c r="I501" s="1" t="s">
        <v>41</v>
      </c>
      <c r="J501">
        <v>15</v>
      </c>
      <c r="K501">
        <v>8</v>
      </c>
      <c r="L501" s="1" t="s">
        <v>30</v>
      </c>
    </row>
    <row r="502" spans="1:12" x14ac:dyDescent="0.3">
      <c r="A502" s="1" t="s">
        <v>632</v>
      </c>
      <c r="B502" s="2">
        <v>46055</v>
      </c>
      <c r="C502" s="2">
        <v>46092</v>
      </c>
      <c r="D502" s="1" t="s">
        <v>23</v>
      </c>
      <c r="E502" s="1" t="s">
        <v>14</v>
      </c>
      <c r="F502" s="1" t="s">
        <v>15</v>
      </c>
      <c r="G502" s="1" t="s">
        <v>33</v>
      </c>
      <c r="H502" s="1" t="s">
        <v>25</v>
      </c>
      <c r="I502" s="1" t="s">
        <v>26</v>
      </c>
      <c r="J502">
        <v>15</v>
      </c>
      <c r="K502">
        <v>37</v>
      </c>
      <c r="L502" s="1" t="s">
        <v>21</v>
      </c>
    </row>
    <row r="503" spans="1:12" x14ac:dyDescent="0.3">
      <c r="A503" s="1" t="s">
        <v>765</v>
      </c>
      <c r="B503" s="2">
        <v>46055</v>
      </c>
      <c r="C503" s="2">
        <v>46109</v>
      </c>
      <c r="D503" s="1" t="s">
        <v>28</v>
      </c>
      <c r="E503" s="1" t="s">
        <v>24</v>
      </c>
      <c r="F503" s="1" t="s">
        <v>15</v>
      </c>
      <c r="G503" s="1" t="s">
        <v>16</v>
      </c>
      <c r="H503" s="1" t="s">
        <v>29</v>
      </c>
      <c r="I503" s="1" t="s">
        <v>18</v>
      </c>
      <c r="J503">
        <v>30</v>
      </c>
      <c r="K503">
        <v>54</v>
      </c>
      <c r="L503" s="1" t="s">
        <v>44</v>
      </c>
    </row>
    <row r="504" spans="1:12" x14ac:dyDescent="0.3">
      <c r="A504" s="1" t="s">
        <v>1168</v>
      </c>
      <c r="B504" s="2">
        <v>46055</v>
      </c>
      <c r="C504" s="2">
        <v>46092</v>
      </c>
      <c r="D504" s="1" t="s">
        <v>23</v>
      </c>
      <c r="E504" s="1" t="s">
        <v>24</v>
      </c>
      <c r="F504" s="1" t="s">
        <v>15</v>
      </c>
      <c r="G504" s="1" t="s">
        <v>16</v>
      </c>
      <c r="H504" s="1" t="s">
        <v>25</v>
      </c>
      <c r="I504" s="1" t="s">
        <v>26</v>
      </c>
      <c r="J504">
        <v>30</v>
      </c>
      <c r="K504">
        <v>37</v>
      </c>
      <c r="L504" s="1" t="s">
        <v>21</v>
      </c>
    </row>
    <row r="505" spans="1:12" x14ac:dyDescent="0.3">
      <c r="A505" s="1" t="s">
        <v>1886</v>
      </c>
      <c r="B505" s="2">
        <v>46055</v>
      </c>
      <c r="C505" s="2">
        <v>46108</v>
      </c>
      <c r="D505" s="1" t="s">
        <v>13</v>
      </c>
      <c r="E505" s="1" t="s">
        <v>14</v>
      </c>
      <c r="F505" s="1" t="s">
        <v>15</v>
      </c>
      <c r="G505" s="1" t="s">
        <v>16</v>
      </c>
      <c r="H505" s="1" t="s">
        <v>47</v>
      </c>
      <c r="I505" s="1" t="s">
        <v>26</v>
      </c>
      <c r="J505">
        <v>15</v>
      </c>
      <c r="K505">
        <v>53</v>
      </c>
      <c r="L505" s="1" t="s">
        <v>44</v>
      </c>
    </row>
    <row r="506" spans="1:12" x14ac:dyDescent="0.3">
      <c r="A506" s="1" t="s">
        <v>2078</v>
      </c>
      <c r="B506" s="2">
        <v>46055</v>
      </c>
      <c r="C506" s="2">
        <v>46134</v>
      </c>
      <c r="D506" s="1" t="s">
        <v>32</v>
      </c>
      <c r="E506" s="1" t="s">
        <v>14</v>
      </c>
      <c r="F506" s="1" t="s">
        <v>15</v>
      </c>
      <c r="G506" s="1" t="s">
        <v>16</v>
      </c>
      <c r="H506" s="1" t="s">
        <v>71</v>
      </c>
      <c r="I506" s="1" t="s">
        <v>26</v>
      </c>
      <c r="J506">
        <v>30</v>
      </c>
      <c r="K506">
        <v>79</v>
      </c>
      <c r="L506" s="1" t="s">
        <v>80</v>
      </c>
    </row>
    <row r="507" spans="1:12" x14ac:dyDescent="0.3">
      <c r="A507" s="1" t="s">
        <v>134</v>
      </c>
      <c r="B507" s="2">
        <v>46054</v>
      </c>
      <c r="C507" s="2">
        <v>46098</v>
      </c>
      <c r="D507" s="1" t="s">
        <v>32</v>
      </c>
      <c r="E507" s="1" t="s">
        <v>14</v>
      </c>
      <c r="F507" s="1" t="s">
        <v>15</v>
      </c>
      <c r="G507" s="1" t="s">
        <v>53</v>
      </c>
      <c r="H507" s="1" t="s">
        <v>34</v>
      </c>
      <c r="I507" s="1" t="s">
        <v>18</v>
      </c>
      <c r="J507">
        <v>15</v>
      </c>
      <c r="K507">
        <v>44</v>
      </c>
      <c r="L507" s="1" t="s">
        <v>44</v>
      </c>
    </row>
    <row r="508" spans="1:12" x14ac:dyDescent="0.3">
      <c r="A508" s="1" t="s">
        <v>501</v>
      </c>
      <c r="B508" s="2">
        <v>46054</v>
      </c>
      <c r="C508" s="2">
        <v>46099</v>
      </c>
      <c r="D508" s="1" t="s">
        <v>32</v>
      </c>
      <c r="E508" s="1" t="s">
        <v>24</v>
      </c>
      <c r="F508" s="1" t="s">
        <v>38</v>
      </c>
      <c r="G508" s="1" t="s">
        <v>16</v>
      </c>
      <c r="H508" s="1" t="s">
        <v>71</v>
      </c>
      <c r="I508" s="1" t="s">
        <v>18</v>
      </c>
      <c r="J508">
        <v>30</v>
      </c>
      <c r="K508">
        <v>45</v>
      </c>
      <c r="L508" s="1" t="s">
        <v>44</v>
      </c>
    </row>
    <row r="509" spans="1:12" x14ac:dyDescent="0.3">
      <c r="A509" s="1" t="s">
        <v>555</v>
      </c>
      <c r="B509" s="2">
        <v>46054</v>
      </c>
      <c r="C509" s="2">
        <v>46056</v>
      </c>
      <c r="D509" s="1" t="s">
        <v>28</v>
      </c>
      <c r="E509" s="1" t="s">
        <v>14</v>
      </c>
      <c r="F509" s="1" t="s">
        <v>15</v>
      </c>
      <c r="G509" s="1" t="s">
        <v>53</v>
      </c>
      <c r="H509" s="1" t="s">
        <v>54</v>
      </c>
      <c r="I509" s="1" t="s">
        <v>26</v>
      </c>
      <c r="J509">
        <v>15</v>
      </c>
      <c r="K509">
        <v>2</v>
      </c>
      <c r="L509" s="1" t="s">
        <v>30</v>
      </c>
    </row>
    <row r="510" spans="1:12" x14ac:dyDescent="0.3">
      <c r="A510" s="1" t="s">
        <v>2210</v>
      </c>
      <c r="B510" s="2">
        <v>46054</v>
      </c>
      <c r="C510" s="2">
        <v>46100</v>
      </c>
      <c r="D510" s="1" t="s">
        <v>37</v>
      </c>
      <c r="E510" s="1" t="s">
        <v>14</v>
      </c>
      <c r="F510" s="1" t="s">
        <v>15</v>
      </c>
      <c r="G510" s="1" t="s">
        <v>16</v>
      </c>
      <c r="H510" s="1" t="s">
        <v>39</v>
      </c>
      <c r="I510" s="1" t="s">
        <v>41</v>
      </c>
      <c r="J510">
        <v>30</v>
      </c>
      <c r="K510">
        <v>46</v>
      </c>
      <c r="L510" s="1" t="s">
        <v>44</v>
      </c>
    </row>
    <row r="511" spans="1:12" x14ac:dyDescent="0.3">
      <c r="A511" s="1" t="s">
        <v>1542</v>
      </c>
      <c r="B511" s="2">
        <v>46054</v>
      </c>
      <c r="C511" s="2">
        <v>46083</v>
      </c>
      <c r="D511" s="1" t="s">
        <v>37</v>
      </c>
      <c r="E511" s="1" t="s">
        <v>14</v>
      </c>
      <c r="F511" s="1" t="s">
        <v>15</v>
      </c>
      <c r="G511" s="1" t="s">
        <v>33</v>
      </c>
      <c r="H511" s="1" t="s">
        <v>49</v>
      </c>
      <c r="I511" s="1" t="s">
        <v>18</v>
      </c>
      <c r="J511">
        <v>15</v>
      </c>
      <c r="K511">
        <v>29</v>
      </c>
      <c r="L511" s="1" t="s">
        <v>21</v>
      </c>
    </row>
    <row r="512" spans="1:12" x14ac:dyDescent="0.3">
      <c r="A512" s="1" t="s">
        <v>1066</v>
      </c>
      <c r="B512" s="2">
        <v>46054</v>
      </c>
      <c r="C512" s="2">
        <v>46095</v>
      </c>
      <c r="D512" s="1" t="s">
        <v>23</v>
      </c>
      <c r="E512" s="1" t="s">
        <v>14</v>
      </c>
      <c r="F512" s="1" t="s">
        <v>15</v>
      </c>
      <c r="G512" s="1" t="s">
        <v>53</v>
      </c>
      <c r="H512" s="1" t="s">
        <v>43</v>
      </c>
      <c r="I512" s="1" t="s">
        <v>18</v>
      </c>
      <c r="J512">
        <v>15</v>
      </c>
      <c r="K512">
        <v>41</v>
      </c>
      <c r="L512" s="1" t="s">
        <v>21</v>
      </c>
    </row>
    <row r="513" spans="1:12" x14ac:dyDescent="0.3">
      <c r="A513" s="1" t="s">
        <v>1135</v>
      </c>
      <c r="B513" s="2">
        <v>46054</v>
      </c>
      <c r="C513" s="2">
        <v>46112</v>
      </c>
      <c r="D513" s="1" t="s">
        <v>13</v>
      </c>
      <c r="E513" s="1" t="s">
        <v>24</v>
      </c>
      <c r="F513" s="1" t="s">
        <v>38</v>
      </c>
      <c r="G513" s="1" t="s">
        <v>16</v>
      </c>
      <c r="H513" s="1" t="s">
        <v>47</v>
      </c>
      <c r="I513" s="1" t="s">
        <v>18</v>
      </c>
      <c r="J513">
        <v>45</v>
      </c>
      <c r="K513">
        <v>58</v>
      </c>
      <c r="L513" s="1" t="s">
        <v>80</v>
      </c>
    </row>
    <row r="514" spans="1:12" x14ac:dyDescent="0.3">
      <c r="A514" s="1" t="s">
        <v>2868</v>
      </c>
      <c r="B514" s="2">
        <v>46054</v>
      </c>
      <c r="C514" s="2">
        <v>46082</v>
      </c>
      <c r="D514" s="1" t="s">
        <v>32</v>
      </c>
      <c r="E514" s="1" t="s">
        <v>14</v>
      </c>
      <c r="F514" s="1" t="s">
        <v>38</v>
      </c>
      <c r="G514" s="1" t="s">
        <v>16</v>
      </c>
      <c r="H514" s="1" t="s">
        <v>71</v>
      </c>
      <c r="I514" s="1" t="s">
        <v>18</v>
      </c>
      <c r="J514">
        <v>30</v>
      </c>
      <c r="K514">
        <v>28</v>
      </c>
      <c r="L514" s="1" t="s">
        <v>19</v>
      </c>
    </row>
    <row r="515" spans="1:12" x14ac:dyDescent="0.3">
      <c r="A515" s="1" t="s">
        <v>58</v>
      </c>
      <c r="B515" s="2">
        <v>46053</v>
      </c>
      <c r="C515" s="2">
        <v>46055</v>
      </c>
      <c r="D515" s="1" t="s">
        <v>13</v>
      </c>
      <c r="E515" s="1" t="s">
        <v>24</v>
      </c>
      <c r="F515" s="1" t="s">
        <v>15</v>
      </c>
      <c r="G515" s="1" t="s">
        <v>53</v>
      </c>
      <c r="H515" s="1" t="s">
        <v>17</v>
      </c>
      <c r="I515" s="1" t="s">
        <v>26</v>
      </c>
      <c r="J515">
        <v>30</v>
      </c>
      <c r="K515">
        <v>2</v>
      </c>
      <c r="L515" s="1" t="s">
        <v>30</v>
      </c>
    </row>
    <row r="516" spans="1:12" x14ac:dyDescent="0.3">
      <c r="A516" s="1" t="s">
        <v>2250</v>
      </c>
      <c r="B516" s="2">
        <v>46053</v>
      </c>
      <c r="C516" s="2">
        <v>46096</v>
      </c>
      <c r="D516" s="1" t="s">
        <v>37</v>
      </c>
      <c r="E516" s="1" t="s">
        <v>24</v>
      </c>
      <c r="F516" s="1" t="s">
        <v>38</v>
      </c>
      <c r="G516" s="1" t="s">
        <v>33</v>
      </c>
      <c r="H516" s="1" t="s">
        <v>49</v>
      </c>
      <c r="I516" s="1" t="s">
        <v>18</v>
      </c>
      <c r="J516">
        <v>30</v>
      </c>
      <c r="K516">
        <v>43</v>
      </c>
      <c r="L516" s="1" t="s">
        <v>44</v>
      </c>
    </row>
    <row r="517" spans="1:12" x14ac:dyDescent="0.3">
      <c r="A517" s="1" t="s">
        <v>2003</v>
      </c>
      <c r="B517" s="2">
        <v>46053</v>
      </c>
      <c r="C517" s="2">
        <v>46074</v>
      </c>
      <c r="D517" s="1" t="s">
        <v>37</v>
      </c>
      <c r="E517" s="1" t="s">
        <v>14</v>
      </c>
      <c r="F517" s="1" t="s">
        <v>15</v>
      </c>
      <c r="G517" s="1" t="s">
        <v>16</v>
      </c>
      <c r="H517" s="1" t="s">
        <v>39</v>
      </c>
      <c r="I517" s="1" t="s">
        <v>26</v>
      </c>
      <c r="J517">
        <v>15</v>
      </c>
      <c r="K517">
        <v>21</v>
      </c>
      <c r="L517" s="1" t="s">
        <v>19</v>
      </c>
    </row>
    <row r="518" spans="1:12" x14ac:dyDescent="0.3">
      <c r="A518" s="1" t="s">
        <v>910</v>
      </c>
      <c r="B518" s="2">
        <v>46053</v>
      </c>
      <c r="C518" s="2">
        <v>46077</v>
      </c>
      <c r="D518" s="1" t="s">
        <v>23</v>
      </c>
      <c r="E518" s="1" t="s">
        <v>14</v>
      </c>
      <c r="F518" s="1" t="s">
        <v>15</v>
      </c>
      <c r="G518" s="1" t="s">
        <v>53</v>
      </c>
      <c r="H518" s="1" t="s">
        <v>43</v>
      </c>
      <c r="I518" s="1" t="s">
        <v>18</v>
      </c>
      <c r="J518">
        <v>15</v>
      </c>
      <c r="K518">
        <v>24</v>
      </c>
      <c r="L518" s="1" t="s">
        <v>19</v>
      </c>
    </row>
    <row r="519" spans="1:12" x14ac:dyDescent="0.3">
      <c r="A519" s="1" t="s">
        <v>1005</v>
      </c>
      <c r="B519" s="2">
        <v>46053</v>
      </c>
      <c r="C519" s="2">
        <v>46084</v>
      </c>
      <c r="D519" s="1" t="s">
        <v>13</v>
      </c>
      <c r="E519" s="1" t="s">
        <v>24</v>
      </c>
      <c r="F519" s="1" t="s">
        <v>15</v>
      </c>
      <c r="G519" s="1" t="s">
        <v>16</v>
      </c>
      <c r="H519" s="1" t="s">
        <v>47</v>
      </c>
      <c r="I519" s="1" t="s">
        <v>41</v>
      </c>
      <c r="J519">
        <v>30</v>
      </c>
      <c r="K519">
        <v>31</v>
      </c>
      <c r="L519" s="1" t="s">
        <v>21</v>
      </c>
    </row>
    <row r="520" spans="1:12" x14ac:dyDescent="0.3">
      <c r="A520" s="1" t="s">
        <v>1128</v>
      </c>
      <c r="B520" s="2">
        <v>46053</v>
      </c>
      <c r="C520" s="2">
        <v>46085</v>
      </c>
      <c r="D520" s="1" t="s">
        <v>13</v>
      </c>
      <c r="E520" s="1" t="s">
        <v>14</v>
      </c>
      <c r="F520" s="1" t="s">
        <v>15</v>
      </c>
      <c r="G520" s="1" t="s">
        <v>53</v>
      </c>
      <c r="H520" s="1" t="s">
        <v>17</v>
      </c>
      <c r="I520" s="1" t="s">
        <v>26</v>
      </c>
      <c r="J520">
        <v>15</v>
      </c>
      <c r="K520">
        <v>32</v>
      </c>
      <c r="L520" s="1" t="s">
        <v>21</v>
      </c>
    </row>
    <row r="521" spans="1:12" x14ac:dyDescent="0.3">
      <c r="A521" s="1" t="s">
        <v>1167</v>
      </c>
      <c r="B521" s="2">
        <v>46053</v>
      </c>
      <c r="C521" s="2">
        <v>46061</v>
      </c>
      <c r="D521" s="1" t="s">
        <v>28</v>
      </c>
      <c r="E521" s="1" t="s">
        <v>14</v>
      </c>
      <c r="F521" s="1" t="s">
        <v>15</v>
      </c>
      <c r="G521" s="1" t="s">
        <v>16</v>
      </c>
      <c r="H521" s="1" t="s">
        <v>54</v>
      </c>
      <c r="I521" s="1" t="s">
        <v>26</v>
      </c>
      <c r="J521">
        <v>15</v>
      </c>
      <c r="K521">
        <v>8</v>
      </c>
      <c r="L521" s="1" t="s">
        <v>30</v>
      </c>
    </row>
    <row r="522" spans="1:12" x14ac:dyDescent="0.3">
      <c r="A522" s="1" t="s">
        <v>1701</v>
      </c>
      <c r="B522" s="2">
        <v>46053</v>
      </c>
      <c r="C522" s="2">
        <v>46128</v>
      </c>
      <c r="D522" s="1" t="s">
        <v>23</v>
      </c>
      <c r="E522" s="1" t="s">
        <v>24</v>
      </c>
      <c r="F522" s="1" t="s">
        <v>15</v>
      </c>
      <c r="G522" s="1" t="s">
        <v>33</v>
      </c>
      <c r="H522" s="1" t="s">
        <v>25</v>
      </c>
      <c r="I522" s="1" t="s">
        <v>26</v>
      </c>
      <c r="J522">
        <v>30</v>
      </c>
      <c r="K522">
        <v>75</v>
      </c>
      <c r="L522" s="1" t="s">
        <v>80</v>
      </c>
    </row>
    <row r="523" spans="1:12" x14ac:dyDescent="0.3">
      <c r="A523" s="1" t="s">
        <v>2011</v>
      </c>
      <c r="B523" s="2">
        <v>46053</v>
      </c>
      <c r="C523" s="2">
        <v>46060</v>
      </c>
      <c r="D523" s="1" t="s">
        <v>13</v>
      </c>
      <c r="E523" s="1" t="s">
        <v>14</v>
      </c>
      <c r="F523" s="1" t="s">
        <v>38</v>
      </c>
      <c r="G523" s="1" t="s">
        <v>16</v>
      </c>
      <c r="H523" s="1" t="s">
        <v>47</v>
      </c>
      <c r="I523" s="1" t="s">
        <v>41</v>
      </c>
      <c r="J523">
        <v>15</v>
      </c>
      <c r="K523">
        <v>7</v>
      </c>
      <c r="L523" s="1" t="s">
        <v>30</v>
      </c>
    </row>
    <row r="524" spans="1:12" x14ac:dyDescent="0.3">
      <c r="A524" s="1" t="s">
        <v>2493</v>
      </c>
      <c r="B524" s="2">
        <v>46053</v>
      </c>
      <c r="C524" s="2">
        <v>46094</v>
      </c>
      <c r="D524" s="1" t="s">
        <v>13</v>
      </c>
      <c r="E524" s="1" t="s">
        <v>24</v>
      </c>
      <c r="F524" s="1" t="s">
        <v>15</v>
      </c>
      <c r="G524" s="1" t="s">
        <v>16</v>
      </c>
      <c r="H524" s="1" t="s">
        <v>17</v>
      </c>
      <c r="I524" s="1" t="s">
        <v>18</v>
      </c>
      <c r="J524">
        <v>30</v>
      </c>
      <c r="K524">
        <v>41</v>
      </c>
      <c r="L524" s="1" t="s">
        <v>21</v>
      </c>
    </row>
    <row r="525" spans="1:12" x14ac:dyDescent="0.3">
      <c r="A525" s="1" t="s">
        <v>2499</v>
      </c>
      <c r="B525" s="2">
        <v>46053</v>
      </c>
      <c r="C525" s="2">
        <v>46115</v>
      </c>
      <c r="D525" s="1" t="s">
        <v>13</v>
      </c>
      <c r="E525" s="1" t="s">
        <v>24</v>
      </c>
      <c r="F525" s="1" t="s">
        <v>38</v>
      </c>
      <c r="G525" s="1" t="s">
        <v>16</v>
      </c>
      <c r="H525" s="1" t="s">
        <v>17</v>
      </c>
      <c r="I525" s="1" t="s">
        <v>41</v>
      </c>
      <c r="J525">
        <v>45</v>
      </c>
      <c r="K525">
        <v>62</v>
      </c>
      <c r="L525" s="1" t="s">
        <v>80</v>
      </c>
    </row>
    <row r="526" spans="1:12" x14ac:dyDescent="0.3">
      <c r="A526" s="1" t="s">
        <v>2746</v>
      </c>
      <c r="B526" s="2">
        <v>46052</v>
      </c>
      <c r="C526" s="2">
        <v>46102</v>
      </c>
      <c r="D526" s="1" t="s">
        <v>37</v>
      </c>
      <c r="E526" s="1" t="s">
        <v>14</v>
      </c>
      <c r="F526" s="1" t="s">
        <v>15</v>
      </c>
      <c r="G526" s="1" t="s">
        <v>16</v>
      </c>
      <c r="H526" s="1" t="s">
        <v>49</v>
      </c>
      <c r="I526" s="1" t="s">
        <v>26</v>
      </c>
      <c r="J526">
        <v>30</v>
      </c>
      <c r="K526">
        <v>50</v>
      </c>
      <c r="L526" s="1" t="s">
        <v>44</v>
      </c>
    </row>
    <row r="527" spans="1:12" x14ac:dyDescent="0.3">
      <c r="A527" s="1" t="s">
        <v>1058</v>
      </c>
      <c r="B527" s="2">
        <v>46052</v>
      </c>
      <c r="C527" s="2">
        <v>46093</v>
      </c>
      <c r="D527" s="1" t="s">
        <v>37</v>
      </c>
      <c r="E527" s="1" t="s">
        <v>24</v>
      </c>
      <c r="F527" s="1" t="s">
        <v>15</v>
      </c>
      <c r="G527" s="1" t="s">
        <v>16</v>
      </c>
      <c r="H527" s="1" t="s">
        <v>39</v>
      </c>
      <c r="I527" s="1" t="s">
        <v>26</v>
      </c>
      <c r="J527">
        <v>45</v>
      </c>
      <c r="K527">
        <v>41</v>
      </c>
      <c r="L527" s="1" t="s">
        <v>21</v>
      </c>
    </row>
    <row r="528" spans="1:12" x14ac:dyDescent="0.3">
      <c r="A528" s="1" t="s">
        <v>1139</v>
      </c>
      <c r="B528" s="2">
        <v>46052</v>
      </c>
      <c r="C528" s="2">
        <v>46091</v>
      </c>
      <c r="D528" s="1" t="s">
        <v>37</v>
      </c>
      <c r="E528" s="1" t="s">
        <v>14</v>
      </c>
      <c r="F528" s="1" t="s">
        <v>15</v>
      </c>
      <c r="G528" s="1" t="s">
        <v>16</v>
      </c>
      <c r="H528" s="1" t="s">
        <v>49</v>
      </c>
      <c r="I528" s="1" t="s">
        <v>18</v>
      </c>
      <c r="J528">
        <v>15</v>
      </c>
      <c r="K528">
        <v>39</v>
      </c>
      <c r="L528" s="1" t="s">
        <v>21</v>
      </c>
    </row>
    <row r="529" spans="1:12" x14ac:dyDescent="0.3">
      <c r="A529" s="1" t="s">
        <v>631</v>
      </c>
      <c r="B529" s="2">
        <v>46052</v>
      </c>
      <c r="C529" s="2">
        <v>46080</v>
      </c>
      <c r="D529" s="1" t="s">
        <v>37</v>
      </c>
      <c r="E529" s="1" t="s">
        <v>14</v>
      </c>
      <c r="F529" s="1" t="s">
        <v>15</v>
      </c>
      <c r="G529" s="1" t="s">
        <v>33</v>
      </c>
      <c r="H529" s="1" t="s">
        <v>49</v>
      </c>
      <c r="I529" s="1" t="s">
        <v>41</v>
      </c>
      <c r="J529">
        <v>30</v>
      </c>
      <c r="K529">
        <v>28</v>
      </c>
      <c r="L529" s="1" t="s">
        <v>19</v>
      </c>
    </row>
    <row r="530" spans="1:12" x14ac:dyDescent="0.3">
      <c r="A530" s="1" t="s">
        <v>2826</v>
      </c>
      <c r="B530" s="2">
        <v>46052</v>
      </c>
      <c r="C530" s="2">
        <v>46078</v>
      </c>
      <c r="D530" s="1" t="s">
        <v>37</v>
      </c>
      <c r="E530" s="1" t="s">
        <v>14</v>
      </c>
      <c r="F530" s="1" t="s">
        <v>15</v>
      </c>
      <c r="G530" s="1" t="s">
        <v>16</v>
      </c>
      <c r="H530" s="1" t="s">
        <v>49</v>
      </c>
      <c r="I530" s="1" t="s">
        <v>26</v>
      </c>
      <c r="J530">
        <v>15</v>
      </c>
      <c r="K530">
        <v>26</v>
      </c>
      <c r="L530" s="1" t="s">
        <v>19</v>
      </c>
    </row>
    <row r="531" spans="1:12" x14ac:dyDescent="0.3">
      <c r="A531" s="1" t="s">
        <v>858</v>
      </c>
      <c r="B531" s="2">
        <v>46052</v>
      </c>
      <c r="C531" s="2">
        <v>46054</v>
      </c>
      <c r="D531" s="1" t="s">
        <v>37</v>
      </c>
      <c r="E531" s="1" t="s">
        <v>24</v>
      </c>
      <c r="F531" s="1" t="s">
        <v>15</v>
      </c>
      <c r="G531" s="1" t="s">
        <v>16</v>
      </c>
      <c r="H531" s="1" t="s">
        <v>39</v>
      </c>
      <c r="I531" s="1" t="s">
        <v>26</v>
      </c>
      <c r="J531">
        <v>30</v>
      </c>
      <c r="K531">
        <v>2</v>
      </c>
      <c r="L531" s="1" t="s">
        <v>30</v>
      </c>
    </row>
    <row r="532" spans="1:12" x14ac:dyDescent="0.3">
      <c r="A532" s="1" t="s">
        <v>1122</v>
      </c>
      <c r="B532" s="2">
        <v>46052</v>
      </c>
      <c r="C532" s="2">
        <v>46076</v>
      </c>
      <c r="D532" s="1" t="s">
        <v>23</v>
      </c>
      <c r="E532" s="1" t="s">
        <v>24</v>
      </c>
      <c r="F532" s="1" t="s">
        <v>15</v>
      </c>
      <c r="G532" s="1" t="s">
        <v>16</v>
      </c>
      <c r="H532" s="1" t="s">
        <v>25</v>
      </c>
      <c r="I532" s="1" t="s">
        <v>41</v>
      </c>
      <c r="J532">
        <v>30</v>
      </c>
      <c r="K532">
        <v>24</v>
      </c>
      <c r="L532" s="1" t="s">
        <v>19</v>
      </c>
    </row>
    <row r="533" spans="1:12" x14ac:dyDescent="0.3">
      <c r="A533" s="1" t="s">
        <v>1692</v>
      </c>
      <c r="B533" s="2">
        <v>46052</v>
      </c>
      <c r="C533" s="2">
        <v>46077</v>
      </c>
      <c r="D533" s="1" t="s">
        <v>23</v>
      </c>
      <c r="E533" s="1" t="s">
        <v>24</v>
      </c>
      <c r="F533" s="1" t="s">
        <v>15</v>
      </c>
      <c r="G533" s="1" t="s">
        <v>16</v>
      </c>
      <c r="H533" s="1" t="s">
        <v>43</v>
      </c>
      <c r="I533" s="1" t="s">
        <v>18</v>
      </c>
      <c r="J533">
        <v>30</v>
      </c>
      <c r="K533">
        <v>25</v>
      </c>
      <c r="L533" s="1" t="s">
        <v>19</v>
      </c>
    </row>
    <row r="534" spans="1:12" x14ac:dyDescent="0.3">
      <c r="A534" s="1" t="s">
        <v>1907</v>
      </c>
      <c r="B534" s="2">
        <v>46052</v>
      </c>
      <c r="C534" s="2">
        <v>46137</v>
      </c>
      <c r="D534" s="1" t="s">
        <v>23</v>
      </c>
      <c r="E534" s="1" t="s">
        <v>14</v>
      </c>
      <c r="F534" s="1" t="s">
        <v>15</v>
      </c>
      <c r="G534" s="1" t="s">
        <v>16</v>
      </c>
      <c r="H534" s="1" t="s">
        <v>43</v>
      </c>
      <c r="I534" s="1" t="s">
        <v>41</v>
      </c>
      <c r="J534">
        <v>15</v>
      </c>
      <c r="K534">
        <v>85</v>
      </c>
      <c r="L534" s="1" t="s">
        <v>80</v>
      </c>
    </row>
    <row r="535" spans="1:12" x14ac:dyDescent="0.3">
      <c r="A535" s="1" t="s">
        <v>3093</v>
      </c>
      <c r="B535" s="2">
        <v>46052</v>
      </c>
      <c r="C535" s="2">
        <v>46088</v>
      </c>
      <c r="D535" s="1" t="s">
        <v>23</v>
      </c>
      <c r="E535" s="1" t="s">
        <v>24</v>
      </c>
      <c r="F535" s="1" t="s">
        <v>38</v>
      </c>
      <c r="G535" s="1" t="s">
        <v>16</v>
      </c>
      <c r="H535" s="1" t="s">
        <v>25</v>
      </c>
      <c r="I535" s="1" t="s">
        <v>18</v>
      </c>
      <c r="J535">
        <v>30</v>
      </c>
      <c r="K535">
        <v>36</v>
      </c>
      <c r="L535" s="1" t="s">
        <v>21</v>
      </c>
    </row>
    <row r="536" spans="1:12" x14ac:dyDescent="0.3">
      <c r="A536" s="1" t="s">
        <v>3190</v>
      </c>
      <c r="B536" s="2">
        <v>46052</v>
      </c>
      <c r="C536" s="2">
        <v>46080</v>
      </c>
      <c r="D536" s="1" t="s">
        <v>28</v>
      </c>
      <c r="E536" s="1" t="s">
        <v>24</v>
      </c>
      <c r="F536" s="1" t="s">
        <v>15</v>
      </c>
      <c r="G536" s="1" t="s">
        <v>16</v>
      </c>
      <c r="H536" s="1" t="s">
        <v>54</v>
      </c>
      <c r="I536" s="1" t="s">
        <v>41</v>
      </c>
      <c r="J536">
        <v>30</v>
      </c>
      <c r="K536">
        <v>28</v>
      </c>
      <c r="L536" s="1" t="s">
        <v>19</v>
      </c>
    </row>
    <row r="537" spans="1:12" x14ac:dyDescent="0.3">
      <c r="A537" s="1" t="s">
        <v>125</v>
      </c>
      <c r="B537" s="2">
        <v>46051</v>
      </c>
      <c r="C537" s="2">
        <v>46097</v>
      </c>
      <c r="D537" s="1" t="s">
        <v>23</v>
      </c>
      <c r="E537" s="1" t="s">
        <v>14</v>
      </c>
      <c r="F537" s="1" t="s">
        <v>15</v>
      </c>
      <c r="G537" s="1" t="s">
        <v>53</v>
      </c>
      <c r="H537" s="1" t="s">
        <v>25</v>
      </c>
      <c r="I537" s="1" t="s">
        <v>41</v>
      </c>
      <c r="J537">
        <v>15</v>
      </c>
      <c r="K537">
        <v>46</v>
      </c>
      <c r="L537" s="1" t="s">
        <v>44</v>
      </c>
    </row>
    <row r="538" spans="1:12" x14ac:dyDescent="0.3">
      <c r="A538" s="1" t="s">
        <v>142</v>
      </c>
      <c r="B538" s="2">
        <v>46051</v>
      </c>
      <c r="C538" s="2">
        <v>46128</v>
      </c>
      <c r="D538" s="1" t="s">
        <v>37</v>
      </c>
      <c r="E538" s="1" t="s">
        <v>14</v>
      </c>
      <c r="F538" s="1" t="s">
        <v>15</v>
      </c>
      <c r="G538" s="1" t="s">
        <v>16</v>
      </c>
      <c r="H538" s="1" t="s">
        <v>49</v>
      </c>
      <c r="I538" s="1" t="s">
        <v>18</v>
      </c>
      <c r="J538">
        <v>30</v>
      </c>
      <c r="K538">
        <v>77</v>
      </c>
      <c r="L538" s="1" t="s">
        <v>80</v>
      </c>
    </row>
    <row r="539" spans="1:12" x14ac:dyDescent="0.3">
      <c r="A539" s="1" t="s">
        <v>2288</v>
      </c>
      <c r="B539" s="2">
        <v>46051</v>
      </c>
      <c r="C539" s="2">
        <v>46053</v>
      </c>
      <c r="D539" s="1" t="s">
        <v>37</v>
      </c>
      <c r="E539" s="1" t="s">
        <v>14</v>
      </c>
      <c r="F539" s="1" t="s">
        <v>15</v>
      </c>
      <c r="G539" s="1" t="s">
        <v>16</v>
      </c>
      <c r="H539" s="1" t="s">
        <v>39</v>
      </c>
      <c r="I539" s="1" t="s">
        <v>41</v>
      </c>
      <c r="J539">
        <v>30</v>
      </c>
      <c r="K539">
        <v>2</v>
      </c>
      <c r="L539" s="1" t="s">
        <v>30</v>
      </c>
    </row>
    <row r="540" spans="1:12" x14ac:dyDescent="0.3">
      <c r="A540" s="1" t="s">
        <v>624</v>
      </c>
      <c r="B540" s="2">
        <v>46051</v>
      </c>
      <c r="C540" s="2">
        <v>46080</v>
      </c>
      <c r="D540" s="1" t="s">
        <v>23</v>
      </c>
      <c r="E540" s="1" t="s">
        <v>14</v>
      </c>
      <c r="F540" s="1" t="s">
        <v>15</v>
      </c>
      <c r="G540" s="1" t="s">
        <v>16</v>
      </c>
      <c r="H540" s="1" t="s">
        <v>25</v>
      </c>
      <c r="I540" s="1" t="s">
        <v>26</v>
      </c>
      <c r="J540">
        <v>15</v>
      </c>
      <c r="K540">
        <v>29</v>
      </c>
      <c r="L540" s="1" t="s">
        <v>21</v>
      </c>
    </row>
    <row r="541" spans="1:12" x14ac:dyDescent="0.3">
      <c r="A541" s="1" t="s">
        <v>653</v>
      </c>
      <c r="B541" s="2">
        <v>46051</v>
      </c>
      <c r="C541" s="2">
        <v>46070</v>
      </c>
      <c r="D541" s="1" t="s">
        <v>28</v>
      </c>
      <c r="E541" s="1" t="s">
        <v>24</v>
      </c>
      <c r="F541" s="1" t="s">
        <v>15</v>
      </c>
      <c r="G541" s="1" t="s">
        <v>16</v>
      </c>
      <c r="H541" s="1" t="s">
        <v>54</v>
      </c>
      <c r="I541" s="1" t="s">
        <v>26</v>
      </c>
      <c r="J541">
        <v>45</v>
      </c>
      <c r="K541">
        <v>19</v>
      </c>
      <c r="L541" s="1" t="s">
        <v>19</v>
      </c>
    </row>
    <row r="542" spans="1:12" x14ac:dyDescent="0.3">
      <c r="A542" s="1" t="s">
        <v>1975</v>
      </c>
      <c r="B542" s="2">
        <v>46051</v>
      </c>
      <c r="C542" s="2">
        <v>46080</v>
      </c>
      <c r="D542" s="1" t="s">
        <v>23</v>
      </c>
      <c r="E542" s="1" t="s">
        <v>14</v>
      </c>
      <c r="F542" s="1" t="s">
        <v>15</v>
      </c>
      <c r="G542" s="1" t="s">
        <v>16</v>
      </c>
      <c r="H542" s="1" t="s">
        <v>25</v>
      </c>
      <c r="I542" s="1" t="s">
        <v>18</v>
      </c>
      <c r="J542">
        <v>15</v>
      </c>
      <c r="K542">
        <v>29</v>
      </c>
      <c r="L542" s="1" t="s">
        <v>21</v>
      </c>
    </row>
    <row r="543" spans="1:12" x14ac:dyDescent="0.3">
      <c r="A543" s="1" t="s">
        <v>2832</v>
      </c>
      <c r="B543" s="2">
        <v>46051</v>
      </c>
      <c r="C543" s="2">
        <v>46095</v>
      </c>
      <c r="D543" s="1" t="s">
        <v>13</v>
      </c>
      <c r="E543" s="1" t="s">
        <v>24</v>
      </c>
      <c r="F543" s="1" t="s">
        <v>15</v>
      </c>
      <c r="G543" s="1" t="s">
        <v>16</v>
      </c>
      <c r="H543" s="1" t="s">
        <v>17</v>
      </c>
      <c r="I543" s="1" t="s">
        <v>41</v>
      </c>
      <c r="J543">
        <v>30</v>
      </c>
      <c r="K543">
        <v>44</v>
      </c>
      <c r="L543" s="1" t="s">
        <v>44</v>
      </c>
    </row>
    <row r="544" spans="1:12" x14ac:dyDescent="0.3">
      <c r="A544" s="1" t="s">
        <v>2905</v>
      </c>
      <c r="B544" s="2">
        <v>46051</v>
      </c>
      <c r="C544" s="2">
        <v>46060</v>
      </c>
      <c r="D544" s="1" t="s">
        <v>28</v>
      </c>
      <c r="E544" s="1" t="s">
        <v>14</v>
      </c>
      <c r="F544" s="1" t="s">
        <v>15</v>
      </c>
      <c r="G544" s="1" t="s">
        <v>16</v>
      </c>
      <c r="H544" s="1" t="s">
        <v>54</v>
      </c>
      <c r="I544" s="1" t="s">
        <v>18</v>
      </c>
      <c r="J544">
        <v>15</v>
      </c>
      <c r="K544">
        <v>9</v>
      </c>
      <c r="L544" s="1" t="s">
        <v>30</v>
      </c>
    </row>
    <row r="545" spans="1:12" x14ac:dyDescent="0.3">
      <c r="A545" s="1" t="s">
        <v>3232</v>
      </c>
      <c r="B545" s="2">
        <v>46051</v>
      </c>
      <c r="C545" s="2">
        <v>46054</v>
      </c>
      <c r="D545" s="1" t="s">
        <v>28</v>
      </c>
      <c r="E545" s="1" t="s">
        <v>14</v>
      </c>
      <c r="F545" s="1" t="s">
        <v>15</v>
      </c>
      <c r="G545" s="1" t="s">
        <v>16</v>
      </c>
      <c r="H545" s="1" t="s">
        <v>29</v>
      </c>
      <c r="I545" s="1" t="s">
        <v>26</v>
      </c>
      <c r="J545">
        <v>15</v>
      </c>
      <c r="K545">
        <v>3</v>
      </c>
      <c r="L545" s="1" t="s">
        <v>30</v>
      </c>
    </row>
    <row r="546" spans="1:12" x14ac:dyDescent="0.3">
      <c r="A546" s="1" t="s">
        <v>131</v>
      </c>
      <c r="B546" s="2">
        <v>46050</v>
      </c>
      <c r="C546" s="2">
        <v>46072</v>
      </c>
      <c r="D546" s="1" t="s">
        <v>13</v>
      </c>
      <c r="E546" s="1" t="s">
        <v>14</v>
      </c>
      <c r="F546" s="1" t="s">
        <v>15</v>
      </c>
      <c r="G546" s="1" t="s">
        <v>16</v>
      </c>
      <c r="H546" s="1" t="s">
        <v>17</v>
      </c>
      <c r="I546" s="1" t="s">
        <v>41</v>
      </c>
      <c r="J546">
        <v>15</v>
      </c>
      <c r="K546">
        <v>22</v>
      </c>
      <c r="L546" s="1" t="s">
        <v>19</v>
      </c>
    </row>
    <row r="547" spans="1:12" x14ac:dyDescent="0.3">
      <c r="A547" s="1" t="s">
        <v>375</v>
      </c>
      <c r="B547" s="2">
        <v>46050</v>
      </c>
      <c r="C547" s="2">
        <v>46052</v>
      </c>
      <c r="D547" s="1" t="s">
        <v>13</v>
      </c>
      <c r="E547" s="1" t="s">
        <v>14</v>
      </c>
      <c r="F547" s="1" t="s">
        <v>15</v>
      </c>
      <c r="G547" s="1" t="s">
        <v>16</v>
      </c>
      <c r="H547" s="1" t="s">
        <v>17</v>
      </c>
      <c r="I547" s="1" t="s">
        <v>41</v>
      </c>
      <c r="J547">
        <v>15</v>
      </c>
      <c r="K547">
        <v>2</v>
      </c>
      <c r="L547" s="1" t="s">
        <v>30</v>
      </c>
    </row>
    <row r="548" spans="1:12" x14ac:dyDescent="0.3">
      <c r="A548" s="1" t="s">
        <v>430</v>
      </c>
      <c r="B548" s="2">
        <v>46050</v>
      </c>
      <c r="C548" s="2">
        <v>46068</v>
      </c>
      <c r="D548" s="1" t="s">
        <v>23</v>
      </c>
      <c r="E548" s="1" t="s">
        <v>14</v>
      </c>
      <c r="F548" s="1" t="s">
        <v>15</v>
      </c>
      <c r="G548" s="1" t="s">
        <v>16</v>
      </c>
      <c r="H548" s="1" t="s">
        <v>43</v>
      </c>
      <c r="I548" s="1" t="s">
        <v>26</v>
      </c>
      <c r="J548">
        <v>15</v>
      </c>
      <c r="K548">
        <v>18</v>
      </c>
      <c r="L548" s="1" t="s">
        <v>19</v>
      </c>
    </row>
    <row r="549" spans="1:12" x14ac:dyDescent="0.3">
      <c r="A549" s="1" t="s">
        <v>587</v>
      </c>
      <c r="B549" s="2">
        <v>46050</v>
      </c>
      <c r="C549" s="2">
        <v>46079</v>
      </c>
      <c r="D549" s="1" t="s">
        <v>37</v>
      </c>
      <c r="E549" s="1" t="s">
        <v>24</v>
      </c>
      <c r="F549" s="1" t="s">
        <v>15</v>
      </c>
      <c r="G549" s="1" t="s">
        <v>16</v>
      </c>
      <c r="H549" s="1" t="s">
        <v>49</v>
      </c>
      <c r="I549" s="1" t="s">
        <v>26</v>
      </c>
      <c r="J549">
        <v>30</v>
      </c>
      <c r="K549">
        <v>29</v>
      </c>
      <c r="L549" s="1" t="s">
        <v>21</v>
      </c>
    </row>
    <row r="550" spans="1:12" x14ac:dyDescent="0.3">
      <c r="A550" s="1" t="s">
        <v>3169</v>
      </c>
      <c r="B550" s="2">
        <v>46050</v>
      </c>
      <c r="C550" s="2">
        <v>46061</v>
      </c>
      <c r="D550" s="1" t="s">
        <v>37</v>
      </c>
      <c r="E550" s="1" t="s">
        <v>24</v>
      </c>
      <c r="F550" s="1" t="s">
        <v>38</v>
      </c>
      <c r="G550" s="1" t="s">
        <v>16</v>
      </c>
      <c r="H550" s="1" t="s">
        <v>49</v>
      </c>
      <c r="I550" s="1" t="s">
        <v>26</v>
      </c>
      <c r="J550">
        <v>30</v>
      </c>
      <c r="K550">
        <v>11</v>
      </c>
      <c r="L550" s="1" t="s">
        <v>30</v>
      </c>
    </row>
    <row r="551" spans="1:12" x14ac:dyDescent="0.3">
      <c r="A551" s="1" t="s">
        <v>2328</v>
      </c>
      <c r="B551" s="2">
        <v>46050</v>
      </c>
      <c r="C551" s="2">
        <v>46052</v>
      </c>
      <c r="D551" s="1" t="s">
        <v>37</v>
      </c>
      <c r="E551" s="1" t="s">
        <v>14</v>
      </c>
      <c r="F551" s="1" t="s">
        <v>15</v>
      </c>
      <c r="G551" s="1" t="s">
        <v>16</v>
      </c>
      <c r="H551" s="1" t="s">
        <v>39</v>
      </c>
      <c r="I551" s="1" t="s">
        <v>26</v>
      </c>
      <c r="J551">
        <v>15</v>
      </c>
      <c r="K551">
        <v>2</v>
      </c>
      <c r="L551" s="1" t="s">
        <v>30</v>
      </c>
    </row>
    <row r="552" spans="1:12" x14ac:dyDescent="0.3">
      <c r="A552" s="1" t="s">
        <v>2497</v>
      </c>
      <c r="B552" s="2">
        <v>46050</v>
      </c>
      <c r="C552" s="2">
        <v>46088</v>
      </c>
      <c r="D552" s="1" t="s">
        <v>13</v>
      </c>
      <c r="E552" s="1" t="s">
        <v>24</v>
      </c>
      <c r="F552" s="1" t="s">
        <v>15</v>
      </c>
      <c r="G552" s="1" t="s">
        <v>16</v>
      </c>
      <c r="H552" s="1" t="s">
        <v>47</v>
      </c>
      <c r="I552" s="1" t="s">
        <v>41</v>
      </c>
      <c r="J552">
        <v>30</v>
      </c>
      <c r="K552">
        <v>38</v>
      </c>
      <c r="L552" s="1" t="s">
        <v>21</v>
      </c>
    </row>
    <row r="553" spans="1:12" x14ac:dyDescent="0.3">
      <c r="A553" s="1" t="s">
        <v>2864</v>
      </c>
      <c r="B553" s="2">
        <v>46050</v>
      </c>
      <c r="C553" s="2">
        <v>46090</v>
      </c>
      <c r="D553" s="1" t="s">
        <v>28</v>
      </c>
      <c r="E553" s="1" t="s">
        <v>24</v>
      </c>
      <c r="F553" s="1" t="s">
        <v>15</v>
      </c>
      <c r="G553" s="1" t="s">
        <v>16</v>
      </c>
      <c r="H553" s="1" t="s">
        <v>54</v>
      </c>
      <c r="I553" s="1" t="s">
        <v>26</v>
      </c>
      <c r="J553">
        <v>30</v>
      </c>
      <c r="K553">
        <v>40</v>
      </c>
      <c r="L553" s="1" t="s">
        <v>21</v>
      </c>
    </row>
    <row r="554" spans="1:12" x14ac:dyDescent="0.3">
      <c r="A554" s="1" t="s">
        <v>595</v>
      </c>
      <c r="B554" s="2">
        <v>46049</v>
      </c>
      <c r="C554" s="2">
        <v>46100</v>
      </c>
      <c r="D554" s="1" t="s">
        <v>13</v>
      </c>
      <c r="E554" s="1" t="s">
        <v>14</v>
      </c>
      <c r="F554" s="1" t="s">
        <v>15</v>
      </c>
      <c r="G554" s="1" t="s">
        <v>53</v>
      </c>
      <c r="H554" s="1" t="s">
        <v>17</v>
      </c>
      <c r="I554" s="1" t="s">
        <v>18</v>
      </c>
      <c r="J554">
        <v>15</v>
      </c>
      <c r="K554">
        <v>51</v>
      </c>
      <c r="L554" s="1" t="s">
        <v>44</v>
      </c>
    </row>
    <row r="555" spans="1:12" x14ac:dyDescent="0.3">
      <c r="A555" s="1" t="s">
        <v>1082</v>
      </c>
      <c r="B555" s="2">
        <v>46049</v>
      </c>
      <c r="C555" s="2">
        <v>46102</v>
      </c>
      <c r="D555" s="1" t="s">
        <v>37</v>
      </c>
      <c r="E555" s="1" t="s">
        <v>14</v>
      </c>
      <c r="F555" s="1" t="s">
        <v>15</v>
      </c>
      <c r="G555" s="1" t="s">
        <v>16</v>
      </c>
      <c r="H555" s="1" t="s">
        <v>39</v>
      </c>
      <c r="I555" s="1" t="s">
        <v>18</v>
      </c>
      <c r="J555">
        <v>15</v>
      </c>
      <c r="K555">
        <v>53</v>
      </c>
      <c r="L555" s="1" t="s">
        <v>44</v>
      </c>
    </row>
    <row r="556" spans="1:12" x14ac:dyDescent="0.3">
      <c r="A556" s="1" t="s">
        <v>524</v>
      </c>
      <c r="B556" s="2">
        <v>46049</v>
      </c>
      <c r="C556" s="2">
        <v>46095</v>
      </c>
      <c r="D556" s="1" t="s">
        <v>37</v>
      </c>
      <c r="E556" s="1" t="s">
        <v>14</v>
      </c>
      <c r="F556" s="1" t="s">
        <v>15</v>
      </c>
      <c r="G556" s="1" t="s">
        <v>16</v>
      </c>
      <c r="H556" s="1" t="s">
        <v>49</v>
      </c>
      <c r="I556" s="1" t="s">
        <v>18</v>
      </c>
      <c r="J556">
        <v>15</v>
      </c>
      <c r="K556">
        <v>46</v>
      </c>
      <c r="L556" s="1" t="s">
        <v>44</v>
      </c>
    </row>
    <row r="557" spans="1:12" x14ac:dyDescent="0.3">
      <c r="A557" s="1" t="s">
        <v>78</v>
      </c>
      <c r="B557" s="2">
        <v>46049</v>
      </c>
      <c r="C557" s="2">
        <v>46088</v>
      </c>
      <c r="D557" s="1" t="s">
        <v>37</v>
      </c>
      <c r="E557" s="1" t="s">
        <v>14</v>
      </c>
      <c r="F557" s="1" t="s">
        <v>15</v>
      </c>
      <c r="G557" s="1" t="s">
        <v>16</v>
      </c>
      <c r="H557" s="1" t="s">
        <v>39</v>
      </c>
      <c r="I557" s="1" t="s">
        <v>26</v>
      </c>
      <c r="J557">
        <v>15</v>
      </c>
      <c r="K557">
        <v>39</v>
      </c>
      <c r="L557" s="1" t="s">
        <v>21</v>
      </c>
    </row>
    <row r="558" spans="1:12" x14ac:dyDescent="0.3">
      <c r="A558" s="1" t="s">
        <v>2013</v>
      </c>
      <c r="B558" s="2">
        <v>46049</v>
      </c>
      <c r="C558" s="2">
        <v>46112</v>
      </c>
      <c r="D558" s="1" t="s">
        <v>23</v>
      </c>
      <c r="E558" s="1" t="s">
        <v>14</v>
      </c>
      <c r="F558" s="1" t="s">
        <v>38</v>
      </c>
      <c r="G558" s="1" t="s">
        <v>16</v>
      </c>
      <c r="H558" s="1" t="s">
        <v>25</v>
      </c>
      <c r="I558" s="1" t="s">
        <v>26</v>
      </c>
      <c r="J558">
        <v>30</v>
      </c>
      <c r="K558">
        <v>63</v>
      </c>
      <c r="L558" s="1" t="s">
        <v>80</v>
      </c>
    </row>
    <row r="559" spans="1:12" x14ac:dyDescent="0.3">
      <c r="A559" s="1" t="s">
        <v>2029</v>
      </c>
      <c r="B559" s="2">
        <v>46049</v>
      </c>
      <c r="C559" s="2">
        <v>46112</v>
      </c>
      <c r="D559" s="1" t="s">
        <v>28</v>
      </c>
      <c r="E559" s="1" t="s">
        <v>14</v>
      </c>
      <c r="F559" s="1" t="s">
        <v>15</v>
      </c>
      <c r="G559" s="1" t="s">
        <v>16</v>
      </c>
      <c r="H559" s="1" t="s">
        <v>54</v>
      </c>
      <c r="I559" s="1" t="s">
        <v>26</v>
      </c>
      <c r="J559">
        <v>15</v>
      </c>
      <c r="K559">
        <v>63</v>
      </c>
      <c r="L559" s="1" t="s">
        <v>80</v>
      </c>
    </row>
    <row r="560" spans="1:12" x14ac:dyDescent="0.3">
      <c r="A560" s="1" t="s">
        <v>2123</v>
      </c>
      <c r="B560" s="2">
        <v>46049</v>
      </c>
      <c r="C560" s="2">
        <v>46055</v>
      </c>
      <c r="D560" s="1" t="s">
        <v>13</v>
      </c>
      <c r="E560" s="1" t="s">
        <v>24</v>
      </c>
      <c r="F560" s="1" t="s">
        <v>15</v>
      </c>
      <c r="G560" s="1" t="s">
        <v>16</v>
      </c>
      <c r="H560" s="1" t="s">
        <v>47</v>
      </c>
      <c r="I560" s="1" t="s">
        <v>26</v>
      </c>
      <c r="J560">
        <v>45</v>
      </c>
      <c r="K560">
        <v>6</v>
      </c>
      <c r="L560" s="1" t="s">
        <v>30</v>
      </c>
    </row>
    <row r="561" spans="1:12" x14ac:dyDescent="0.3">
      <c r="A561" s="1" t="s">
        <v>2448</v>
      </c>
      <c r="B561" s="2">
        <v>46049</v>
      </c>
      <c r="C561" s="2">
        <v>46069</v>
      </c>
      <c r="D561" s="1" t="s">
        <v>23</v>
      </c>
      <c r="E561" s="1" t="s">
        <v>14</v>
      </c>
      <c r="F561" s="1" t="s">
        <v>15</v>
      </c>
      <c r="G561" s="1" t="s">
        <v>16</v>
      </c>
      <c r="H561" s="1" t="s">
        <v>25</v>
      </c>
      <c r="I561" s="1" t="s">
        <v>41</v>
      </c>
      <c r="J561">
        <v>15</v>
      </c>
      <c r="K561">
        <v>20</v>
      </c>
      <c r="L561" s="1" t="s">
        <v>19</v>
      </c>
    </row>
    <row r="562" spans="1:12" x14ac:dyDescent="0.3">
      <c r="A562" s="1" t="s">
        <v>3109</v>
      </c>
      <c r="B562" s="2">
        <v>46049</v>
      </c>
      <c r="C562" s="2">
        <v>46074</v>
      </c>
      <c r="D562" s="1" t="s">
        <v>28</v>
      </c>
      <c r="E562" s="1" t="s">
        <v>24</v>
      </c>
      <c r="F562" s="1" t="s">
        <v>15</v>
      </c>
      <c r="G562" s="1" t="s">
        <v>16</v>
      </c>
      <c r="H562" s="1" t="s">
        <v>54</v>
      </c>
      <c r="I562" s="1" t="s">
        <v>26</v>
      </c>
      <c r="J562">
        <v>30</v>
      </c>
      <c r="K562">
        <v>25</v>
      </c>
      <c r="L562" s="1" t="s">
        <v>19</v>
      </c>
    </row>
    <row r="563" spans="1:12" x14ac:dyDescent="0.3">
      <c r="A563" s="1" t="s">
        <v>343</v>
      </c>
      <c r="B563" s="2">
        <v>46048</v>
      </c>
      <c r="C563" s="2">
        <v>46063</v>
      </c>
      <c r="D563" s="1" t="s">
        <v>28</v>
      </c>
      <c r="E563" s="1" t="s">
        <v>14</v>
      </c>
      <c r="F563" s="1" t="s">
        <v>15</v>
      </c>
      <c r="G563" s="1" t="s">
        <v>16</v>
      </c>
      <c r="H563" s="1" t="s">
        <v>29</v>
      </c>
      <c r="I563" s="1" t="s">
        <v>26</v>
      </c>
      <c r="J563">
        <v>30</v>
      </c>
      <c r="K563">
        <v>15</v>
      </c>
      <c r="L563" s="1" t="s">
        <v>19</v>
      </c>
    </row>
    <row r="564" spans="1:12" x14ac:dyDescent="0.3">
      <c r="A564" s="1" t="s">
        <v>475</v>
      </c>
      <c r="B564" s="2">
        <v>46048</v>
      </c>
      <c r="C564" s="2">
        <v>46087</v>
      </c>
      <c r="D564" s="1" t="s">
        <v>28</v>
      </c>
      <c r="E564" s="1" t="s">
        <v>24</v>
      </c>
      <c r="F564" s="1" t="s">
        <v>15</v>
      </c>
      <c r="G564" s="1" t="s">
        <v>16</v>
      </c>
      <c r="H564" s="1" t="s">
        <v>29</v>
      </c>
      <c r="I564" s="1" t="s">
        <v>26</v>
      </c>
      <c r="J564">
        <v>30</v>
      </c>
      <c r="K564">
        <v>39</v>
      </c>
      <c r="L564" s="1" t="s">
        <v>21</v>
      </c>
    </row>
    <row r="565" spans="1:12" x14ac:dyDescent="0.3">
      <c r="A565" s="1" t="s">
        <v>566</v>
      </c>
      <c r="B565" s="2">
        <v>46048</v>
      </c>
      <c r="C565" s="2">
        <v>46085</v>
      </c>
      <c r="D565" s="1" t="s">
        <v>23</v>
      </c>
      <c r="E565" s="1" t="s">
        <v>24</v>
      </c>
      <c r="F565" s="1" t="s">
        <v>15</v>
      </c>
      <c r="G565" s="1" t="s">
        <v>16</v>
      </c>
      <c r="H565" s="1" t="s">
        <v>43</v>
      </c>
      <c r="I565" s="1" t="s">
        <v>18</v>
      </c>
      <c r="J565">
        <v>30</v>
      </c>
      <c r="K565">
        <v>37</v>
      </c>
      <c r="L565" s="1" t="s">
        <v>21</v>
      </c>
    </row>
    <row r="566" spans="1:12" x14ac:dyDescent="0.3">
      <c r="A566" s="1" t="s">
        <v>647</v>
      </c>
      <c r="B566" s="2">
        <v>46048</v>
      </c>
      <c r="C566" s="2">
        <v>46093</v>
      </c>
      <c r="D566" s="1" t="s">
        <v>13</v>
      </c>
      <c r="E566" s="1" t="s">
        <v>14</v>
      </c>
      <c r="F566" s="1" t="s">
        <v>15</v>
      </c>
      <c r="G566" s="1" t="s">
        <v>16</v>
      </c>
      <c r="H566" s="1" t="s">
        <v>17</v>
      </c>
      <c r="I566" s="1" t="s">
        <v>26</v>
      </c>
      <c r="J566">
        <v>30</v>
      </c>
      <c r="K566">
        <v>45</v>
      </c>
      <c r="L566" s="1" t="s">
        <v>44</v>
      </c>
    </row>
    <row r="567" spans="1:12" x14ac:dyDescent="0.3">
      <c r="A567" s="1" t="s">
        <v>1645</v>
      </c>
      <c r="B567" s="2">
        <v>46048</v>
      </c>
      <c r="C567" s="2">
        <v>46092</v>
      </c>
      <c r="D567" s="1" t="s">
        <v>37</v>
      </c>
      <c r="E567" s="1" t="s">
        <v>14</v>
      </c>
      <c r="F567" s="1" t="s">
        <v>15</v>
      </c>
      <c r="G567" s="1" t="s">
        <v>16</v>
      </c>
      <c r="H567" s="1" t="s">
        <v>39</v>
      </c>
      <c r="I567" s="1" t="s">
        <v>26</v>
      </c>
      <c r="J567">
        <v>15</v>
      </c>
      <c r="K567">
        <v>44</v>
      </c>
      <c r="L567" s="1" t="s">
        <v>44</v>
      </c>
    </row>
    <row r="568" spans="1:12" x14ac:dyDescent="0.3">
      <c r="A568" s="1" t="s">
        <v>836</v>
      </c>
      <c r="B568" s="2">
        <v>46048</v>
      </c>
      <c r="C568" s="2">
        <v>46086</v>
      </c>
      <c r="D568" s="1" t="s">
        <v>37</v>
      </c>
      <c r="E568" s="1" t="s">
        <v>14</v>
      </c>
      <c r="F568" s="1" t="s">
        <v>15</v>
      </c>
      <c r="G568" s="1" t="s">
        <v>16</v>
      </c>
      <c r="H568" s="1" t="s">
        <v>39</v>
      </c>
      <c r="I568" s="1" t="s">
        <v>41</v>
      </c>
      <c r="J568">
        <v>30</v>
      </c>
      <c r="K568">
        <v>38</v>
      </c>
      <c r="L568" s="1" t="s">
        <v>21</v>
      </c>
    </row>
    <row r="569" spans="1:12" x14ac:dyDescent="0.3">
      <c r="A569" s="1" t="s">
        <v>1965</v>
      </c>
      <c r="B569" s="2">
        <v>46048</v>
      </c>
      <c r="C569" s="2">
        <v>46100</v>
      </c>
      <c r="D569" s="1" t="s">
        <v>28</v>
      </c>
      <c r="E569" s="1" t="s">
        <v>14</v>
      </c>
      <c r="F569" s="1" t="s">
        <v>38</v>
      </c>
      <c r="G569" s="1" t="s">
        <v>53</v>
      </c>
      <c r="H569" s="1" t="s">
        <v>29</v>
      </c>
      <c r="I569" s="1" t="s">
        <v>26</v>
      </c>
      <c r="J569">
        <v>15</v>
      </c>
      <c r="K569">
        <v>52</v>
      </c>
      <c r="L569" s="1" t="s">
        <v>44</v>
      </c>
    </row>
    <row r="570" spans="1:12" x14ac:dyDescent="0.3">
      <c r="A570" s="1" t="s">
        <v>2466</v>
      </c>
      <c r="B570" s="2">
        <v>46048</v>
      </c>
      <c r="C570" s="2">
        <v>46058</v>
      </c>
      <c r="D570" s="1" t="s">
        <v>32</v>
      </c>
      <c r="E570" s="1" t="s">
        <v>24</v>
      </c>
      <c r="F570" s="1" t="s">
        <v>15</v>
      </c>
      <c r="G570" s="1" t="s">
        <v>16</v>
      </c>
      <c r="H570" s="1" t="s">
        <v>71</v>
      </c>
      <c r="I570" s="1" t="s">
        <v>18</v>
      </c>
      <c r="J570">
        <v>30</v>
      </c>
      <c r="K570">
        <v>10</v>
      </c>
      <c r="L570" s="1" t="s">
        <v>30</v>
      </c>
    </row>
    <row r="571" spans="1:12" x14ac:dyDescent="0.3">
      <c r="A571" s="1" t="s">
        <v>2652</v>
      </c>
      <c r="B571" s="2">
        <v>46048</v>
      </c>
      <c r="C571" s="2">
        <v>46092</v>
      </c>
      <c r="D571" s="1" t="s">
        <v>23</v>
      </c>
      <c r="E571" s="1" t="s">
        <v>14</v>
      </c>
      <c r="F571" s="1" t="s">
        <v>38</v>
      </c>
      <c r="G571" s="1" t="s">
        <v>16</v>
      </c>
      <c r="H571" s="1" t="s">
        <v>25</v>
      </c>
      <c r="I571" s="1" t="s">
        <v>18</v>
      </c>
      <c r="J571">
        <v>15</v>
      </c>
      <c r="K571">
        <v>44</v>
      </c>
      <c r="L571" s="1" t="s">
        <v>44</v>
      </c>
    </row>
    <row r="572" spans="1:12" x14ac:dyDescent="0.3">
      <c r="A572" s="1" t="s">
        <v>67</v>
      </c>
      <c r="B572" s="2">
        <v>46047</v>
      </c>
      <c r="C572" s="2">
        <v>46098</v>
      </c>
      <c r="D572" s="1" t="s">
        <v>28</v>
      </c>
      <c r="E572" s="1" t="s">
        <v>24</v>
      </c>
      <c r="F572" s="1" t="s">
        <v>15</v>
      </c>
      <c r="G572" s="1" t="s">
        <v>16</v>
      </c>
      <c r="H572" s="1" t="s">
        <v>54</v>
      </c>
      <c r="I572" s="1" t="s">
        <v>26</v>
      </c>
      <c r="J572">
        <v>45</v>
      </c>
      <c r="K572">
        <v>51</v>
      </c>
      <c r="L572" s="1" t="s">
        <v>44</v>
      </c>
    </row>
    <row r="573" spans="1:12" x14ac:dyDescent="0.3">
      <c r="A573" s="1" t="s">
        <v>190</v>
      </c>
      <c r="B573" s="2">
        <v>46047</v>
      </c>
      <c r="C573" s="2">
        <v>46100</v>
      </c>
      <c r="D573" s="1" t="s">
        <v>28</v>
      </c>
      <c r="E573" s="1" t="s">
        <v>14</v>
      </c>
      <c r="F573" s="1" t="s">
        <v>38</v>
      </c>
      <c r="G573" s="1" t="s">
        <v>16</v>
      </c>
      <c r="H573" s="1" t="s">
        <v>54</v>
      </c>
      <c r="I573" s="1" t="s">
        <v>41</v>
      </c>
      <c r="J573">
        <v>15</v>
      </c>
      <c r="K573">
        <v>53</v>
      </c>
      <c r="L573" s="1" t="s">
        <v>44</v>
      </c>
    </row>
    <row r="574" spans="1:12" x14ac:dyDescent="0.3">
      <c r="A574" s="1" t="s">
        <v>2368</v>
      </c>
      <c r="B574" s="2">
        <v>46047</v>
      </c>
      <c r="C574" s="2">
        <v>46083</v>
      </c>
      <c r="D574" s="1" t="s">
        <v>37</v>
      </c>
      <c r="E574" s="1" t="s">
        <v>14</v>
      </c>
      <c r="F574" s="1" t="s">
        <v>15</v>
      </c>
      <c r="G574" s="1" t="s">
        <v>16</v>
      </c>
      <c r="H574" s="1" t="s">
        <v>49</v>
      </c>
      <c r="I574" s="1" t="s">
        <v>26</v>
      </c>
      <c r="J574">
        <v>15</v>
      </c>
      <c r="K574">
        <v>36</v>
      </c>
      <c r="L574" s="1" t="s">
        <v>21</v>
      </c>
    </row>
    <row r="575" spans="1:12" x14ac:dyDescent="0.3">
      <c r="A575" s="1" t="s">
        <v>2376</v>
      </c>
      <c r="B575" s="2">
        <v>46047</v>
      </c>
      <c r="C575" s="2">
        <v>46062</v>
      </c>
      <c r="D575" s="1" t="s">
        <v>37</v>
      </c>
      <c r="E575" s="1" t="s">
        <v>24</v>
      </c>
      <c r="F575" s="1" t="s">
        <v>15</v>
      </c>
      <c r="G575" s="1" t="s">
        <v>53</v>
      </c>
      <c r="H575" s="1" t="s">
        <v>39</v>
      </c>
      <c r="I575" s="1" t="s">
        <v>26</v>
      </c>
      <c r="J575">
        <v>30</v>
      </c>
      <c r="K575">
        <v>15</v>
      </c>
      <c r="L575" s="1" t="s">
        <v>19</v>
      </c>
    </row>
    <row r="576" spans="1:12" x14ac:dyDescent="0.3">
      <c r="A576" s="1" t="s">
        <v>1067</v>
      </c>
      <c r="B576" s="2">
        <v>46047</v>
      </c>
      <c r="C576" s="2">
        <v>46090</v>
      </c>
      <c r="D576" s="1" t="s">
        <v>23</v>
      </c>
      <c r="E576" s="1" t="s">
        <v>14</v>
      </c>
      <c r="F576" s="1" t="s">
        <v>38</v>
      </c>
      <c r="G576" s="1" t="s">
        <v>16</v>
      </c>
      <c r="H576" s="1" t="s">
        <v>43</v>
      </c>
      <c r="I576" s="1" t="s">
        <v>26</v>
      </c>
      <c r="J576">
        <v>30</v>
      </c>
      <c r="K576">
        <v>43</v>
      </c>
      <c r="L576" s="1" t="s">
        <v>44</v>
      </c>
    </row>
    <row r="577" spans="1:12" x14ac:dyDescent="0.3">
      <c r="A577" s="1" t="s">
        <v>1273</v>
      </c>
      <c r="B577" s="2">
        <v>46047</v>
      </c>
      <c r="C577" s="2">
        <v>46108</v>
      </c>
      <c r="D577" s="1" t="s">
        <v>13</v>
      </c>
      <c r="E577" s="1" t="s">
        <v>24</v>
      </c>
      <c r="F577" s="1" t="s">
        <v>38</v>
      </c>
      <c r="G577" s="1" t="s">
        <v>16</v>
      </c>
      <c r="H577" s="1" t="s">
        <v>47</v>
      </c>
      <c r="I577" s="1" t="s">
        <v>41</v>
      </c>
      <c r="J577">
        <v>45</v>
      </c>
      <c r="K577">
        <v>61</v>
      </c>
      <c r="L577" s="1" t="s">
        <v>80</v>
      </c>
    </row>
    <row r="578" spans="1:12" x14ac:dyDescent="0.3">
      <c r="A578" s="1" t="s">
        <v>1306</v>
      </c>
      <c r="B578" s="2">
        <v>46047</v>
      </c>
      <c r="C578" s="2">
        <v>46063</v>
      </c>
      <c r="D578" s="1" t="s">
        <v>23</v>
      </c>
      <c r="E578" s="1" t="s">
        <v>24</v>
      </c>
      <c r="F578" s="1" t="s">
        <v>15</v>
      </c>
      <c r="G578" s="1" t="s">
        <v>16</v>
      </c>
      <c r="H578" s="1" t="s">
        <v>25</v>
      </c>
      <c r="I578" s="1" t="s">
        <v>26</v>
      </c>
      <c r="J578">
        <v>45</v>
      </c>
      <c r="K578">
        <v>16</v>
      </c>
      <c r="L578" s="1" t="s">
        <v>19</v>
      </c>
    </row>
    <row r="579" spans="1:12" x14ac:dyDescent="0.3">
      <c r="A579" s="1" t="s">
        <v>1629</v>
      </c>
      <c r="B579" s="2">
        <v>46047</v>
      </c>
      <c r="C579" s="2">
        <v>46097</v>
      </c>
      <c r="D579" s="1" t="s">
        <v>28</v>
      </c>
      <c r="E579" s="1" t="s">
        <v>24</v>
      </c>
      <c r="F579" s="1" t="s">
        <v>15</v>
      </c>
      <c r="G579" s="1" t="s">
        <v>16</v>
      </c>
      <c r="H579" s="1" t="s">
        <v>54</v>
      </c>
      <c r="I579" s="1" t="s">
        <v>26</v>
      </c>
      <c r="J579">
        <v>30</v>
      </c>
      <c r="K579">
        <v>50</v>
      </c>
      <c r="L579" s="1" t="s">
        <v>44</v>
      </c>
    </row>
    <row r="580" spans="1:12" x14ac:dyDescent="0.3">
      <c r="A580" s="1" t="s">
        <v>2414</v>
      </c>
      <c r="B580" s="2">
        <v>46047</v>
      </c>
      <c r="C580" s="2">
        <v>46095</v>
      </c>
      <c r="D580" s="1" t="s">
        <v>32</v>
      </c>
      <c r="E580" s="1" t="s">
        <v>24</v>
      </c>
      <c r="F580" s="1" t="s">
        <v>15</v>
      </c>
      <c r="G580" s="1" t="s">
        <v>16</v>
      </c>
      <c r="H580" s="1" t="s">
        <v>71</v>
      </c>
      <c r="I580" s="1" t="s">
        <v>41</v>
      </c>
      <c r="J580">
        <v>30</v>
      </c>
      <c r="K580">
        <v>48</v>
      </c>
      <c r="L580" s="1" t="s">
        <v>44</v>
      </c>
    </row>
    <row r="581" spans="1:12" x14ac:dyDescent="0.3">
      <c r="A581" s="1" t="s">
        <v>2987</v>
      </c>
      <c r="B581" s="2">
        <v>46047</v>
      </c>
      <c r="C581" s="2">
        <v>46069</v>
      </c>
      <c r="D581" s="1" t="s">
        <v>13</v>
      </c>
      <c r="E581" s="1" t="s">
        <v>14</v>
      </c>
      <c r="F581" s="1" t="s">
        <v>38</v>
      </c>
      <c r="G581" s="1" t="s">
        <v>16</v>
      </c>
      <c r="H581" s="1" t="s">
        <v>17</v>
      </c>
      <c r="I581" s="1" t="s">
        <v>26</v>
      </c>
      <c r="J581">
        <v>15</v>
      </c>
      <c r="K581">
        <v>22</v>
      </c>
      <c r="L581" s="1" t="s">
        <v>19</v>
      </c>
    </row>
    <row r="582" spans="1:12" x14ac:dyDescent="0.3">
      <c r="A582" s="1" t="s">
        <v>3026</v>
      </c>
      <c r="B582" s="2">
        <v>46047</v>
      </c>
      <c r="C582" s="2">
        <v>46064</v>
      </c>
      <c r="D582" s="1" t="s">
        <v>23</v>
      </c>
      <c r="E582" s="1" t="s">
        <v>14</v>
      </c>
      <c r="F582" s="1" t="s">
        <v>15</v>
      </c>
      <c r="G582" s="1" t="s">
        <v>16</v>
      </c>
      <c r="H582" s="1" t="s">
        <v>43</v>
      </c>
      <c r="I582" s="1" t="s">
        <v>41</v>
      </c>
      <c r="J582">
        <v>30</v>
      </c>
      <c r="K582">
        <v>17</v>
      </c>
      <c r="L582" s="1" t="s">
        <v>19</v>
      </c>
    </row>
    <row r="583" spans="1:12" x14ac:dyDescent="0.3">
      <c r="A583" s="1" t="s">
        <v>3211</v>
      </c>
      <c r="B583" s="2">
        <v>46047</v>
      </c>
      <c r="C583" s="2">
        <v>46087</v>
      </c>
      <c r="D583" s="1" t="s">
        <v>32</v>
      </c>
      <c r="E583" s="1" t="s">
        <v>24</v>
      </c>
      <c r="F583" s="1" t="s">
        <v>15</v>
      </c>
      <c r="G583" s="1" t="s">
        <v>16</v>
      </c>
      <c r="H583" s="1" t="s">
        <v>71</v>
      </c>
      <c r="I583" s="1" t="s">
        <v>26</v>
      </c>
      <c r="J583">
        <v>30</v>
      </c>
      <c r="K583">
        <v>40</v>
      </c>
      <c r="L583" s="1" t="s">
        <v>21</v>
      </c>
    </row>
    <row r="584" spans="1:12" x14ac:dyDescent="0.3">
      <c r="A584" s="1" t="s">
        <v>3124</v>
      </c>
      <c r="B584" s="2">
        <v>46046</v>
      </c>
      <c r="C584" s="2">
        <v>46069</v>
      </c>
      <c r="D584" s="1" t="s">
        <v>37</v>
      </c>
      <c r="E584" s="1" t="s">
        <v>24</v>
      </c>
      <c r="F584" s="1" t="s">
        <v>15</v>
      </c>
      <c r="G584" s="1" t="s">
        <v>16</v>
      </c>
      <c r="H584" s="1" t="s">
        <v>49</v>
      </c>
      <c r="I584" s="1" t="s">
        <v>18</v>
      </c>
      <c r="J584">
        <v>30</v>
      </c>
      <c r="K584">
        <v>23</v>
      </c>
      <c r="L584" s="1" t="s">
        <v>19</v>
      </c>
    </row>
    <row r="585" spans="1:12" x14ac:dyDescent="0.3">
      <c r="A585" s="1" t="s">
        <v>891</v>
      </c>
      <c r="B585" s="2">
        <v>46046</v>
      </c>
      <c r="C585" s="2">
        <v>46048</v>
      </c>
      <c r="D585" s="1" t="s">
        <v>32</v>
      </c>
      <c r="E585" s="1" t="s">
        <v>14</v>
      </c>
      <c r="F585" s="1" t="s">
        <v>15</v>
      </c>
      <c r="G585" s="1" t="s">
        <v>16</v>
      </c>
      <c r="H585" s="1" t="s">
        <v>71</v>
      </c>
      <c r="I585" s="1" t="s">
        <v>26</v>
      </c>
      <c r="J585">
        <v>15</v>
      </c>
      <c r="K585">
        <v>2</v>
      </c>
      <c r="L585" s="1" t="s">
        <v>30</v>
      </c>
    </row>
    <row r="586" spans="1:12" x14ac:dyDescent="0.3">
      <c r="A586" s="1" t="s">
        <v>909</v>
      </c>
      <c r="B586" s="2">
        <v>46046</v>
      </c>
      <c r="C586" s="2">
        <v>46118</v>
      </c>
      <c r="D586" s="1" t="s">
        <v>32</v>
      </c>
      <c r="E586" s="1" t="s">
        <v>14</v>
      </c>
      <c r="F586" s="1" t="s">
        <v>15</v>
      </c>
      <c r="G586" s="1" t="s">
        <v>16</v>
      </c>
      <c r="H586" s="1" t="s">
        <v>34</v>
      </c>
      <c r="I586" s="1" t="s">
        <v>26</v>
      </c>
      <c r="J586">
        <v>15</v>
      </c>
      <c r="K586">
        <v>72</v>
      </c>
      <c r="L586" s="1" t="s">
        <v>80</v>
      </c>
    </row>
    <row r="587" spans="1:12" x14ac:dyDescent="0.3">
      <c r="A587" s="1" t="s">
        <v>2330</v>
      </c>
      <c r="B587" s="2">
        <v>46046</v>
      </c>
      <c r="C587" s="2">
        <v>46130</v>
      </c>
      <c r="D587" s="1" t="s">
        <v>28</v>
      </c>
      <c r="E587" s="1" t="s">
        <v>24</v>
      </c>
      <c r="F587" s="1" t="s">
        <v>15</v>
      </c>
      <c r="G587" s="1" t="s">
        <v>53</v>
      </c>
      <c r="H587" s="1" t="s">
        <v>29</v>
      </c>
      <c r="I587" s="1" t="s">
        <v>18</v>
      </c>
      <c r="J587">
        <v>30</v>
      </c>
      <c r="K587">
        <v>84</v>
      </c>
      <c r="L587" s="1" t="s">
        <v>80</v>
      </c>
    </row>
    <row r="588" spans="1:12" x14ac:dyDescent="0.3">
      <c r="A588" s="1" t="s">
        <v>2380</v>
      </c>
      <c r="B588" s="2">
        <v>46046</v>
      </c>
      <c r="C588" s="2">
        <v>46113</v>
      </c>
      <c r="D588" s="1" t="s">
        <v>23</v>
      </c>
      <c r="E588" s="1" t="s">
        <v>14</v>
      </c>
      <c r="F588" s="1" t="s">
        <v>15</v>
      </c>
      <c r="G588" s="1" t="s">
        <v>16</v>
      </c>
      <c r="H588" s="1" t="s">
        <v>43</v>
      </c>
      <c r="I588" s="1" t="s">
        <v>26</v>
      </c>
      <c r="J588">
        <v>30</v>
      </c>
      <c r="K588">
        <v>67</v>
      </c>
      <c r="L588" s="1" t="s">
        <v>80</v>
      </c>
    </row>
    <row r="589" spans="1:12" x14ac:dyDescent="0.3">
      <c r="A589" s="1" t="s">
        <v>2558</v>
      </c>
      <c r="B589" s="2">
        <v>46046</v>
      </c>
      <c r="C589" s="2">
        <v>46066</v>
      </c>
      <c r="D589" s="1" t="s">
        <v>32</v>
      </c>
      <c r="E589" s="1" t="s">
        <v>14</v>
      </c>
      <c r="F589" s="1" t="s">
        <v>15</v>
      </c>
      <c r="G589" s="1" t="s">
        <v>16</v>
      </c>
      <c r="H589" s="1" t="s">
        <v>71</v>
      </c>
      <c r="I589" s="1" t="s">
        <v>41</v>
      </c>
      <c r="J589">
        <v>15</v>
      </c>
      <c r="K589">
        <v>20</v>
      </c>
      <c r="L589" s="1" t="s">
        <v>19</v>
      </c>
    </row>
    <row r="590" spans="1:12" x14ac:dyDescent="0.3">
      <c r="A590" s="1" t="s">
        <v>556</v>
      </c>
      <c r="B590" s="2">
        <v>46045</v>
      </c>
      <c r="C590" s="2">
        <v>46075</v>
      </c>
      <c r="D590" s="1" t="s">
        <v>13</v>
      </c>
      <c r="E590" s="1" t="s">
        <v>24</v>
      </c>
      <c r="F590" s="1" t="s">
        <v>15</v>
      </c>
      <c r="G590" s="1" t="s">
        <v>16</v>
      </c>
      <c r="H590" s="1" t="s">
        <v>47</v>
      </c>
      <c r="I590" s="1" t="s">
        <v>18</v>
      </c>
      <c r="J590">
        <v>30</v>
      </c>
      <c r="K590">
        <v>30</v>
      </c>
      <c r="L590" s="1" t="s">
        <v>21</v>
      </c>
    </row>
    <row r="591" spans="1:12" x14ac:dyDescent="0.3">
      <c r="A591" s="1" t="s">
        <v>2915</v>
      </c>
      <c r="B591" s="2">
        <v>46045</v>
      </c>
      <c r="C591" s="2">
        <v>46089</v>
      </c>
      <c r="D591" s="1" t="s">
        <v>37</v>
      </c>
      <c r="E591" s="1" t="s">
        <v>24</v>
      </c>
      <c r="F591" s="1" t="s">
        <v>15</v>
      </c>
      <c r="G591" s="1" t="s">
        <v>16</v>
      </c>
      <c r="H591" s="1" t="s">
        <v>39</v>
      </c>
      <c r="I591" s="1" t="s">
        <v>41</v>
      </c>
      <c r="J591">
        <v>30</v>
      </c>
      <c r="K591">
        <v>44</v>
      </c>
      <c r="L591" s="1" t="s">
        <v>44</v>
      </c>
    </row>
    <row r="592" spans="1:12" x14ac:dyDescent="0.3">
      <c r="A592" s="1" t="s">
        <v>2006</v>
      </c>
      <c r="B592" s="2">
        <v>46045</v>
      </c>
      <c r="C592" s="2">
        <v>46051</v>
      </c>
      <c r="D592" s="1" t="s">
        <v>37</v>
      </c>
      <c r="E592" s="1" t="s">
        <v>14</v>
      </c>
      <c r="F592" s="1" t="s">
        <v>15</v>
      </c>
      <c r="G592" s="1" t="s">
        <v>53</v>
      </c>
      <c r="H592" s="1" t="s">
        <v>49</v>
      </c>
      <c r="I592" s="1" t="s">
        <v>18</v>
      </c>
      <c r="J592">
        <v>30</v>
      </c>
      <c r="K592">
        <v>6</v>
      </c>
      <c r="L592" s="1" t="s">
        <v>30</v>
      </c>
    </row>
    <row r="593" spans="1:12" x14ac:dyDescent="0.3">
      <c r="A593" s="1" t="s">
        <v>783</v>
      </c>
      <c r="B593" s="2">
        <v>46045</v>
      </c>
      <c r="C593" s="2">
        <v>46071</v>
      </c>
      <c r="D593" s="1" t="s">
        <v>32</v>
      </c>
      <c r="E593" s="1" t="s">
        <v>14</v>
      </c>
      <c r="F593" s="1" t="s">
        <v>15</v>
      </c>
      <c r="G593" s="1" t="s">
        <v>16</v>
      </c>
      <c r="H593" s="1" t="s">
        <v>34</v>
      </c>
      <c r="I593" s="1" t="s">
        <v>18</v>
      </c>
      <c r="J593">
        <v>30</v>
      </c>
      <c r="K593">
        <v>26</v>
      </c>
      <c r="L593" s="1" t="s">
        <v>19</v>
      </c>
    </row>
    <row r="594" spans="1:12" x14ac:dyDescent="0.3">
      <c r="A594" s="1" t="s">
        <v>1577</v>
      </c>
      <c r="B594" s="2">
        <v>46045</v>
      </c>
      <c r="C594" s="2">
        <v>46112</v>
      </c>
      <c r="D594" s="1" t="s">
        <v>28</v>
      </c>
      <c r="E594" s="1" t="s">
        <v>14</v>
      </c>
      <c r="F594" s="1" t="s">
        <v>15</v>
      </c>
      <c r="G594" s="1" t="s">
        <v>16</v>
      </c>
      <c r="H594" s="1" t="s">
        <v>54</v>
      </c>
      <c r="I594" s="1" t="s">
        <v>26</v>
      </c>
      <c r="J594">
        <v>15</v>
      </c>
      <c r="K594">
        <v>67</v>
      </c>
      <c r="L594" s="1" t="s">
        <v>80</v>
      </c>
    </row>
    <row r="595" spans="1:12" x14ac:dyDescent="0.3">
      <c r="A595" s="1" t="s">
        <v>1885</v>
      </c>
      <c r="B595" s="2">
        <v>46045</v>
      </c>
      <c r="C595" s="2">
        <v>46067</v>
      </c>
      <c r="D595" s="1" t="s">
        <v>13</v>
      </c>
      <c r="E595" s="1" t="s">
        <v>24</v>
      </c>
      <c r="F595" s="1" t="s">
        <v>15</v>
      </c>
      <c r="G595" s="1" t="s">
        <v>33</v>
      </c>
      <c r="H595" s="1" t="s">
        <v>17</v>
      </c>
      <c r="I595" s="1" t="s">
        <v>26</v>
      </c>
      <c r="J595">
        <v>30</v>
      </c>
      <c r="K595">
        <v>22</v>
      </c>
      <c r="L595" s="1" t="s">
        <v>19</v>
      </c>
    </row>
    <row r="596" spans="1:12" x14ac:dyDescent="0.3">
      <c r="A596" s="1" t="s">
        <v>2007</v>
      </c>
      <c r="B596" s="2">
        <v>46045</v>
      </c>
      <c r="C596" s="2">
        <v>46063</v>
      </c>
      <c r="D596" s="1" t="s">
        <v>32</v>
      </c>
      <c r="E596" s="1" t="s">
        <v>14</v>
      </c>
      <c r="F596" s="1" t="s">
        <v>38</v>
      </c>
      <c r="G596" s="1" t="s">
        <v>16</v>
      </c>
      <c r="H596" s="1" t="s">
        <v>34</v>
      </c>
      <c r="I596" s="1" t="s">
        <v>26</v>
      </c>
      <c r="J596">
        <v>15</v>
      </c>
      <c r="K596">
        <v>18</v>
      </c>
      <c r="L596" s="1" t="s">
        <v>19</v>
      </c>
    </row>
    <row r="597" spans="1:12" x14ac:dyDescent="0.3">
      <c r="A597" s="1" t="s">
        <v>2238</v>
      </c>
      <c r="B597" s="2">
        <v>46045</v>
      </c>
      <c r="C597" s="2">
        <v>46071</v>
      </c>
      <c r="D597" s="1" t="s">
        <v>28</v>
      </c>
      <c r="E597" s="1" t="s">
        <v>24</v>
      </c>
      <c r="F597" s="1" t="s">
        <v>15</v>
      </c>
      <c r="G597" s="1" t="s">
        <v>16</v>
      </c>
      <c r="H597" s="1" t="s">
        <v>54</v>
      </c>
      <c r="I597" s="1" t="s">
        <v>26</v>
      </c>
      <c r="J597">
        <v>45</v>
      </c>
      <c r="K597">
        <v>26</v>
      </c>
      <c r="L597" s="1" t="s">
        <v>19</v>
      </c>
    </row>
    <row r="598" spans="1:12" x14ac:dyDescent="0.3">
      <c r="A598" s="1" t="s">
        <v>207</v>
      </c>
      <c r="B598" s="2">
        <v>46044</v>
      </c>
      <c r="C598" s="2">
        <v>46080</v>
      </c>
      <c r="D598" s="1" t="s">
        <v>13</v>
      </c>
      <c r="E598" s="1" t="s">
        <v>24</v>
      </c>
      <c r="F598" s="1" t="s">
        <v>15</v>
      </c>
      <c r="G598" s="1" t="s">
        <v>16</v>
      </c>
      <c r="H598" s="1" t="s">
        <v>17</v>
      </c>
      <c r="I598" s="1" t="s">
        <v>18</v>
      </c>
      <c r="J598">
        <v>45</v>
      </c>
      <c r="K598">
        <v>36</v>
      </c>
      <c r="L598" s="1" t="s">
        <v>21</v>
      </c>
    </row>
    <row r="599" spans="1:12" x14ac:dyDescent="0.3">
      <c r="A599" s="1" t="s">
        <v>927</v>
      </c>
      <c r="B599" s="2">
        <v>46044</v>
      </c>
      <c r="C599" s="2">
        <v>46093</v>
      </c>
      <c r="D599" s="1" t="s">
        <v>32</v>
      </c>
      <c r="E599" s="1" t="s">
        <v>14</v>
      </c>
      <c r="F599" s="1" t="s">
        <v>15</v>
      </c>
      <c r="G599" s="1" t="s">
        <v>16</v>
      </c>
      <c r="H599" s="1" t="s">
        <v>71</v>
      </c>
      <c r="I599" s="1" t="s">
        <v>26</v>
      </c>
      <c r="J599">
        <v>15</v>
      </c>
      <c r="K599">
        <v>49</v>
      </c>
      <c r="L599" s="1" t="s">
        <v>44</v>
      </c>
    </row>
    <row r="600" spans="1:12" x14ac:dyDescent="0.3">
      <c r="A600" s="1" t="s">
        <v>1468</v>
      </c>
      <c r="B600" s="2">
        <v>46044</v>
      </c>
      <c r="C600" s="2">
        <v>46070</v>
      </c>
      <c r="D600" s="1" t="s">
        <v>23</v>
      </c>
      <c r="E600" s="1" t="s">
        <v>24</v>
      </c>
      <c r="F600" s="1" t="s">
        <v>15</v>
      </c>
      <c r="G600" s="1" t="s">
        <v>53</v>
      </c>
      <c r="H600" s="1" t="s">
        <v>25</v>
      </c>
      <c r="I600" s="1" t="s">
        <v>18</v>
      </c>
      <c r="J600">
        <v>45</v>
      </c>
      <c r="K600">
        <v>26</v>
      </c>
      <c r="L600" s="1" t="s">
        <v>19</v>
      </c>
    </row>
    <row r="601" spans="1:12" x14ac:dyDescent="0.3">
      <c r="A601" s="1" t="s">
        <v>3120</v>
      </c>
      <c r="B601" s="2">
        <v>46044</v>
      </c>
      <c r="C601" s="2">
        <v>46060</v>
      </c>
      <c r="D601" s="1" t="s">
        <v>32</v>
      </c>
      <c r="E601" s="1" t="s">
        <v>24</v>
      </c>
      <c r="F601" s="1" t="s">
        <v>15</v>
      </c>
      <c r="G601" s="1" t="s">
        <v>16</v>
      </c>
      <c r="H601" s="1" t="s">
        <v>71</v>
      </c>
      <c r="I601" s="1" t="s">
        <v>26</v>
      </c>
      <c r="J601">
        <v>30</v>
      </c>
      <c r="K601">
        <v>16</v>
      </c>
      <c r="L601" s="1" t="s">
        <v>19</v>
      </c>
    </row>
    <row r="602" spans="1:12" x14ac:dyDescent="0.3">
      <c r="A602" s="1" t="s">
        <v>1616</v>
      </c>
      <c r="B602" s="2">
        <v>46043</v>
      </c>
      <c r="C602" s="2">
        <v>46066</v>
      </c>
      <c r="D602" s="1" t="s">
        <v>13</v>
      </c>
      <c r="E602" s="1" t="s">
        <v>14</v>
      </c>
      <c r="F602" s="1" t="s">
        <v>38</v>
      </c>
      <c r="G602" s="1" t="s">
        <v>16</v>
      </c>
      <c r="H602" s="1" t="s">
        <v>17</v>
      </c>
      <c r="I602" s="1" t="s">
        <v>41</v>
      </c>
      <c r="J602">
        <v>30</v>
      </c>
      <c r="K602">
        <v>23</v>
      </c>
      <c r="L602" s="1" t="s">
        <v>19</v>
      </c>
    </row>
    <row r="603" spans="1:12" x14ac:dyDescent="0.3">
      <c r="A603" s="1" t="s">
        <v>2201</v>
      </c>
      <c r="B603" s="2">
        <v>46043</v>
      </c>
      <c r="C603" s="2">
        <v>46086</v>
      </c>
      <c r="D603" s="1" t="s">
        <v>23</v>
      </c>
      <c r="E603" s="1" t="s">
        <v>14</v>
      </c>
      <c r="F603" s="1" t="s">
        <v>15</v>
      </c>
      <c r="G603" s="1" t="s">
        <v>53</v>
      </c>
      <c r="H603" s="1" t="s">
        <v>25</v>
      </c>
      <c r="I603" s="1" t="s">
        <v>26</v>
      </c>
      <c r="J603">
        <v>30</v>
      </c>
      <c r="K603">
        <v>43</v>
      </c>
      <c r="L603" s="1" t="s">
        <v>44</v>
      </c>
    </row>
    <row r="604" spans="1:12" x14ac:dyDescent="0.3">
      <c r="A604" s="1" t="s">
        <v>2726</v>
      </c>
      <c r="B604" s="2">
        <v>46043</v>
      </c>
      <c r="C604" s="2">
        <v>46064</v>
      </c>
      <c r="D604" s="1" t="s">
        <v>13</v>
      </c>
      <c r="E604" s="1" t="s">
        <v>14</v>
      </c>
      <c r="F604" s="1" t="s">
        <v>15</v>
      </c>
      <c r="G604" s="1" t="s">
        <v>16</v>
      </c>
      <c r="H604" s="1" t="s">
        <v>47</v>
      </c>
      <c r="I604" s="1" t="s">
        <v>41</v>
      </c>
      <c r="J604">
        <v>15</v>
      </c>
      <c r="K604">
        <v>21</v>
      </c>
      <c r="L604" s="1" t="s">
        <v>19</v>
      </c>
    </row>
    <row r="605" spans="1:12" x14ac:dyDescent="0.3">
      <c r="A605" s="1" t="s">
        <v>3052</v>
      </c>
      <c r="B605" s="2">
        <v>46043</v>
      </c>
      <c r="C605" s="2">
        <v>46086</v>
      </c>
      <c r="D605" s="1" t="s">
        <v>23</v>
      </c>
      <c r="E605" s="1" t="s">
        <v>14</v>
      </c>
      <c r="F605" s="1" t="s">
        <v>15</v>
      </c>
      <c r="G605" s="1" t="s">
        <v>16</v>
      </c>
      <c r="H605" s="1" t="s">
        <v>25</v>
      </c>
      <c r="I605" s="1" t="s">
        <v>26</v>
      </c>
      <c r="J605">
        <v>30</v>
      </c>
      <c r="K605">
        <v>43</v>
      </c>
      <c r="L605" s="1" t="s">
        <v>44</v>
      </c>
    </row>
    <row r="606" spans="1:12" x14ac:dyDescent="0.3">
      <c r="A606" s="1" t="s">
        <v>3240</v>
      </c>
      <c r="B606" s="2">
        <v>46043</v>
      </c>
      <c r="C606" s="2">
        <v>46093</v>
      </c>
      <c r="D606" s="1" t="s">
        <v>28</v>
      </c>
      <c r="E606" s="1" t="s">
        <v>24</v>
      </c>
      <c r="F606" s="1" t="s">
        <v>15</v>
      </c>
      <c r="G606" s="1" t="s">
        <v>16</v>
      </c>
      <c r="H606" s="1" t="s">
        <v>54</v>
      </c>
      <c r="I606" s="1" t="s">
        <v>26</v>
      </c>
      <c r="J606">
        <v>30</v>
      </c>
      <c r="K606">
        <v>50</v>
      </c>
      <c r="L606" s="1" t="s">
        <v>44</v>
      </c>
    </row>
    <row r="607" spans="1:12" x14ac:dyDescent="0.3">
      <c r="A607" s="1" t="s">
        <v>268</v>
      </c>
      <c r="B607" s="2">
        <v>46042</v>
      </c>
      <c r="C607" s="2">
        <v>46096</v>
      </c>
      <c r="D607" s="1" t="s">
        <v>37</v>
      </c>
      <c r="E607" s="1" t="s">
        <v>14</v>
      </c>
      <c r="F607" s="1" t="s">
        <v>38</v>
      </c>
      <c r="G607" s="1" t="s">
        <v>16</v>
      </c>
      <c r="H607" s="1" t="s">
        <v>39</v>
      </c>
      <c r="I607" s="1" t="s">
        <v>41</v>
      </c>
      <c r="J607">
        <v>15</v>
      </c>
      <c r="K607">
        <v>54</v>
      </c>
      <c r="L607" s="1" t="s">
        <v>44</v>
      </c>
    </row>
    <row r="608" spans="1:12" x14ac:dyDescent="0.3">
      <c r="A608" s="1" t="s">
        <v>2203</v>
      </c>
      <c r="B608" s="2">
        <v>46042</v>
      </c>
      <c r="C608" s="2">
        <v>46077</v>
      </c>
      <c r="D608" s="1" t="s">
        <v>37</v>
      </c>
      <c r="E608" s="1" t="s">
        <v>24</v>
      </c>
      <c r="F608" s="1" t="s">
        <v>15</v>
      </c>
      <c r="G608" s="1" t="s">
        <v>16</v>
      </c>
      <c r="H608" s="1" t="s">
        <v>39</v>
      </c>
      <c r="I608" s="1" t="s">
        <v>26</v>
      </c>
      <c r="J608">
        <v>45</v>
      </c>
      <c r="K608">
        <v>35</v>
      </c>
      <c r="L608" s="1" t="s">
        <v>21</v>
      </c>
    </row>
    <row r="609" spans="1:12" x14ac:dyDescent="0.3">
      <c r="A609" s="1" t="s">
        <v>377</v>
      </c>
      <c r="B609" s="2">
        <v>46042</v>
      </c>
      <c r="C609" s="2">
        <v>46066</v>
      </c>
      <c r="D609" s="1" t="s">
        <v>37</v>
      </c>
      <c r="E609" s="1" t="s">
        <v>24</v>
      </c>
      <c r="F609" s="1" t="s">
        <v>15</v>
      </c>
      <c r="G609" s="1" t="s">
        <v>16</v>
      </c>
      <c r="H609" s="1" t="s">
        <v>39</v>
      </c>
      <c r="I609" s="1" t="s">
        <v>26</v>
      </c>
      <c r="J609">
        <v>30</v>
      </c>
      <c r="K609">
        <v>24</v>
      </c>
      <c r="L609" s="1" t="s">
        <v>19</v>
      </c>
    </row>
    <row r="610" spans="1:12" x14ac:dyDescent="0.3">
      <c r="A610" s="1" t="s">
        <v>879</v>
      </c>
      <c r="B610" s="2">
        <v>46042</v>
      </c>
      <c r="C610" s="2">
        <v>46069</v>
      </c>
      <c r="D610" s="1" t="s">
        <v>23</v>
      </c>
      <c r="E610" s="1" t="s">
        <v>14</v>
      </c>
      <c r="F610" s="1" t="s">
        <v>15</v>
      </c>
      <c r="G610" s="1" t="s">
        <v>16</v>
      </c>
      <c r="H610" s="1" t="s">
        <v>43</v>
      </c>
      <c r="I610" s="1" t="s">
        <v>18</v>
      </c>
      <c r="J610">
        <v>30</v>
      </c>
      <c r="K610">
        <v>27</v>
      </c>
      <c r="L610" s="1" t="s">
        <v>19</v>
      </c>
    </row>
    <row r="611" spans="1:12" x14ac:dyDescent="0.3">
      <c r="A611" s="1" t="s">
        <v>1043</v>
      </c>
      <c r="B611" s="2">
        <v>46042</v>
      </c>
      <c r="C611" s="2">
        <v>46083</v>
      </c>
      <c r="D611" s="1" t="s">
        <v>32</v>
      </c>
      <c r="E611" s="1" t="s">
        <v>24</v>
      </c>
      <c r="F611" s="1" t="s">
        <v>15</v>
      </c>
      <c r="G611" s="1" t="s">
        <v>16</v>
      </c>
      <c r="H611" s="1" t="s">
        <v>71</v>
      </c>
      <c r="I611" s="1" t="s">
        <v>26</v>
      </c>
      <c r="J611">
        <v>30</v>
      </c>
      <c r="K611">
        <v>41</v>
      </c>
      <c r="L611" s="1" t="s">
        <v>21</v>
      </c>
    </row>
    <row r="612" spans="1:12" x14ac:dyDescent="0.3">
      <c r="A612" s="1" t="s">
        <v>1261</v>
      </c>
      <c r="B612" s="2">
        <v>46042</v>
      </c>
      <c r="C612" s="2">
        <v>46085</v>
      </c>
      <c r="D612" s="1" t="s">
        <v>23</v>
      </c>
      <c r="E612" s="1" t="s">
        <v>24</v>
      </c>
      <c r="F612" s="1" t="s">
        <v>15</v>
      </c>
      <c r="G612" s="1" t="s">
        <v>53</v>
      </c>
      <c r="H612" s="1" t="s">
        <v>25</v>
      </c>
      <c r="I612" s="1" t="s">
        <v>41</v>
      </c>
      <c r="J612">
        <v>30</v>
      </c>
      <c r="K612">
        <v>43</v>
      </c>
      <c r="L612" s="1" t="s">
        <v>44</v>
      </c>
    </row>
    <row r="613" spans="1:12" x14ac:dyDescent="0.3">
      <c r="A613" s="1" t="s">
        <v>2790</v>
      </c>
      <c r="B613" s="2">
        <v>46042</v>
      </c>
      <c r="C613" s="2">
        <v>46114</v>
      </c>
      <c r="D613" s="1" t="s">
        <v>23</v>
      </c>
      <c r="E613" s="1" t="s">
        <v>14</v>
      </c>
      <c r="F613" s="1" t="s">
        <v>15</v>
      </c>
      <c r="G613" s="1" t="s">
        <v>16</v>
      </c>
      <c r="H613" s="1" t="s">
        <v>25</v>
      </c>
      <c r="I613" s="1" t="s">
        <v>26</v>
      </c>
      <c r="J613">
        <v>15</v>
      </c>
      <c r="K613">
        <v>72</v>
      </c>
      <c r="L613" s="1" t="s">
        <v>80</v>
      </c>
    </row>
    <row r="614" spans="1:12" x14ac:dyDescent="0.3">
      <c r="A614" s="1" t="s">
        <v>2977</v>
      </c>
      <c r="B614" s="2">
        <v>46042</v>
      </c>
      <c r="C614" s="2">
        <v>46082</v>
      </c>
      <c r="D614" s="1" t="s">
        <v>32</v>
      </c>
      <c r="E614" s="1" t="s">
        <v>14</v>
      </c>
      <c r="F614" s="1" t="s">
        <v>15</v>
      </c>
      <c r="G614" s="1" t="s">
        <v>16</v>
      </c>
      <c r="H614" s="1" t="s">
        <v>34</v>
      </c>
      <c r="I614" s="1" t="s">
        <v>26</v>
      </c>
      <c r="J614">
        <v>15</v>
      </c>
      <c r="K614">
        <v>40</v>
      </c>
      <c r="L614" s="1" t="s">
        <v>21</v>
      </c>
    </row>
    <row r="615" spans="1:12" x14ac:dyDescent="0.3">
      <c r="A615" s="1" t="s">
        <v>332</v>
      </c>
      <c r="B615" s="2">
        <v>46041</v>
      </c>
      <c r="C615" s="2">
        <v>46064</v>
      </c>
      <c r="D615" s="1" t="s">
        <v>23</v>
      </c>
      <c r="E615" s="1" t="s">
        <v>24</v>
      </c>
      <c r="F615" s="1" t="s">
        <v>15</v>
      </c>
      <c r="G615" s="1" t="s">
        <v>16</v>
      </c>
      <c r="H615" s="1" t="s">
        <v>25</v>
      </c>
      <c r="I615" s="1" t="s">
        <v>41</v>
      </c>
      <c r="J615">
        <v>30</v>
      </c>
      <c r="K615">
        <v>23</v>
      </c>
      <c r="L615" s="1" t="s">
        <v>19</v>
      </c>
    </row>
    <row r="616" spans="1:12" x14ac:dyDescent="0.3">
      <c r="A616" s="1" t="s">
        <v>2135</v>
      </c>
      <c r="B616" s="2">
        <v>46041</v>
      </c>
      <c r="C616" s="2">
        <v>46091</v>
      </c>
      <c r="D616" s="1" t="s">
        <v>37</v>
      </c>
      <c r="E616" s="1" t="s">
        <v>14</v>
      </c>
      <c r="F616" s="1" t="s">
        <v>15</v>
      </c>
      <c r="G616" s="1" t="s">
        <v>16</v>
      </c>
      <c r="H616" s="1" t="s">
        <v>39</v>
      </c>
      <c r="I616" s="1" t="s">
        <v>18</v>
      </c>
      <c r="J616">
        <v>15</v>
      </c>
      <c r="K616">
        <v>50</v>
      </c>
      <c r="L616" s="1" t="s">
        <v>44</v>
      </c>
    </row>
    <row r="617" spans="1:12" x14ac:dyDescent="0.3">
      <c r="A617" s="1" t="s">
        <v>1376</v>
      </c>
      <c r="B617" s="2">
        <v>46041</v>
      </c>
      <c r="C617" s="2">
        <v>46064</v>
      </c>
      <c r="D617" s="1" t="s">
        <v>32</v>
      </c>
      <c r="E617" s="1" t="s">
        <v>24</v>
      </c>
      <c r="F617" s="1" t="s">
        <v>15</v>
      </c>
      <c r="G617" s="1" t="s">
        <v>16</v>
      </c>
      <c r="H617" s="1" t="s">
        <v>71</v>
      </c>
      <c r="I617" s="1" t="s">
        <v>41</v>
      </c>
      <c r="J617">
        <v>45</v>
      </c>
      <c r="K617">
        <v>23</v>
      </c>
      <c r="L617" s="1" t="s">
        <v>19</v>
      </c>
    </row>
    <row r="618" spans="1:12" x14ac:dyDescent="0.3">
      <c r="A618" s="1" t="s">
        <v>1791</v>
      </c>
      <c r="B618" s="2">
        <v>46041</v>
      </c>
      <c r="C618" s="2">
        <v>46057</v>
      </c>
      <c r="D618" s="1" t="s">
        <v>32</v>
      </c>
      <c r="E618" s="1" t="s">
        <v>14</v>
      </c>
      <c r="F618" s="1" t="s">
        <v>15</v>
      </c>
      <c r="G618" s="1" t="s">
        <v>53</v>
      </c>
      <c r="H618" s="1" t="s">
        <v>71</v>
      </c>
      <c r="I618" s="1" t="s">
        <v>18</v>
      </c>
      <c r="J618">
        <v>15</v>
      </c>
      <c r="K618">
        <v>16</v>
      </c>
      <c r="L618" s="1" t="s">
        <v>19</v>
      </c>
    </row>
    <row r="619" spans="1:12" x14ac:dyDescent="0.3">
      <c r="A619" s="1" t="s">
        <v>2574</v>
      </c>
      <c r="B619" s="2">
        <v>46041</v>
      </c>
      <c r="C619" s="2">
        <v>46077</v>
      </c>
      <c r="D619" s="1" t="s">
        <v>23</v>
      </c>
      <c r="E619" s="1" t="s">
        <v>14</v>
      </c>
      <c r="F619" s="1" t="s">
        <v>38</v>
      </c>
      <c r="G619" s="1" t="s">
        <v>16</v>
      </c>
      <c r="H619" s="1" t="s">
        <v>43</v>
      </c>
      <c r="I619" s="1" t="s">
        <v>26</v>
      </c>
      <c r="J619">
        <v>30</v>
      </c>
      <c r="K619">
        <v>36</v>
      </c>
      <c r="L619" s="1" t="s">
        <v>21</v>
      </c>
    </row>
    <row r="620" spans="1:12" x14ac:dyDescent="0.3">
      <c r="A620" s="1" t="s">
        <v>2587</v>
      </c>
      <c r="B620" s="2">
        <v>46041</v>
      </c>
      <c r="C620" s="2">
        <v>46069</v>
      </c>
      <c r="D620" s="1" t="s">
        <v>13</v>
      </c>
      <c r="E620" s="1" t="s">
        <v>14</v>
      </c>
      <c r="F620" s="1" t="s">
        <v>15</v>
      </c>
      <c r="G620" s="1" t="s">
        <v>16</v>
      </c>
      <c r="H620" s="1" t="s">
        <v>47</v>
      </c>
      <c r="I620" s="1" t="s">
        <v>26</v>
      </c>
      <c r="J620">
        <v>15</v>
      </c>
      <c r="K620">
        <v>28</v>
      </c>
      <c r="L620" s="1" t="s">
        <v>19</v>
      </c>
    </row>
    <row r="621" spans="1:12" x14ac:dyDescent="0.3">
      <c r="A621" s="1" t="s">
        <v>133</v>
      </c>
      <c r="B621" s="2">
        <v>46040</v>
      </c>
      <c r="C621" s="2">
        <v>46097</v>
      </c>
      <c r="D621" s="1" t="s">
        <v>32</v>
      </c>
      <c r="E621" s="1" t="s">
        <v>24</v>
      </c>
      <c r="F621" s="1" t="s">
        <v>15</v>
      </c>
      <c r="G621" s="1" t="s">
        <v>53</v>
      </c>
      <c r="H621" s="1" t="s">
        <v>34</v>
      </c>
      <c r="I621" s="1" t="s">
        <v>18</v>
      </c>
      <c r="J621">
        <v>30</v>
      </c>
      <c r="K621">
        <v>57</v>
      </c>
      <c r="L621" s="1" t="s">
        <v>80</v>
      </c>
    </row>
    <row r="622" spans="1:12" x14ac:dyDescent="0.3">
      <c r="A622" s="1" t="s">
        <v>470</v>
      </c>
      <c r="B622" s="2">
        <v>46040</v>
      </c>
      <c r="C622" s="2">
        <v>46061</v>
      </c>
      <c r="D622" s="1" t="s">
        <v>32</v>
      </c>
      <c r="E622" s="1" t="s">
        <v>24</v>
      </c>
      <c r="F622" s="1" t="s">
        <v>15</v>
      </c>
      <c r="G622" s="1" t="s">
        <v>16</v>
      </c>
      <c r="H622" s="1" t="s">
        <v>34</v>
      </c>
      <c r="I622" s="1" t="s">
        <v>18</v>
      </c>
      <c r="J622">
        <v>30</v>
      </c>
      <c r="K622">
        <v>21</v>
      </c>
      <c r="L622" s="1" t="s">
        <v>19</v>
      </c>
    </row>
    <row r="623" spans="1:12" x14ac:dyDescent="0.3">
      <c r="A623" s="1" t="s">
        <v>514</v>
      </c>
      <c r="B623" s="2">
        <v>46040</v>
      </c>
      <c r="C623" s="2">
        <v>46066</v>
      </c>
      <c r="D623" s="1" t="s">
        <v>23</v>
      </c>
      <c r="E623" s="1" t="s">
        <v>14</v>
      </c>
      <c r="F623" s="1" t="s">
        <v>15</v>
      </c>
      <c r="G623" s="1" t="s">
        <v>16</v>
      </c>
      <c r="H623" s="1" t="s">
        <v>43</v>
      </c>
      <c r="I623" s="1" t="s">
        <v>18</v>
      </c>
      <c r="J623">
        <v>30</v>
      </c>
      <c r="K623">
        <v>26</v>
      </c>
      <c r="L623" s="1" t="s">
        <v>19</v>
      </c>
    </row>
    <row r="624" spans="1:12" x14ac:dyDescent="0.3">
      <c r="A624" s="1" t="s">
        <v>696</v>
      </c>
      <c r="B624" s="2">
        <v>46040</v>
      </c>
      <c r="C624" s="2">
        <v>46107</v>
      </c>
      <c r="D624" s="1" t="s">
        <v>37</v>
      </c>
      <c r="E624" s="1" t="s">
        <v>14</v>
      </c>
      <c r="F624" s="1" t="s">
        <v>15</v>
      </c>
      <c r="G624" s="1" t="s">
        <v>16</v>
      </c>
      <c r="H624" s="1" t="s">
        <v>49</v>
      </c>
      <c r="I624" s="1" t="s">
        <v>18</v>
      </c>
      <c r="J624">
        <v>30</v>
      </c>
      <c r="K624">
        <v>67</v>
      </c>
      <c r="L624" s="1" t="s">
        <v>80</v>
      </c>
    </row>
    <row r="625" spans="1:12" x14ac:dyDescent="0.3">
      <c r="A625" s="1" t="s">
        <v>593</v>
      </c>
      <c r="B625" s="2">
        <v>46040</v>
      </c>
      <c r="C625" s="2">
        <v>46082</v>
      </c>
      <c r="D625" s="1" t="s">
        <v>37</v>
      </c>
      <c r="E625" s="1" t="s">
        <v>24</v>
      </c>
      <c r="F625" s="1" t="s">
        <v>15</v>
      </c>
      <c r="G625" s="1" t="s">
        <v>16</v>
      </c>
      <c r="H625" s="1" t="s">
        <v>39</v>
      </c>
      <c r="I625" s="1" t="s">
        <v>26</v>
      </c>
      <c r="J625">
        <v>30</v>
      </c>
      <c r="K625">
        <v>42</v>
      </c>
      <c r="L625" s="1" t="s">
        <v>21</v>
      </c>
    </row>
    <row r="626" spans="1:12" x14ac:dyDescent="0.3">
      <c r="A626" s="1" t="s">
        <v>144</v>
      </c>
      <c r="B626" s="2">
        <v>46040</v>
      </c>
      <c r="C626" s="2">
        <v>46073</v>
      </c>
      <c r="D626" s="1" t="s">
        <v>37</v>
      </c>
      <c r="E626" s="1" t="s">
        <v>24</v>
      </c>
      <c r="F626" s="1" t="s">
        <v>15</v>
      </c>
      <c r="G626" s="1" t="s">
        <v>16</v>
      </c>
      <c r="H626" s="1" t="s">
        <v>39</v>
      </c>
      <c r="I626" s="1" t="s">
        <v>26</v>
      </c>
      <c r="J626">
        <v>30</v>
      </c>
      <c r="K626">
        <v>33</v>
      </c>
      <c r="L626" s="1" t="s">
        <v>21</v>
      </c>
    </row>
    <row r="627" spans="1:12" x14ac:dyDescent="0.3">
      <c r="A627" s="1" t="s">
        <v>3079</v>
      </c>
      <c r="B627" s="2">
        <v>46040</v>
      </c>
      <c r="C627" s="2">
        <v>46068</v>
      </c>
      <c r="D627" s="1" t="s">
        <v>37</v>
      </c>
      <c r="E627" s="1" t="s">
        <v>14</v>
      </c>
      <c r="F627" s="1" t="s">
        <v>38</v>
      </c>
      <c r="G627" s="1" t="s">
        <v>16</v>
      </c>
      <c r="H627" s="1" t="s">
        <v>49</v>
      </c>
      <c r="I627" s="1" t="s">
        <v>26</v>
      </c>
      <c r="J627">
        <v>30</v>
      </c>
      <c r="K627">
        <v>28</v>
      </c>
      <c r="L627" s="1" t="s">
        <v>19</v>
      </c>
    </row>
    <row r="628" spans="1:12" x14ac:dyDescent="0.3">
      <c r="A628" s="1" t="s">
        <v>1241</v>
      </c>
      <c r="B628" s="2">
        <v>46040</v>
      </c>
      <c r="C628" s="2">
        <v>46088</v>
      </c>
      <c r="D628" s="1" t="s">
        <v>32</v>
      </c>
      <c r="E628" s="1" t="s">
        <v>14</v>
      </c>
      <c r="F628" s="1" t="s">
        <v>15</v>
      </c>
      <c r="G628" s="1" t="s">
        <v>33</v>
      </c>
      <c r="H628" s="1" t="s">
        <v>34</v>
      </c>
      <c r="I628" s="1" t="s">
        <v>41</v>
      </c>
      <c r="J628">
        <v>30</v>
      </c>
      <c r="K628">
        <v>48</v>
      </c>
      <c r="L628" s="1" t="s">
        <v>44</v>
      </c>
    </row>
    <row r="629" spans="1:12" x14ac:dyDescent="0.3">
      <c r="A629" s="1" t="s">
        <v>3099</v>
      </c>
      <c r="B629" s="2">
        <v>46040</v>
      </c>
      <c r="C629" s="2">
        <v>46042</v>
      </c>
      <c r="D629" s="1" t="s">
        <v>32</v>
      </c>
      <c r="E629" s="1" t="s">
        <v>14</v>
      </c>
      <c r="F629" s="1" t="s">
        <v>15</v>
      </c>
      <c r="G629" s="1" t="s">
        <v>16</v>
      </c>
      <c r="H629" s="1" t="s">
        <v>34</v>
      </c>
      <c r="I629" s="1" t="s">
        <v>18</v>
      </c>
      <c r="J629">
        <v>30</v>
      </c>
      <c r="K629">
        <v>2</v>
      </c>
      <c r="L629" s="1" t="s">
        <v>30</v>
      </c>
    </row>
    <row r="630" spans="1:12" x14ac:dyDescent="0.3">
      <c r="A630" s="1" t="s">
        <v>633</v>
      </c>
      <c r="B630" s="2">
        <v>46039</v>
      </c>
      <c r="C630" s="2">
        <v>46072</v>
      </c>
      <c r="D630" s="1" t="s">
        <v>28</v>
      </c>
      <c r="E630" s="1" t="s">
        <v>14</v>
      </c>
      <c r="F630" s="1" t="s">
        <v>15</v>
      </c>
      <c r="G630" s="1" t="s">
        <v>16</v>
      </c>
      <c r="H630" s="1" t="s">
        <v>54</v>
      </c>
      <c r="I630" s="1" t="s">
        <v>41</v>
      </c>
      <c r="J630">
        <v>30</v>
      </c>
      <c r="K630">
        <v>33</v>
      </c>
      <c r="L630" s="1" t="s">
        <v>21</v>
      </c>
    </row>
    <row r="631" spans="1:12" x14ac:dyDescent="0.3">
      <c r="A631" s="1" t="s">
        <v>638</v>
      </c>
      <c r="B631" s="2">
        <v>46039</v>
      </c>
      <c r="C631" s="2">
        <v>46084</v>
      </c>
      <c r="D631" s="1" t="s">
        <v>23</v>
      </c>
      <c r="E631" s="1" t="s">
        <v>24</v>
      </c>
      <c r="F631" s="1" t="s">
        <v>15</v>
      </c>
      <c r="G631" s="1" t="s">
        <v>16</v>
      </c>
      <c r="H631" s="1" t="s">
        <v>43</v>
      </c>
      <c r="I631" s="1" t="s">
        <v>26</v>
      </c>
      <c r="J631">
        <v>30</v>
      </c>
      <c r="K631">
        <v>45</v>
      </c>
      <c r="L631" s="1" t="s">
        <v>44</v>
      </c>
    </row>
    <row r="632" spans="1:12" x14ac:dyDescent="0.3">
      <c r="A632" s="1" t="s">
        <v>728</v>
      </c>
      <c r="B632" s="2">
        <v>46039</v>
      </c>
      <c r="C632" s="2">
        <v>46062</v>
      </c>
      <c r="D632" s="1" t="s">
        <v>23</v>
      </c>
      <c r="E632" s="1" t="s">
        <v>14</v>
      </c>
      <c r="F632" s="1" t="s">
        <v>15</v>
      </c>
      <c r="G632" s="1" t="s">
        <v>16</v>
      </c>
      <c r="H632" s="1" t="s">
        <v>43</v>
      </c>
      <c r="I632" s="1" t="s">
        <v>41</v>
      </c>
      <c r="J632">
        <v>15</v>
      </c>
      <c r="K632">
        <v>23</v>
      </c>
      <c r="L632" s="1" t="s">
        <v>19</v>
      </c>
    </row>
    <row r="633" spans="1:12" x14ac:dyDescent="0.3">
      <c r="A633" s="1" t="s">
        <v>894</v>
      </c>
      <c r="B633" s="2">
        <v>46039</v>
      </c>
      <c r="C633" s="2">
        <v>46102</v>
      </c>
      <c r="D633" s="1" t="s">
        <v>13</v>
      </c>
      <c r="E633" s="1" t="s">
        <v>24</v>
      </c>
      <c r="F633" s="1" t="s">
        <v>38</v>
      </c>
      <c r="G633" s="1" t="s">
        <v>16</v>
      </c>
      <c r="H633" s="1" t="s">
        <v>47</v>
      </c>
      <c r="I633" s="1" t="s">
        <v>26</v>
      </c>
      <c r="J633">
        <v>45</v>
      </c>
      <c r="K633">
        <v>63</v>
      </c>
      <c r="L633" s="1" t="s">
        <v>80</v>
      </c>
    </row>
    <row r="634" spans="1:12" x14ac:dyDescent="0.3">
      <c r="A634" s="1" t="s">
        <v>902</v>
      </c>
      <c r="B634" s="2">
        <v>46039</v>
      </c>
      <c r="C634" s="2">
        <v>46041</v>
      </c>
      <c r="D634" s="1" t="s">
        <v>32</v>
      </c>
      <c r="E634" s="1" t="s">
        <v>24</v>
      </c>
      <c r="F634" s="1" t="s">
        <v>15</v>
      </c>
      <c r="G634" s="1" t="s">
        <v>16</v>
      </c>
      <c r="H634" s="1" t="s">
        <v>34</v>
      </c>
      <c r="I634" s="1" t="s">
        <v>26</v>
      </c>
      <c r="J634">
        <v>30</v>
      </c>
      <c r="K634">
        <v>2</v>
      </c>
      <c r="L634" s="1" t="s">
        <v>30</v>
      </c>
    </row>
    <row r="635" spans="1:12" x14ac:dyDescent="0.3">
      <c r="A635" s="1" t="s">
        <v>1054</v>
      </c>
      <c r="B635" s="2">
        <v>46039</v>
      </c>
      <c r="C635" s="2">
        <v>46085</v>
      </c>
      <c r="D635" s="1" t="s">
        <v>23</v>
      </c>
      <c r="E635" s="1" t="s">
        <v>14</v>
      </c>
      <c r="F635" s="1" t="s">
        <v>15</v>
      </c>
      <c r="G635" s="1" t="s">
        <v>53</v>
      </c>
      <c r="H635" s="1" t="s">
        <v>43</v>
      </c>
      <c r="I635" s="1" t="s">
        <v>26</v>
      </c>
      <c r="J635">
        <v>30</v>
      </c>
      <c r="K635">
        <v>46</v>
      </c>
      <c r="L635" s="1" t="s">
        <v>44</v>
      </c>
    </row>
    <row r="636" spans="1:12" x14ac:dyDescent="0.3">
      <c r="A636" s="1" t="s">
        <v>1129</v>
      </c>
      <c r="B636" s="2">
        <v>46039</v>
      </c>
      <c r="C636" s="2">
        <v>46103</v>
      </c>
      <c r="D636" s="1" t="s">
        <v>32</v>
      </c>
      <c r="E636" s="1" t="s">
        <v>14</v>
      </c>
      <c r="F636" s="1" t="s">
        <v>38</v>
      </c>
      <c r="G636" s="1" t="s">
        <v>16</v>
      </c>
      <c r="H636" s="1" t="s">
        <v>71</v>
      </c>
      <c r="I636" s="1" t="s">
        <v>26</v>
      </c>
      <c r="J636">
        <v>15</v>
      </c>
      <c r="K636">
        <v>64</v>
      </c>
      <c r="L636" s="1" t="s">
        <v>80</v>
      </c>
    </row>
    <row r="637" spans="1:12" x14ac:dyDescent="0.3">
      <c r="A637" s="1" t="s">
        <v>1302</v>
      </c>
      <c r="B637" s="2">
        <v>46039</v>
      </c>
      <c r="C637" s="2">
        <v>46089</v>
      </c>
      <c r="D637" s="1" t="s">
        <v>23</v>
      </c>
      <c r="E637" s="1" t="s">
        <v>14</v>
      </c>
      <c r="F637" s="1" t="s">
        <v>15</v>
      </c>
      <c r="G637" s="1" t="s">
        <v>53</v>
      </c>
      <c r="H637" s="1" t="s">
        <v>25</v>
      </c>
      <c r="I637" s="1" t="s">
        <v>26</v>
      </c>
      <c r="J637">
        <v>15</v>
      </c>
      <c r="K637">
        <v>50</v>
      </c>
      <c r="L637" s="1" t="s">
        <v>44</v>
      </c>
    </row>
    <row r="638" spans="1:12" x14ac:dyDescent="0.3">
      <c r="A638" s="1" t="s">
        <v>1326</v>
      </c>
      <c r="B638" s="2">
        <v>46039</v>
      </c>
      <c r="C638" s="2">
        <v>46087</v>
      </c>
      <c r="D638" s="1" t="s">
        <v>28</v>
      </c>
      <c r="E638" s="1" t="s">
        <v>14</v>
      </c>
      <c r="F638" s="1" t="s">
        <v>15</v>
      </c>
      <c r="G638" s="1" t="s">
        <v>53</v>
      </c>
      <c r="H638" s="1" t="s">
        <v>54</v>
      </c>
      <c r="I638" s="1" t="s">
        <v>41</v>
      </c>
      <c r="J638">
        <v>15</v>
      </c>
      <c r="K638">
        <v>48</v>
      </c>
      <c r="L638" s="1" t="s">
        <v>44</v>
      </c>
    </row>
    <row r="639" spans="1:12" x14ac:dyDescent="0.3">
      <c r="A639" s="1" t="s">
        <v>2338</v>
      </c>
      <c r="B639" s="2">
        <v>46039</v>
      </c>
      <c r="C639" s="2">
        <v>46041</v>
      </c>
      <c r="D639" s="1" t="s">
        <v>32</v>
      </c>
      <c r="E639" s="1" t="s">
        <v>24</v>
      </c>
      <c r="F639" s="1" t="s">
        <v>15</v>
      </c>
      <c r="G639" s="1" t="s">
        <v>16</v>
      </c>
      <c r="H639" s="1" t="s">
        <v>71</v>
      </c>
      <c r="I639" s="1" t="s">
        <v>26</v>
      </c>
      <c r="J639">
        <v>30</v>
      </c>
      <c r="K639">
        <v>2</v>
      </c>
      <c r="L639" s="1" t="s">
        <v>30</v>
      </c>
    </row>
    <row r="640" spans="1:12" x14ac:dyDescent="0.3">
      <c r="A640" s="1" t="s">
        <v>2539</v>
      </c>
      <c r="B640" s="2">
        <v>46039</v>
      </c>
      <c r="C640" s="2">
        <v>46089</v>
      </c>
      <c r="D640" s="1" t="s">
        <v>28</v>
      </c>
      <c r="E640" s="1" t="s">
        <v>14</v>
      </c>
      <c r="F640" s="1" t="s">
        <v>38</v>
      </c>
      <c r="G640" s="1" t="s">
        <v>53</v>
      </c>
      <c r="H640" s="1" t="s">
        <v>29</v>
      </c>
      <c r="I640" s="1" t="s">
        <v>26</v>
      </c>
      <c r="J640">
        <v>15</v>
      </c>
      <c r="K640">
        <v>50</v>
      </c>
      <c r="L640" s="1" t="s">
        <v>44</v>
      </c>
    </row>
    <row r="641" spans="1:12" x14ac:dyDescent="0.3">
      <c r="A641" s="1" t="s">
        <v>2577</v>
      </c>
      <c r="B641" s="2">
        <v>46039</v>
      </c>
      <c r="C641" s="2">
        <v>46083</v>
      </c>
      <c r="D641" s="1" t="s">
        <v>23</v>
      </c>
      <c r="E641" s="1" t="s">
        <v>14</v>
      </c>
      <c r="F641" s="1" t="s">
        <v>15</v>
      </c>
      <c r="G641" s="1" t="s">
        <v>53</v>
      </c>
      <c r="H641" s="1" t="s">
        <v>43</v>
      </c>
      <c r="I641" s="1" t="s">
        <v>18</v>
      </c>
      <c r="J641">
        <v>15</v>
      </c>
      <c r="K641">
        <v>44</v>
      </c>
      <c r="L641" s="1" t="s">
        <v>44</v>
      </c>
    </row>
    <row r="642" spans="1:12" x14ac:dyDescent="0.3">
      <c r="A642" s="1" t="s">
        <v>2609</v>
      </c>
      <c r="B642" s="2">
        <v>46039</v>
      </c>
      <c r="C642" s="2">
        <v>46092</v>
      </c>
      <c r="D642" s="1" t="s">
        <v>23</v>
      </c>
      <c r="E642" s="1" t="s">
        <v>14</v>
      </c>
      <c r="F642" s="1" t="s">
        <v>15</v>
      </c>
      <c r="G642" s="1" t="s">
        <v>16</v>
      </c>
      <c r="H642" s="1" t="s">
        <v>25</v>
      </c>
      <c r="I642" s="1" t="s">
        <v>18</v>
      </c>
      <c r="J642">
        <v>15</v>
      </c>
      <c r="K642">
        <v>53</v>
      </c>
      <c r="L642" s="1" t="s">
        <v>44</v>
      </c>
    </row>
    <row r="643" spans="1:12" x14ac:dyDescent="0.3">
      <c r="A643" s="1" t="s">
        <v>2613</v>
      </c>
      <c r="B643" s="2">
        <v>46039</v>
      </c>
      <c r="C643" s="2">
        <v>46092</v>
      </c>
      <c r="D643" s="1" t="s">
        <v>28</v>
      </c>
      <c r="E643" s="1" t="s">
        <v>24</v>
      </c>
      <c r="F643" s="1" t="s">
        <v>38</v>
      </c>
      <c r="G643" s="1" t="s">
        <v>16</v>
      </c>
      <c r="H643" s="1" t="s">
        <v>29</v>
      </c>
      <c r="I643" s="1" t="s">
        <v>26</v>
      </c>
      <c r="J643">
        <v>45</v>
      </c>
      <c r="K643">
        <v>53</v>
      </c>
      <c r="L643" s="1" t="s">
        <v>44</v>
      </c>
    </row>
    <row r="644" spans="1:12" x14ac:dyDescent="0.3">
      <c r="A644" s="1" t="s">
        <v>2944</v>
      </c>
      <c r="B644" s="2">
        <v>46039</v>
      </c>
      <c r="C644" s="2">
        <v>46073</v>
      </c>
      <c r="D644" s="1" t="s">
        <v>32</v>
      </c>
      <c r="E644" s="1" t="s">
        <v>14</v>
      </c>
      <c r="F644" s="1" t="s">
        <v>15</v>
      </c>
      <c r="G644" s="1" t="s">
        <v>16</v>
      </c>
      <c r="H644" s="1" t="s">
        <v>34</v>
      </c>
      <c r="I644" s="1" t="s">
        <v>18</v>
      </c>
      <c r="J644">
        <v>15</v>
      </c>
      <c r="K644">
        <v>34</v>
      </c>
      <c r="L644" s="1" t="s">
        <v>21</v>
      </c>
    </row>
    <row r="645" spans="1:12" x14ac:dyDescent="0.3">
      <c r="A645" s="1" t="s">
        <v>3025</v>
      </c>
      <c r="B645" s="2">
        <v>46039</v>
      </c>
      <c r="C645" s="2">
        <v>46041</v>
      </c>
      <c r="D645" s="1" t="s">
        <v>32</v>
      </c>
      <c r="E645" s="1" t="s">
        <v>24</v>
      </c>
      <c r="F645" s="1" t="s">
        <v>15</v>
      </c>
      <c r="G645" s="1" t="s">
        <v>33</v>
      </c>
      <c r="H645" s="1" t="s">
        <v>71</v>
      </c>
      <c r="I645" s="1" t="s">
        <v>18</v>
      </c>
      <c r="J645">
        <v>30</v>
      </c>
      <c r="K645">
        <v>2</v>
      </c>
      <c r="L645" s="1" t="s">
        <v>30</v>
      </c>
    </row>
    <row r="646" spans="1:12" x14ac:dyDescent="0.3">
      <c r="A646" s="1" t="s">
        <v>146</v>
      </c>
      <c r="B646" s="2">
        <v>46038</v>
      </c>
      <c r="C646" s="2">
        <v>46094</v>
      </c>
      <c r="D646" s="1" t="s">
        <v>13</v>
      </c>
      <c r="E646" s="1" t="s">
        <v>14</v>
      </c>
      <c r="F646" s="1" t="s">
        <v>15</v>
      </c>
      <c r="G646" s="1" t="s">
        <v>16</v>
      </c>
      <c r="H646" s="1" t="s">
        <v>47</v>
      </c>
      <c r="I646" s="1" t="s">
        <v>26</v>
      </c>
      <c r="J646">
        <v>15</v>
      </c>
      <c r="K646">
        <v>56</v>
      </c>
      <c r="L646" s="1" t="s">
        <v>44</v>
      </c>
    </row>
    <row r="647" spans="1:12" x14ac:dyDescent="0.3">
      <c r="A647" s="1" t="s">
        <v>526</v>
      </c>
      <c r="B647" s="2">
        <v>46038</v>
      </c>
      <c r="C647" s="2">
        <v>46059</v>
      </c>
      <c r="D647" s="1" t="s">
        <v>23</v>
      </c>
      <c r="E647" s="1" t="s">
        <v>24</v>
      </c>
      <c r="F647" s="1" t="s">
        <v>15</v>
      </c>
      <c r="G647" s="1" t="s">
        <v>16</v>
      </c>
      <c r="H647" s="1" t="s">
        <v>25</v>
      </c>
      <c r="I647" s="1" t="s">
        <v>18</v>
      </c>
      <c r="J647">
        <v>30</v>
      </c>
      <c r="K647">
        <v>21</v>
      </c>
      <c r="L647" s="1" t="s">
        <v>19</v>
      </c>
    </row>
    <row r="648" spans="1:12" x14ac:dyDescent="0.3">
      <c r="A648" s="1" t="s">
        <v>758</v>
      </c>
      <c r="B648" s="2">
        <v>46038</v>
      </c>
      <c r="C648" s="2">
        <v>46040</v>
      </c>
      <c r="D648" s="1" t="s">
        <v>23</v>
      </c>
      <c r="E648" s="1" t="s">
        <v>14</v>
      </c>
      <c r="F648" s="1" t="s">
        <v>15</v>
      </c>
      <c r="G648" s="1" t="s">
        <v>16</v>
      </c>
      <c r="H648" s="1" t="s">
        <v>25</v>
      </c>
      <c r="I648" s="1" t="s">
        <v>26</v>
      </c>
      <c r="J648">
        <v>15</v>
      </c>
      <c r="K648">
        <v>2</v>
      </c>
      <c r="L648" s="1" t="s">
        <v>30</v>
      </c>
    </row>
    <row r="649" spans="1:12" x14ac:dyDescent="0.3">
      <c r="A649" s="1" t="s">
        <v>1620</v>
      </c>
      <c r="B649" s="2">
        <v>46038</v>
      </c>
      <c r="C649" s="2">
        <v>46092</v>
      </c>
      <c r="D649" s="1" t="s">
        <v>32</v>
      </c>
      <c r="E649" s="1" t="s">
        <v>14</v>
      </c>
      <c r="F649" s="1" t="s">
        <v>15</v>
      </c>
      <c r="G649" s="1" t="s">
        <v>53</v>
      </c>
      <c r="H649" s="1" t="s">
        <v>34</v>
      </c>
      <c r="I649" s="1" t="s">
        <v>18</v>
      </c>
      <c r="J649">
        <v>30</v>
      </c>
      <c r="K649">
        <v>54</v>
      </c>
      <c r="L649" s="1" t="s">
        <v>44</v>
      </c>
    </row>
    <row r="650" spans="1:12" x14ac:dyDescent="0.3">
      <c r="A650" s="1" t="s">
        <v>1778</v>
      </c>
      <c r="B650" s="2">
        <v>46038</v>
      </c>
      <c r="C650" s="2">
        <v>46084</v>
      </c>
      <c r="D650" s="1" t="s">
        <v>23</v>
      </c>
      <c r="E650" s="1" t="s">
        <v>24</v>
      </c>
      <c r="F650" s="1" t="s">
        <v>15</v>
      </c>
      <c r="G650" s="1" t="s">
        <v>16</v>
      </c>
      <c r="H650" s="1" t="s">
        <v>43</v>
      </c>
      <c r="I650" s="1" t="s">
        <v>26</v>
      </c>
      <c r="J650">
        <v>30</v>
      </c>
      <c r="K650">
        <v>46</v>
      </c>
      <c r="L650" s="1" t="s">
        <v>44</v>
      </c>
    </row>
    <row r="651" spans="1:12" x14ac:dyDescent="0.3">
      <c r="A651" s="1" t="s">
        <v>2047</v>
      </c>
      <c r="B651" s="2">
        <v>46038</v>
      </c>
      <c r="C651" s="2">
        <v>46097</v>
      </c>
      <c r="D651" s="1" t="s">
        <v>13</v>
      </c>
      <c r="E651" s="1" t="s">
        <v>24</v>
      </c>
      <c r="F651" s="1" t="s">
        <v>38</v>
      </c>
      <c r="G651" s="1" t="s">
        <v>16</v>
      </c>
      <c r="H651" s="1" t="s">
        <v>17</v>
      </c>
      <c r="I651" s="1" t="s">
        <v>41</v>
      </c>
      <c r="J651">
        <v>30</v>
      </c>
      <c r="K651">
        <v>59</v>
      </c>
      <c r="L651" s="1" t="s">
        <v>80</v>
      </c>
    </row>
    <row r="652" spans="1:12" x14ac:dyDescent="0.3">
      <c r="A652" s="1" t="s">
        <v>2248</v>
      </c>
      <c r="B652" s="2">
        <v>46038</v>
      </c>
      <c r="C652" s="2">
        <v>46094</v>
      </c>
      <c r="D652" s="1" t="s">
        <v>23</v>
      </c>
      <c r="E652" s="1" t="s">
        <v>14</v>
      </c>
      <c r="F652" s="1" t="s">
        <v>15</v>
      </c>
      <c r="G652" s="1" t="s">
        <v>16</v>
      </c>
      <c r="H652" s="1" t="s">
        <v>43</v>
      </c>
      <c r="I652" s="1" t="s">
        <v>26</v>
      </c>
      <c r="J652">
        <v>15</v>
      </c>
      <c r="K652">
        <v>56</v>
      </c>
      <c r="L652" s="1" t="s">
        <v>44</v>
      </c>
    </row>
    <row r="653" spans="1:12" x14ac:dyDescent="0.3">
      <c r="A653" s="1" t="s">
        <v>2599</v>
      </c>
      <c r="B653" s="2">
        <v>46038</v>
      </c>
      <c r="C653" s="2">
        <v>46093</v>
      </c>
      <c r="D653" s="1" t="s">
        <v>23</v>
      </c>
      <c r="E653" s="1" t="s">
        <v>14</v>
      </c>
      <c r="F653" s="1" t="s">
        <v>15</v>
      </c>
      <c r="G653" s="1" t="s">
        <v>16</v>
      </c>
      <c r="H653" s="1" t="s">
        <v>25</v>
      </c>
      <c r="I653" s="1" t="s">
        <v>26</v>
      </c>
      <c r="J653">
        <v>30</v>
      </c>
      <c r="K653">
        <v>55</v>
      </c>
      <c r="L653" s="1" t="s">
        <v>44</v>
      </c>
    </row>
    <row r="654" spans="1:12" x14ac:dyDescent="0.3">
      <c r="A654" s="1" t="s">
        <v>112</v>
      </c>
      <c r="B654" s="2">
        <v>46037</v>
      </c>
      <c r="C654" s="2">
        <v>46050</v>
      </c>
      <c r="D654" s="1" t="s">
        <v>32</v>
      </c>
      <c r="E654" s="1" t="s">
        <v>14</v>
      </c>
      <c r="F654" s="1" t="s">
        <v>15</v>
      </c>
      <c r="G654" s="1" t="s">
        <v>16</v>
      </c>
      <c r="H654" s="1" t="s">
        <v>71</v>
      </c>
      <c r="I654" s="1" t="s">
        <v>41</v>
      </c>
      <c r="J654">
        <v>15</v>
      </c>
      <c r="K654">
        <v>13</v>
      </c>
      <c r="L654" s="1" t="s">
        <v>30</v>
      </c>
    </row>
    <row r="655" spans="1:12" x14ac:dyDescent="0.3">
      <c r="A655" s="1" t="s">
        <v>176</v>
      </c>
      <c r="B655" s="2">
        <v>46037</v>
      </c>
      <c r="C655" s="2">
        <v>46049</v>
      </c>
      <c r="D655" s="1" t="s">
        <v>23</v>
      </c>
      <c r="E655" s="1" t="s">
        <v>14</v>
      </c>
      <c r="F655" s="1" t="s">
        <v>15</v>
      </c>
      <c r="G655" s="1" t="s">
        <v>16</v>
      </c>
      <c r="H655" s="1" t="s">
        <v>25</v>
      </c>
      <c r="I655" s="1" t="s">
        <v>26</v>
      </c>
      <c r="J655">
        <v>15</v>
      </c>
      <c r="K655">
        <v>12</v>
      </c>
      <c r="L655" s="1" t="s">
        <v>30</v>
      </c>
    </row>
    <row r="656" spans="1:12" x14ac:dyDescent="0.3">
      <c r="A656" s="1" t="s">
        <v>1659</v>
      </c>
      <c r="B656" s="2">
        <v>46037</v>
      </c>
      <c r="C656" s="2">
        <v>46087</v>
      </c>
      <c r="D656" s="1" t="s">
        <v>37</v>
      </c>
      <c r="E656" s="1" t="s">
        <v>14</v>
      </c>
      <c r="F656" s="1" t="s">
        <v>15</v>
      </c>
      <c r="G656" s="1" t="s">
        <v>53</v>
      </c>
      <c r="H656" s="1" t="s">
        <v>39</v>
      </c>
      <c r="I656" s="1" t="s">
        <v>26</v>
      </c>
      <c r="J656">
        <v>15</v>
      </c>
      <c r="K656">
        <v>50</v>
      </c>
      <c r="L656" s="1" t="s">
        <v>44</v>
      </c>
    </row>
    <row r="657" spans="1:12" x14ac:dyDescent="0.3">
      <c r="A657" s="1" t="s">
        <v>734</v>
      </c>
      <c r="B657" s="2">
        <v>46037</v>
      </c>
      <c r="C657" s="2">
        <v>46070</v>
      </c>
      <c r="D657" s="1" t="s">
        <v>37</v>
      </c>
      <c r="E657" s="1" t="s">
        <v>24</v>
      </c>
      <c r="F657" s="1" t="s">
        <v>15</v>
      </c>
      <c r="G657" s="1" t="s">
        <v>16</v>
      </c>
      <c r="H657" s="1" t="s">
        <v>49</v>
      </c>
      <c r="I657" s="1" t="s">
        <v>26</v>
      </c>
      <c r="J657">
        <v>30</v>
      </c>
      <c r="K657">
        <v>33</v>
      </c>
      <c r="L657" s="1" t="s">
        <v>21</v>
      </c>
    </row>
    <row r="658" spans="1:12" x14ac:dyDescent="0.3">
      <c r="A658" s="1" t="s">
        <v>1175</v>
      </c>
      <c r="B658" s="2">
        <v>46037</v>
      </c>
      <c r="C658" s="2">
        <v>46070</v>
      </c>
      <c r="D658" s="1" t="s">
        <v>37</v>
      </c>
      <c r="E658" s="1" t="s">
        <v>14</v>
      </c>
      <c r="F658" s="1" t="s">
        <v>15</v>
      </c>
      <c r="G658" s="1" t="s">
        <v>16</v>
      </c>
      <c r="H658" s="1" t="s">
        <v>49</v>
      </c>
      <c r="I658" s="1" t="s">
        <v>26</v>
      </c>
      <c r="J658">
        <v>30</v>
      </c>
      <c r="K658">
        <v>33</v>
      </c>
      <c r="L658" s="1" t="s">
        <v>21</v>
      </c>
    </row>
    <row r="659" spans="1:12" x14ac:dyDescent="0.3">
      <c r="A659" s="1" t="s">
        <v>787</v>
      </c>
      <c r="B659" s="2">
        <v>46037</v>
      </c>
      <c r="C659" s="2">
        <v>46078</v>
      </c>
      <c r="D659" s="1" t="s">
        <v>32</v>
      </c>
      <c r="E659" s="1" t="s">
        <v>14</v>
      </c>
      <c r="F659" s="1" t="s">
        <v>15</v>
      </c>
      <c r="G659" s="1" t="s">
        <v>16</v>
      </c>
      <c r="H659" s="1" t="s">
        <v>71</v>
      </c>
      <c r="I659" s="1" t="s">
        <v>26</v>
      </c>
      <c r="J659">
        <v>15</v>
      </c>
      <c r="K659">
        <v>41</v>
      </c>
      <c r="L659" s="1" t="s">
        <v>21</v>
      </c>
    </row>
    <row r="660" spans="1:12" x14ac:dyDescent="0.3">
      <c r="A660" s="1" t="s">
        <v>1726</v>
      </c>
      <c r="B660" s="2">
        <v>46037</v>
      </c>
      <c r="C660" s="2">
        <v>46076</v>
      </c>
      <c r="D660" s="1" t="s">
        <v>13</v>
      </c>
      <c r="E660" s="1" t="s">
        <v>24</v>
      </c>
      <c r="F660" s="1" t="s">
        <v>15</v>
      </c>
      <c r="G660" s="1" t="s">
        <v>16</v>
      </c>
      <c r="H660" s="1" t="s">
        <v>47</v>
      </c>
      <c r="I660" s="1" t="s">
        <v>26</v>
      </c>
      <c r="J660">
        <v>30</v>
      </c>
      <c r="K660">
        <v>39</v>
      </c>
      <c r="L660" s="1" t="s">
        <v>21</v>
      </c>
    </row>
    <row r="661" spans="1:12" x14ac:dyDescent="0.3">
      <c r="A661" s="1" t="s">
        <v>2022</v>
      </c>
      <c r="B661" s="2">
        <v>46037</v>
      </c>
      <c r="C661" s="2">
        <v>46057</v>
      </c>
      <c r="D661" s="1" t="s">
        <v>13</v>
      </c>
      <c r="E661" s="1" t="s">
        <v>24</v>
      </c>
      <c r="F661" s="1" t="s">
        <v>15</v>
      </c>
      <c r="G661" s="1" t="s">
        <v>53</v>
      </c>
      <c r="H661" s="1" t="s">
        <v>17</v>
      </c>
      <c r="I661" s="1" t="s">
        <v>41</v>
      </c>
      <c r="J661">
        <v>30</v>
      </c>
      <c r="K661">
        <v>20</v>
      </c>
      <c r="L661" s="1" t="s">
        <v>19</v>
      </c>
    </row>
    <row r="662" spans="1:12" x14ac:dyDescent="0.3">
      <c r="A662" s="1" t="s">
        <v>2299</v>
      </c>
      <c r="B662" s="2">
        <v>46037</v>
      </c>
      <c r="C662" s="2">
        <v>46070</v>
      </c>
      <c r="D662" s="1" t="s">
        <v>13</v>
      </c>
      <c r="E662" s="1" t="s">
        <v>24</v>
      </c>
      <c r="F662" s="1" t="s">
        <v>15</v>
      </c>
      <c r="G662" s="1" t="s">
        <v>16</v>
      </c>
      <c r="H662" s="1" t="s">
        <v>17</v>
      </c>
      <c r="I662" s="1" t="s">
        <v>26</v>
      </c>
      <c r="J662">
        <v>30</v>
      </c>
      <c r="K662">
        <v>33</v>
      </c>
      <c r="L662" s="1" t="s">
        <v>21</v>
      </c>
    </row>
    <row r="663" spans="1:12" x14ac:dyDescent="0.3">
      <c r="A663" s="1" t="s">
        <v>2589</v>
      </c>
      <c r="B663" s="2">
        <v>46037</v>
      </c>
      <c r="C663" s="2">
        <v>46039</v>
      </c>
      <c r="D663" s="1" t="s">
        <v>32</v>
      </c>
      <c r="E663" s="1" t="s">
        <v>14</v>
      </c>
      <c r="F663" s="1" t="s">
        <v>15</v>
      </c>
      <c r="G663" s="1" t="s">
        <v>16</v>
      </c>
      <c r="H663" s="1" t="s">
        <v>34</v>
      </c>
      <c r="I663" s="1" t="s">
        <v>26</v>
      </c>
      <c r="J663">
        <v>15</v>
      </c>
      <c r="K663">
        <v>2</v>
      </c>
      <c r="L663" s="1" t="s">
        <v>30</v>
      </c>
    </row>
    <row r="664" spans="1:12" x14ac:dyDescent="0.3">
      <c r="A664" s="1" t="s">
        <v>2744</v>
      </c>
      <c r="B664" s="2">
        <v>46037</v>
      </c>
      <c r="C664" s="2">
        <v>46092</v>
      </c>
      <c r="D664" s="1" t="s">
        <v>13</v>
      </c>
      <c r="E664" s="1" t="s">
        <v>14</v>
      </c>
      <c r="F664" s="1" t="s">
        <v>38</v>
      </c>
      <c r="G664" s="1" t="s">
        <v>16</v>
      </c>
      <c r="H664" s="1" t="s">
        <v>47</v>
      </c>
      <c r="I664" s="1" t="s">
        <v>26</v>
      </c>
      <c r="J664">
        <v>15</v>
      </c>
      <c r="K664">
        <v>55</v>
      </c>
      <c r="L664" s="1" t="s">
        <v>44</v>
      </c>
    </row>
    <row r="665" spans="1:12" x14ac:dyDescent="0.3">
      <c r="A665" s="1" t="s">
        <v>2874</v>
      </c>
      <c r="B665" s="2">
        <v>46037</v>
      </c>
      <c r="C665" s="2">
        <v>46095</v>
      </c>
      <c r="D665" s="1" t="s">
        <v>32</v>
      </c>
      <c r="E665" s="1" t="s">
        <v>14</v>
      </c>
      <c r="F665" s="1" t="s">
        <v>15</v>
      </c>
      <c r="G665" s="1" t="s">
        <v>53</v>
      </c>
      <c r="H665" s="1" t="s">
        <v>71</v>
      </c>
      <c r="I665" s="1" t="s">
        <v>41</v>
      </c>
      <c r="J665">
        <v>15</v>
      </c>
      <c r="K665">
        <v>58</v>
      </c>
      <c r="L665" s="1" t="s">
        <v>80</v>
      </c>
    </row>
    <row r="666" spans="1:12" x14ac:dyDescent="0.3">
      <c r="A666" s="1" t="s">
        <v>2941</v>
      </c>
      <c r="B666" s="2">
        <v>46037</v>
      </c>
      <c r="C666" s="2">
        <v>46061</v>
      </c>
      <c r="D666" s="1" t="s">
        <v>23</v>
      </c>
      <c r="E666" s="1" t="s">
        <v>14</v>
      </c>
      <c r="F666" s="1" t="s">
        <v>15</v>
      </c>
      <c r="G666" s="1" t="s">
        <v>53</v>
      </c>
      <c r="H666" s="1" t="s">
        <v>43</v>
      </c>
      <c r="I666" s="1" t="s">
        <v>41</v>
      </c>
      <c r="J666">
        <v>15</v>
      </c>
      <c r="K666">
        <v>24</v>
      </c>
      <c r="L666" s="1" t="s">
        <v>19</v>
      </c>
    </row>
    <row r="667" spans="1:12" x14ac:dyDescent="0.3">
      <c r="A667" s="1" t="s">
        <v>302</v>
      </c>
      <c r="B667" s="2">
        <v>46036</v>
      </c>
      <c r="C667" s="2">
        <v>46038</v>
      </c>
      <c r="D667" s="1" t="s">
        <v>13</v>
      </c>
      <c r="E667" s="1" t="s">
        <v>24</v>
      </c>
      <c r="F667" s="1" t="s">
        <v>15</v>
      </c>
      <c r="G667" s="1" t="s">
        <v>16</v>
      </c>
      <c r="H667" s="1" t="s">
        <v>47</v>
      </c>
      <c r="I667" s="1" t="s">
        <v>26</v>
      </c>
      <c r="J667">
        <v>30</v>
      </c>
      <c r="K667">
        <v>2</v>
      </c>
      <c r="L667" s="1" t="s">
        <v>30</v>
      </c>
    </row>
    <row r="668" spans="1:12" x14ac:dyDescent="0.3">
      <c r="A668" s="1" t="s">
        <v>681</v>
      </c>
      <c r="B668" s="2">
        <v>46036</v>
      </c>
      <c r="C668" s="2">
        <v>46067</v>
      </c>
      <c r="D668" s="1" t="s">
        <v>23</v>
      </c>
      <c r="E668" s="1" t="s">
        <v>24</v>
      </c>
      <c r="F668" s="1" t="s">
        <v>15</v>
      </c>
      <c r="G668" s="1" t="s">
        <v>16</v>
      </c>
      <c r="H668" s="1" t="s">
        <v>43</v>
      </c>
      <c r="I668" s="1" t="s">
        <v>26</v>
      </c>
      <c r="J668">
        <v>45</v>
      </c>
      <c r="K668">
        <v>31</v>
      </c>
      <c r="L668" s="1" t="s">
        <v>21</v>
      </c>
    </row>
    <row r="669" spans="1:12" x14ac:dyDescent="0.3">
      <c r="A669" s="1" t="s">
        <v>2843</v>
      </c>
      <c r="B669" s="2">
        <v>46036</v>
      </c>
      <c r="C669" s="2">
        <v>46077</v>
      </c>
      <c r="D669" s="1" t="s">
        <v>37</v>
      </c>
      <c r="E669" s="1" t="s">
        <v>24</v>
      </c>
      <c r="F669" s="1" t="s">
        <v>15</v>
      </c>
      <c r="G669" s="1" t="s">
        <v>16</v>
      </c>
      <c r="H669" s="1" t="s">
        <v>49</v>
      </c>
      <c r="I669" s="1" t="s">
        <v>41</v>
      </c>
      <c r="J669">
        <v>45</v>
      </c>
      <c r="K669">
        <v>41</v>
      </c>
      <c r="L669" s="1" t="s">
        <v>21</v>
      </c>
    </row>
    <row r="670" spans="1:12" x14ac:dyDescent="0.3">
      <c r="A670" s="1" t="s">
        <v>601</v>
      </c>
      <c r="B670" s="2">
        <v>46036</v>
      </c>
      <c r="C670" s="2">
        <v>46074</v>
      </c>
      <c r="D670" s="1" t="s">
        <v>37</v>
      </c>
      <c r="E670" s="1" t="s">
        <v>24</v>
      </c>
      <c r="F670" s="1" t="s">
        <v>15</v>
      </c>
      <c r="G670" s="1" t="s">
        <v>33</v>
      </c>
      <c r="H670" s="1" t="s">
        <v>49</v>
      </c>
      <c r="I670" s="1" t="s">
        <v>41</v>
      </c>
      <c r="J670">
        <v>45</v>
      </c>
      <c r="K670">
        <v>38</v>
      </c>
      <c r="L670" s="1" t="s">
        <v>21</v>
      </c>
    </row>
    <row r="671" spans="1:12" x14ac:dyDescent="0.3">
      <c r="A671" s="1" t="s">
        <v>1456</v>
      </c>
      <c r="B671" s="2">
        <v>46036</v>
      </c>
      <c r="C671" s="2">
        <v>46060</v>
      </c>
      <c r="D671" s="1" t="s">
        <v>37</v>
      </c>
      <c r="E671" s="1" t="s">
        <v>14</v>
      </c>
      <c r="F671" s="1" t="s">
        <v>15</v>
      </c>
      <c r="G671" s="1" t="s">
        <v>16</v>
      </c>
      <c r="H671" s="1" t="s">
        <v>49</v>
      </c>
      <c r="I671" s="1" t="s">
        <v>26</v>
      </c>
      <c r="J671">
        <v>15</v>
      </c>
      <c r="K671">
        <v>24</v>
      </c>
      <c r="L671" s="1" t="s">
        <v>19</v>
      </c>
    </row>
    <row r="672" spans="1:12" x14ac:dyDescent="0.3">
      <c r="A672" s="1" t="s">
        <v>3172</v>
      </c>
      <c r="B672" s="2">
        <v>46036</v>
      </c>
      <c r="C672" s="2">
        <v>46060</v>
      </c>
      <c r="D672" s="1" t="s">
        <v>37</v>
      </c>
      <c r="E672" s="1" t="s">
        <v>14</v>
      </c>
      <c r="F672" s="1" t="s">
        <v>15</v>
      </c>
      <c r="G672" s="1" t="s">
        <v>16</v>
      </c>
      <c r="H672" s="1" t="s">
        <v>49</v>
      </c>
      <c r="I672" s="1" t="s">
        <v>18</v>
      </c>
      <c r="J672">
        <v>30</v>
      </c>
      <c r="K672">
        <v>24</v>
      </c>
      <c r="L672" s="1" t="s">
        <v>19</v>
      </c>
    </row>
    <row r="673" spans="1:12" x14ac:dyDescent="0.3">
      <c r="A673" s="1" t="s">
        <v>1296</v>
      </c>
      <c r="B673" s="2">
        <v>46036</v>
      </c>
      <c r="C673" s="2">
        <v>46061</v>
      </c>
      <c r="D673" s="1" t="s">
        <v>32</v>
      </c>
      <c r="E673" s="1" t="s">
        <v>24</v>
      </c>
      <c r="F673" s="1" t="s">
        <v>15</v>
      </c>
      <c r="G673" s="1" t="s">
        <v>16</v>
      </c>
      <c r="H673" s="1" t="s">
        <v>71</v>
      </c>
      <c r="I673" s="1" t="s">
        <v>26</v>
      </c>
      <c r="J673">
        <v>30</v>
      </c>
      <c r="K673">
        <v>25</v>
      </c>
      <c r="L673" s="1" t="s">
        <v>19</v>
      </c>
    </row>
    <row r="674" spans="1:12" x14ac:dyDescent="0.3">
      <c r="A674" s="1" t="s">
        <v>2028</v>
      </c>
      <c r="B674" s="2">
        <v>46036</v>
      </c>
      <c r="C674" s="2">
        <v>46059</v>
      </c>
      <c r="D674" s="1" t="s">
        <v>13</v>
      </c>
      <c r="E674" s="1" t="s">
        <v>24</v>
      </c>
      <c r="F674" s="1" t="s">
        <v>15</v>
      </c>
      <c r="G674" s="1" t="s">
        <v>16</v>
      </c>
      <c r="H674" s="1" t="s">
        <v>17</v>
      </c>
      <c r="I674" s="1" t="s">
        <v>26</v>
      </c>
      <c r="J674">
        <v>30</v>
      </c>
      <c r="K674">
        <v>23</v>
      </c>
      <c r="L674" s="1" t="s">
        <v>19</v>
      </c>
    </row>
    <row r="675" spans="1:12" x14ac:dyDescent="0.3">
      <c r="A675" s="1" t="s">
        <v>2713</v>
      </c>
      <c r="B675" s="2">
        <v>46036</v>
      </c>
      <c r="C675" s="2">
        <v>46091</v>
      </c>
      <c r="D675" s="1" t="s">
        <v>23</v>
      </c>
      <c r="E675" s="1" t="s">
        <v>14</v>
      </c>
      <c r="F675" s="1" t="s">
        <v>38</v>
      </c>
      <c r="G675" s="1" t="s">
        <v>16</v>
      </c>
      <c r="H675" s="1" t="s">
        <v>25</v>
      </c>
      <c r="I675" s="1" t="s">
        <v>26</v>
      </c>
      <c r="J675">
        <v>15</v>
      </c>
      <c r="K675">
        <v>55</v>
      </c>
      <c r="L675" s="1" t="s">
        <v>44</v>
      </c>
    </row>
    <row r="676" spans="1:12" x14ac:dyDescent="0.3">
      <c r="A676" s="1" t="s">
        <v>2851</v>
      </c>
      <c r="B676" s="2">
        <v>46036</v>
      </c>
      <c r="C676" s="2">
        <v>46068</v>
      </c>
      <c r="D676" s="1" t="s">
        <v>28</v>
      </c>
      <c r="E676" s="1" t="s">
        <v>14</v>
      </c>
      <c r="F676" s="1" t="s">
        <v>15</v>
      </c>
      <c r="G676" s="1" t="s">
        <v>16</v>
      </c>
      <c r="H676" s="1" t="s">
        <v>54</v>
      </c>
      <c r="I676" s="1" t="s">
        <v>26</v>
      </c>
      <c r="J676">
        <v>15</v>
      </c>
      <c r="K676">
        <v>32</v>
      </c>
      <c r="L676" s="1" t="s">
        <v>21</v>
      </c>
    </row>
    <row r="677" spans="1:12" x14ac:dyDescent="0.3">
      <c r="A677" s="1" t="s">
        <v>3196</v>
      </c>
      <c r="B677" s="2">
        <v>46036</v>
      </c>
      <c r="C677" s="2">
        <v>46055</v>
      </c>
      <c r="D677" s="1" t="s">
        <v>13</v>
      </c>
      <c r="E677" s="1" t="s">
        <v>14</v>
      </c>
      <c r="F677" s="1" t="s">
        <v>15</v>
      </c>
      <c r="G677" s="1" t="s">
        <v>33</v>
      </c>
      <c r="H677" s="1" t="s">
        <v>47</v>
      </c>
      <c r="I677" s="1" t="s">
        <v>41</v>
      </c>
      <c r="J677">
        <v>30</v>
      </c>
      <c r="K677">
        <v>19</v>
      </c>
      <c r="L677" s="1" t="s">
        <v>19</v>
      </c>
    </row>
    <row r="678" spans="1:12" x14ac:dyDescent="0.3">
      <c r="A678" s="1" t="s">
        <v>254</v>
      </c>
      <c r="B678" s="2">
        <v>46035</v>
      </c>
      <c r="C678" s="2">
        <v>46046</v>
      </c>
      <c r="D678" s="1" t="s">
        <v>28</v>
      </c>
      <c r="E678" s="1" t="s">
        <v>14</v>
      </c>
      <c r="F678" s="1" t="s">
        <v>15</v>
      </c>
      <c r="G678" s="1" t="s">
        <v>53</v>
      </c>
      <c r="H678" s="1" t="s">
        <v>29</v>
      </c>
      <c r="I678" s="1" t="s">
        <v>26</v>
      </c>
      <c r="J678">
        <v>30</v>
      </c>
      <c r="K678">
        <v>11</v>
      </c>
      <c r="L678" s="1" t="s">
        <v>30</v>
      </c>
    </row>
    <row r="679" spans="1:12" x14ac:dyDescent="0.3">
      <c r="A679" s="1" t="s">
        <v>1503</v>
      </c>
      <c r="B679" s="2">
        <v>46035</v>
      </c>
      <c r="C679" s="2">
        <v>46047</v>
      </c>
      <c r="D679" s="1" t="s">
        <v>23</v>
      </c>
      <c r="E679" s="1" t="s">
        <v>14</v>
      </c>
      <c r="F679" s="1" t="s">
        <v>15</v>
      </c>
      <c r="G679" s="1" t="s">
        <v>16</v>
      </c>
      <c r="H679" s="1" t="s">
        <v>43</v>
      </c>
      <c r="I679" s="1" t="s">
        <v>18</v>
      </c>
      <c r="J679">
        <v>15</v>
      </c>
      <c r="K679">
        <v>12</v>
      </c>
      <c r="L679" s="1" t="s">
        <v>30</v>
      </c>
    </row>
    <row r="680" spans="1:12" x14ac:dyDescent="0.3">
      <c r="A680" s="1" t="s">
        <v>2278</v>
      </c>
      <c r="B680" s="2">
        <v>46035</v>
      </c>
      <c r="C680" s="2">
        <v>46066</v>
      </c>
      <c r="D680" s="1" t="s">
        <v>28</v>
      </c>
      <c r="E680" s="1" t="s">
        <v>14</v>
      </c>
      <c r="F680" s="1" t="s">
        <v>15</v>
      </c>
      <c r="G680" s="1" t="s">
        <v>16</v>
      </c>
      <c r="H680" s="1" t="s">
        <v>29</v>
      </c>
      <c r="I680" s="1" t="s">
        <v>26</v>
      </c>
      <c r="J680">
        <v>30</v>
      </c>
      <c r="K680">
        <v>31</v>
      </c>
      <c r="L680" s="1" t="s">
        <v>21</v>
      </c>
    </row>
    <row r="681" spans="1:12" x14ac:dyDescent="0.3">
      <c r="A681" s="1" t="s">
        <v>2767</v>
      </c>
      <c r="B681" s="2">
        <v>46035</v>
      </c>
      <c r="C681" s="2">
        <v>46062</v>
      </c>
      <c r="D681" s="1" t="s">
        <v>28</v>
      </c>
      <c r="E681" s="1" t="s">
        <v>14</v>
      </c>
      <c r="F681" s="1" t="s">
        <v>15</v>
      </c>
      <c r="G681" s="1" t="s">
        <v>16</v>
      </c>
      <c r="H681" s="1" t="s">
        <v>29</v>
      </c>
      <c r="I681" s="1" t="s">
        <v>26</v>
      </c>
      <c r="J681">
        <v>30</v>
      </c>
      <c r="K681">
        <v>27</v>
      </c>
      <c r="L681" s="1" t="s">
        <v>19</v>
      </c>
    </row>
    <row r="682" spans="1:12" x14ac:dyDescent="0.3">
      <c r="A682" s="1" t="s">
        <v>55</v>
      </c>
      <c r="B682" s="2">
        <v>46034</v>
      </c>
      <c r="C682" s="2">
        <v>46046</v>
      </c>
      <c r="D682" s="1" t="s">
        <v>13</v>
      </c>
      <c r="E682" s="1" t="s">
        <v>14</v>
      </c>
      <c r="F682" s="1" t="s">
        <v>15</v>
      </c>
      <c r="G682" s="1" t="s">
        <v>53</v>
      </c>
      <c r="H682" s="1" t="s">
        <v>47</v>
      </c>
      <c r="I682" s="1" t="s">
        <v>26</v>
      </c>
      <c r="J682">
        <v>30</v>
      </c>
      <c r="K682">
        <v>12</v>
      </c>
      <c r="L682" s="1" t="s">
        <v>30</v>
      </c>
    </row>
    <row r="683" spans="1:12" x14ac:dyDescent="0.3">
      <c r="A683" s="1" t="s">
        <v>147</v>
      </c>
      <c r="B683" s="2">
        <v>46034</v>
      </c>
      <c r="C683" s="2">
        <v>46056</v>
      </c>
      <c r="D683" s="1" t="s">
        <v>23</v>
      </c>
      <c r="E683" s="1" t="s">
        <v>24</v>
      </c>
      <c r="F683" s="1" t="s">
        <v>15</v>
      </c>
      <c r="G683" s="1" t="s">
        <v>16</v>
      </c>
      <c r="H683" s="1" t="s">
        <v>25</v>
      </c>
      <c r="I683" s="1" t="s">
        <v>18</v>
      </c>
      <c r="J683">
        <v>45</v>
      </c>
      <c r="K683">
        <v>22</v>
      </c>
      <c r="L683" s="1" t="s">
        <v>19</v>
      </c>
    </row>
    <row r="684" spans="1:12" x14ac:dyDescent="0.3">
      <c r="A684" s="1" t="s">
        <v>290</v>
      </c>
      <c r="B684" s="2">
        <v>46034</v>
      </c>
      <c r="C684" s="2">
        <v>46069</v>
      </c>
      <c r="D684" s="1" t="s">
        <v>28</v>
      </c>
      <c r="E684" s="1" t="s">
        <v>14</v>
      </c>
      <c r="F684" s="1" t="s">
        <v>15</v>
      </c>
      <c r="G684" s="1" t="s">
        <v>16</v>
      </c>
      <c r="H684" s="1" t="s">
        <v>29</v>
      </c>
      <c r="I684" s="1" t="s">
        <v>26</v>
      </c>
      <c r="J684">
        <v>15</v>
      </c>
      <c r="K684">
        <v>35</v>
      </c>
      <c r="L684" s="1" t="s">
        <v>21</v>
      </c>
    </row>
    <row r="685" spans="1:12" x14ac:dyDescent="0.3">
      <c r="A685" s="1" t="s">
        <v>1472</v>
      </c>
      <c r="B685" s="2">
        <v>46034</v>
      </c>
      <c r="C685" s="2">
        <v>46093</v>
      </c>
      <c r="D685" s="1" t="s">
        <v>37</v>
      </c>
      <c r="E685" s="1" t="s">
        <v>24</v>
      </c>
      <c r="F685" s="1" t="s">
        <v>15</v>
      </c>
      <c r="G685" s="1" t="s">
        <v>16</v>
      </c>
      <c r="H685" s="1" t="s">
        <v>39</v>
      </c>
      <c r="I685" s="1" t="s">
        <v>26</v>
      </c>
      <c r="J685">
        <v>45</v>
      </c>
      <c r="K685">
        <v>59</v>
      </c>
      <c r="L685" s="1" t="s">
        <v>80</v>
      </c>
    </row>
    <row r="686" spans="1:12" x14ac:dyDescent="0.3">
      <c r="A686" s="1" t="s">
        <v>767</v>
      </c>
      <c r="B686" s="2">
        <v>46034</v>
      </c>
      <c r="C686" s="2">
        <v>46077</v>
      </c>
      <c r="D686" s="1" t="s">
        <v>37</v>
      </c>
      <c r="E686" s="1" t="s">
        <v>24</v>
      </c>
      <c r="F686" s="1" t="s">
        <v>15</v>
      </c>
      <c r="G686" s="1" t="s">
        <v>16</v>
      </c>
      <c r="H686" s="1" t="s">
        <v>49</v>
      </c>
      <c r="I686" s="1" t="s">
        <v>26</v>
      </c>
      <c r="J686">
        <v>30</v>
      </c>
      <c r="K686">
        <v>43</v>
      </c>
      <c r="L686" s="1" t="s">
        <v>44</v>
      </c>
    </row>
    <row r="687" spans="1:12" x14ac:dyDescent="0.3">
      <c r="A687" s="1" t="s">
        <v>1032</v>
      </c>
      <c r="B687" s="2">
        <v>46034</v>
      </c>
      <c r="C687" s="2">
        <v>46077</v>
      </c>
      <c r="D687" s="1" t="s">
        <v>32</v>
      </c>
      <c r="E687" s="1" t="s">
        <v>14</v>
      </c>
      <c r="F687" s="1" t="s">
        <v>15</v>
      </c>
      <c r="G687" s="1" t="s">
        <v>16</v>
      </c>
      <c r="H687" s="1" t="s">
        <v>71</v>
      </c>
      <c r="I687" s="1" t="s">
        <v>18</v>
      </c>
      <c r="J687">
        <v>30</v>
      </c>
      <c r="K687">
        <v>43</v>
      </c>
      <c r="L687" s="1" t="s">
        <v>44</v>
      </c>
    </row>
    <row r="688" spans="1:12" x14ac:dyDescent="0.3">
      <c r="A688" s="1" t="s">
        <v>2051</v>
      </c>
      <c r="B688" s="2">
        <v>46034</v>
      </c>
      <c r="C688" s="2">
        <v>46077</v>
      </c>
      <c r="D688" s="1" t="s">
        <v>28</v>
      </c>
      <c r="E688" s="1" t="s">
        <v>14</v>
      </c>
      <c r="F688" s="1" t="s">
        <v>38</v>
      </c>
      <c r="G688" s="1" t="s">
        <v>16</v>
      </c>
      <c r="H688" s="1" t="s">
        <v>29</v>
      </c>
      <c r="I688" s="1" t="s">
        <v>18</v>
      </c>
      <c r="J688">
        <v>30</v>
      </c>
      <c r="K688">
        <v>43</v>
      </c>
      <c r="L688" s="1" t="s">
        <v>44</v>
      </c>
    </row>
    <row r="689" spans="1:12" x14ac:dyDescent="0.3">
      <c r="A689" s="1" t="s">
        <v>2326</v>
      </c>
      <c r="B689" s="2">
        <v>46034</v>
      </c>
      <c r="C689" s="2">
        <v>46102</v>
      </c>
      <c r="D689" s="1" t="s">
        <v>28</v>
      </c>
      <c r="E689" s="1" t="s">
        <v>14</v>
      </c>
      <c r="F689" s="1" t="s">
        <v>15</v>
      </c>
      <c r="G689" s="1" t="s">
        <v>16</v>
      </c>
      <c r="H689" s="1" t="s">
        <v>29</v>
      </c>
      <c r="I689" s="1" t="s">
        <v>41</v>
      </c>
      <c r="J689">
        <v>30</v>
      </c>
      <c r="K689">
        <v>68</v>
      </c>
      <c r="L689" s="1" t="s">
        <v>80</v>
      </c>
    </row>
    <row r="690" spans="1:12" x14ac:dyDescent="0.3">
      <c r="A690" s="1" t="s">
        <v>2690</v>
      </c>
      <c r="B690" s="2">
        <v>46034</v>
      </c>
      <c r="C690" s="2">
        <v>46084</v>
      </c>
      <c r="D690" s="1" t="s">
        <v>13</v>
      </c>
      <c r="E690" s="1" t="s">
        <v>14</v>
      </c>
      <c r="F690" s="1" t="s">
        <v>15</v>
      </c>
      <c r="G690" s="1" t="s">
        <v>53</v>
      </c>
      <c r="H690" s="1" t="s">
        <v>17</v>
      </c>
      <c r="I690" s="1" t="s">
        <v>26</v>
      </c>
      <c r="J690">
        <v>15</v>
      </c>
      <c r="K690">
        <v>50</v>
      </c>
      <c r="L690" s="1" t="s">
        <v>44</v>
      </c>
    </row>
    <row r="691" spans="1:12" x14ac:dyDescent="0.3">
      <c r="A691" s="1" t="s">
        <v>3097</v>
      </c>
      <c r="B691" s="2">
        <v>46034</v>
      </c>
      <c r="C691" s="2">
        <v>46059</v>
      </c>
      <c r="D691" s="1" t="s">
        <v>23</v>
      </c>
      <c r="E691" s="1" t="s">
        <v>24</v>
      </c>
      <c r="F691" s="1" t="s">
        <v>15</v>
      </c>
      <c r="G691" s="1" t="s">
        <v>16</v>
      </c>
      <c r="H691" s="1" t="s">
        <v>25</v>
      </c>
      <c r="I691" s="1" t="s">
        <v>18</v>
      </c>
      <c r="J691">
        <v>30</v>
      </c>
      <c r="K691">
        <v>25</v>
      </c>
      <c r="L691" s="1" t="s">
        <v>19</v>
      </c>
    </row>
    <row r="692" spans="1:12" x14ac:dyDescent="0.3">
      <c r="A692" s="1" t="s">
        <v>201</v>
      </c>
      <c r="B692" s="2">
        <v>46033</v>
      </c>
      <c r="C692" s="2">
        <v>46043</v>
      </c>
      <c r="D692" s="1" t="s">
        <v>23</v>
      </c>
      <c r="E692" s="1" t="s">
        <v>14</v>
      </c>
      <c r="F692" s="1" t="s">
        <v>15</v>
      </c>
      <c r="G692" s="1" t="s">
        <v>16</v>
      </c>
      <c r="H692" s="1" t="s">
        <v>43</v>
      </c>
      <c r="I692" s="1" t="s">
        <v>18</v>
      </c>
      <c r="J692">
        <v>15</v>
      </c>
      <c r="K692">
        <v>10</v>
      </c>
      <c r="L692" s="1" t="s">
        <v>30</v>
      </c>
    </row>
    <row r="693" spans="1:12" x14ac:dyDescent="0.3">
      <c r="A693" s="1" t="s">
        <v>518</v>
      </c>
      <c r="B693" s="2">
        <v>46033</v>
      </c>
      <c r="C693" s="2">
        <v>46081</v>
      </c>
      <c r="D693" s="1" t="s">
        <v>32</v>
      </c>
      <c r="E693" s="1" t="s">
        <v>14</v>
      </c>
      <c r="F693" s="1" t="s">
        <v>15</v>
      </c>
      <c r="G693" s="1" t="s">
        <v>16</v>
      </c>
      <c r="H693" s="1" t="s">
        <v>34</v>
      </c>
      <c r="I693" s="1" t="s">
        <v>41</v>
      </c>
      <c r="J693">
        <v>30</v>
      </c>
      <c r="K693">
        <v>48</v>
      </c>
      <c r="L693" s="1" t="s">
        <v>44</v>
      </c>
    </row>
    <row r="694" spans="1:12" x14ac:dyDescent="0.3">
      <c r="A694" s="1" t="s">
        <v>655</v>
      </c>
      <c r="B694" s="2">
        <v>46033</v>
      </c>
      <c r="C694" s="2">
        <v>46062</v>
      </c>
      <c r="D694" s="1" t="s">
        <v>13</v>
      </c>
      <c r="E694" s="1" t="s">
        <v>14</v>
      </c>
      <c r="F694" s="1" t="s">
        <v>15</v>
      </c>
      <c r="G694" s="1" t="s">
        <v>16</v>
      </c>
      <c r="H694" s="1" t="s">
        <v>17</v>
      </c>
      <c r="I694" s="1" t="s">
        <v>18</v>
      </c>
      <c r="J694">
        <v>15</v>
      </c>
      <c r="K694">
        <v>29</v>
      </c>
      <c r="L694" s="1" t="s">
        <v>21</v>
      </c>
    </row>
    <row r="695" spans="1:12" x14ac:dyDescent="0.3">
      <c r="A695" s="1" t="s">
        <v>1458</v>
      </c>
      <c r="B695" s="2">
        <v>46033</v>
      </c>
      <c r="C695" s="2">
        <v>46073</v>
      </c>
      <c r="D695" s="1" t="s">
        <v>37</v>
      </c>
      <c r="E695" s="1" t="s">
        <v>14</v>
      </c>
      <c r="F695" s="1" t="s">
        <v>15</v>
      </c>
      <c r="G695" s="1" t="s">
        <v>16</v>
      </c>
      <c r="H695" s="1" t="s">
        <v>39</v>
      </c>
      <c r="I695" s="1" t="s">
        <v>41</v>
      </c>
      <c r="J695">
        <v>15</v>
      </c>
      <c r="K695">
        <v>40</v>
      </c>
      <c r="L695" s="1" t="s">
        <v>21</v>
      </c>
    </row>
    <row r="696" spans="1:12" x14ac:dyDescent="0.3">
      <c r="A696" s="1" t="s">
        <v>960</v>
      </c>
      <c r="B696" s="2">
        <v>46033</v>
      </c>
      <c r="C696" s="2">
        <v>46071</v>
      </c>
      <c r="D696" s="1" t="s">
        <v>32</v>
      </c>
      <c r="E696" s="1" t="s">
        <v>14</v>
      </c>
      <c r="F696" s="1" t="s">
        <v>15</v>
      </c>
      <c r="G696" s="1" t="s">
        <v>53</v>
      </c>
      <c r="H696" s="1" t="s">
        <v>34</v>
      </c>
      <c r="I696" s="1" t="s">
        <v>18</v>
      </c>
      <c r="J696">
        <v>15</v>
      </c>
      <c r="K696">
        <v>38</v>
      </c>
      <c r="L696" s="1" t="s">
        <v>21</v>
      </c>
    </row>
    <row r="697" spans="1:12" x14ac:dyDescent="0.3">
      <c r="A697" s="1" t="s">
        <v>997</v>
      </c>
      <c r="B697" s="2">
        <v>46033</v>
      </c>
      <c r="C697" s="2">
        <v>46070</v>
      </c>
      <c r="D697" s="1" t="s">
        <v>13</v>
      </c>
      <c r="E697" s="1" t="s">
        <v>24</v>
      </c>
      <c r="F697" s="1" t="s">
        <v>15</v>
      </c>
      <c r="G697" s="1" t="s">
        <v>53</v>
      </c>
      <c r="H697" s="1" t="s">
        <v>17</v>
      </c>
      <c r="I697" s="1" t="s">
        <v>18</v>
      </c>
      <c r="J697">
        <v>45</v>
      </c>
      <c r="K697">
        <v>37</v>
      </c>
      <c r="L697" s="1" t="s">
        <v>21</v>
      </c>
    </row>
    <row r="698" spans="1:12" x14ac:dyDescent="0.3">
      <c r="A698" s="1" t="s">
        <v>64</v>
      </c>
      <c r="B698" s="2">
        <v>46032</v>
      </c>
      <c r="C698" s="2">
        <v>46064</v>
      </c>
      <c r="D698" s="1" t="s">
        <v>23</v>
      </c>
      <c r="E698" s="1" t="s">
        <v>14</v>
      </c>
      <c r="F698" s="1" t="s">
        <v>38</v>
      </c>
      <c r="G698" s="1" t="s">
        <v>16</v>
      </c>
      <c r="H698" s="1" t="s">
        <v>25</v>
      </c>
      <c r="I698" s="1" t="s">
        <v>41</v>
      </c>
      <c r="J698">
        <v>30</v>
      </c>
      <c r="K698">
        <v>32</v>
      </c>
      <c r="L698" s="1" t="s">
        <v>21</v>
      </c>
    </row>
    <row r="699" spans="1:12" x14ac:dyDescent="0.3">
      <c r="A699" s="1" t="s">
        <v>148</v>
      </c>
      <c r="B699" s="2">
        <v>46032</v>
      </c>
      <c r="C699" s="2">
        <v>46071</v>
      </c>
      <c r="D699" s="1" t="s">
        <v>13</v>
      </c>
      <c r="E699" s="1" t="s">
        <v>24</v>
      </c>
      <c r="F699" s="1" t="s">
        <v>15</v>
      </c>
      <c r="G699" s="1" t="s">
        <v>16</v>
      </c>
      <c r="H699" s="1" t="s">
        <v>47</v>
      </c>
      <c r="I699" s="1" t="s">
        <v>26</v>
      </c>
      <c r="J699">
        <v>30</v>
      </c>
      <c r="K699">
        <v>39</v>
      </c>
      <c r="L699" s="1" t="s">
        <v>21</v>
      </c>
    </row>
    <row r="700" spans="1:12" x14ac:dyDescent="0.3">
      <c r="A700" s="1" t="s">
        <v>153</v>
      </c>
      <c r="B700" s="2">
        <v>46032</v>
      </c>
      <c r="C700" s="2">
        <v>46038</v>
      </c>
      <c r="D700" s="1" t="s">
        <v>23</v>
      </c>
      <c r="E700" s="1" t="s">
        <v>14</v>
      </c>
      <c r="F700" s="1" t="s">
        <v>15</v>
      </c>
      <c r="G700" s="1" t="s">
        <v>16</v>
      </c>
      <c r="H700" s="1" t="s">
        <v>25</v>
      </c>
      <c r="I700" s="1" t="s">
        <v>26</v>
      </c>
      <c r="J700">
        <v>15</v>
      </c>
      <c r="K700">
        <v>6</v>
      </c>
      <c r="L700" s="1" t="s">
        <v>30</v>
      </c>
    </row>
    <row r="701" spans="1:12" x14ac:dyDescent="0.3">
      <c r="A701" s="1" t="s">
        <v>319</v>
      </c>
      <c r="B701" s="2">
        <v>46032</v>
      </c>
      <c r="C701" s="2">
        <v>46062</v>
      </c>
      <c r="D701" s="1" t="s">
        <v>23</v>
      </c>
      <c r="E701" s="1" t="s">
        <v>14</v>
      </c>
      <c r="F701" s="1" t="s">
        <v>15</v>
      </c>
      <c r="G701" s="1" t="s">
        <v>33</v>
      </c>
      <c r="H701" s="1" t="s">
        <v>43</v>
      </c>
      <c r="I701" s="1" t="s">
        <v>26</v>
      </c>
      <c r="J701">
        <v>30</v>
      </c>
      <c r="K701">
        <v>30</v>
      </c>
      <c r="L701" s="1" t="s">
        <v>21</v>
      </c>
    </row>
    <row r="702" spans="1:12" x14ac:dyDescent="0.3">
      <c r="A702" s="1" t="s">
        <v>732</v>
      </c>
      <c r="B702" s="2">
        <v>46032</v>
      </c>
      <c r="C702" s="2">
        <v>46087</v>
      </c>
      <c r="D702" s="1" t="s">
        <v>23</v>
      </c>
      <c r="E702" s="1" t="s">
        <v>14</v>
      </c>
      <c r="F702" s="1" t="s">
        <v>15</v>
      </c>
      <c r="G702" s="1" t="s">
        <v>16</v>
      </c>
      <c r="H702" s="1" t="s">
        <v>25</v>
      </c>
      <c r="I702" s="1" t="s">
        <v>26</v>
      </c>
      <c r="J702">
        <v>15</v>
      </c>
      <c r="K702">
        <v>55</v>
      </c>
      <c r="L702" s="1" t="s">
        <v>44</v>
      </c>
    </row>
    <row r="703" spans="1:12" x14ac:dyDescent="0.3">
      <c r="A703" s="1" t="s">
        <v>808</v>
      </c>
      <c r="B703" s="2">
        <v>46032</v>
      </c>
      <c r="C703" s="2">
        <v>46076</v>
      </c>
      <c r="D703" s="1" t="s">
        <v>13</v>
      </c>
      <c r="E703" s="1" t="s">
        <v>14</v>
      </c>
      <c r="F703" s="1" t="s">
        <v>15</v>
      </c>
      <c r="G703" s="1" t="s">
        <v>53</v>
      </c>
      <c r="H703" s="1" t="s">
        <v>17</v>
      </c>
      <c r="I703" s="1" t="s">
        <v>26</v>
      </c>
      <c r="J703">
        <v>15</v>
      </c>
      <c r="K703">
        <v>44</v>
      </c>
      <c r="L703" s="1" t="s">
        <v>44</v>
      </c>
    </row>
    <row r="704" spans="1:12" x14ac:dyDescent="0.3">
      <c r="A704" s="1" t="s">
        <v>848</v>
      </c>
      <c r="B704" s="2">
        <v>46032</v>
      </c>
      <c r="C704" s="2">
        <v>46093</v>
      </c>
      <c r="D704" s="1" t="s">
        <v>28</v>
      </c>
      <c r="E704" s="1" t="s">
        <v>24</v>
      </c>
      <c r="F704" s="1" t="s">
        <v>15</v>
      </c>
      <c r="G704" s="1" t="s">
        <v>33</v>
      </c>
      <c r="H704" s="1" t="s">
        <v>29</v>
      </c>
      <c r="I704" s="1" t="s">
        <v>26</v>
      </c>
      <c r="J704">
        <v>45</v>
      </c>
      <c r="K704">
        <v>61</v>
      </c>
      <c r="L704" s="1" t="s">
        <v>80</v>
      </c>
    </row>
    <row r="705" spans="1:12" x14ac:dyDescent="0.3">
      <c r="A705" s="1" t="s">
        <v>1254</v>
      </c>
      <c r="B705" s="2">
        <v>46032</v>
      </c>
      <c r="C705" s="2">
        <v>46077</v>
      </c>
      <c r="D705" s="1" t="s">
        <v>32</v>
      </c>
      <c r="E705" s="1" t="s">
        <v>24</v>
      </c>
      <c r="F705" s="1" t="s">
        <v>15</v>
      </c>
      <c r="G705" s="1" t="s">
        <v>53</v>
      </c>
      <c r="H705" s="1" t="s">
        <v>34</v>
      </c>
      <c r="I705" s="1" t="s">
        <v>18</v>
      </c>
      <c r="J705">
        <v>30</v>
      </c>
      <c r="K705">
        <v>45</v>
      </c>
      <c r="L705" s="1" t="s">
        <v>44</v>
      </c>
    </row>
    <row r="706" spans="1:12" x14ac:dyDescent="0.3">
      <c r="A706" s="1" t="s">
        <v>1540</v>
      </c>
      <c r="B706" s="2">
        <v>46032</v>
      </c>
      <c r="C706" s="2">
        <v>46058</v>
      </c>
      <c r="D706" s="1" t="s">
        <v>23</v>
      </c>
      <c r="E706" s="1" t="s">
        <v>14</v>
      </c>
      <c r="F706" s="1" t="s">
        <v>15</v>
      </c>
      <c r="G706" s="1" t="s">
        <v>16</v>
      </c>
      <c r="H706" s="1" t="s">
        <v>43</v>
      </c>
      <c r="I706" s="1" t="s">
        <v>41</v>
      </c>
      <c r="J706">
        <v>15</v>
      </c>
      <c r="K706">
        <v>26</v>
      </c>
      <c r="L706" s="1" t="s">
        <v>19</v>
      </c>
    </row>
    <row r="707" spans="1:12" x14ac:dyDescent="0.3">
      <c r="A707" s="1" t="s">
        <v>1768</v>
      </c>
      <c r="B707" s="2">
        <v>46032</v>
      </c>
      <c r="C707" s="2">
        <v>46085</v>
      </c>
      <c r="D707" s="1" t="s">
        <v>23</v>
      </c>
      <c r="E707" s="1" t="s">
        <v>14</v>
      </c>
      <c r="F707" s="1" t="s">
        <v>15</v>
      </c>
      <c r="G707" s="1" t="s">
        <v>16</v>
      </c>
      <c r="H707" s="1" t="s">
        <v>43</v>
      </c>
      <c r="I707" s="1" t="s">
        <v>41</v>
      </c>
      <c r="J707">
        <v>30</v>
      </c>
      <c r="K707">
        <v>53</v>
      </c>
      <c r="L707" s="1" t="s">
        <v>44</v>
      </c>
    </row>
    <row r="708" spans="1:12" x14ac:dyDescent="0.3">
      <c r="A708" s="1" t="s">
        <v>2645</v>
      </c>
      <c r="B708" s="2">
        <v>46032</v>
      </c>
      <c r="C708" s="2">
        <v>46076</v>
      </c>
      <c r="D708" s="1" t="s">
        <v>28</v>
      </c>
      <c r="E708" s="1" t="s">
        <v>14</v>
      </c>
      <c r="F708" s="1" t="s">
        <v>15</v>
      </c>
      <c r="G708" s="1" t="s">
        <v>33</v>
      </c>
      <c r="H708" s="1" t="s">
        <v>54</v>
      </c>
      <c r="I708" s="1" t="s">
        <v>18</v>
      </c>
      <c r="J708">
        <v>15</v>
      </c>
      <c r="K708">
        <v>44</v>
      </c>
      <c r="L708" s="1" t="s">
        <v>44</v>
      </c>
    </row>
    <row r="709" spans="1:12" x14ac:dyDescent="0.3">
      <c r="A709" s="1" t="s">
        <v>3030</v>
      </c>
      <c r="B709" s="2">
        <v>46032</v>
      </c>
      <c r="C709" s="2">
        <v>46089</v>
      </c>
      <c r="D709" s="1" t="s">
        <v>28</v>
      </c>
      <c r="E709" s="1" t="s">
        <v>24</v>
      </c>
      <c r="F709" s="1" t="s">
        <v>15</v>
      </c>
      <c r="G709" s="1" t="s">
        <v>16</v>
      </c>
      <c r="H709" s="1" t="s">
        <v>29</v>
      </c>
      <c r="I709" s="1" t="s">
        <v>41</v>
      </c>
      <c r="J709">
        <v>30</v>
      </c>
      <c r="K709">
        <v>57</v>
      </c>
      <c r="L709" s="1" t="s">
        <v>80</v>
      </c>
    </row>
    <row r="710" spans="1:12" x14ac:dyDescent="0.3">
      <c r="A710" s="1" t="s">
        <v>3116</v>
      </c>
      <c r="B710" s="2">
        <v>46032</v>
      </c>
      <c r="C710" s="2">
        <v>46045</v>
      </c>
      <c r="D710" s="1" t="s">
        <v>32</v>
      </c>
      <c r="E710" s="1" t="s">
        <v>24</v>
      </c>
      <c r="F710" s="1" t="s">
        <v>15</v>
      </c>
      <c r="G710" s="1" t="s">
        <v>16</v>
      </c>
      <c r="H710" s="1" t="s">
        <v>71</v>
      </c>
      <c r="I710" s="1" t="s">
        <v>18</v>
      </c>
      <c r="J710">
        <v>30</v>
      </c>
      <c r="K710">
        <v>13</v>
      </c>
      <c r="L710" s="1" t="s">
        <v>30</v>
      </c>
    </row>
    <row r="711" spans="1:12" x14ac:dyDescent="0.3">
      <c r="A711" s="1" t="s">
        <v>91</v>
      </c>
      <c r="B711" s="2">
        <v>46031</v>
      </c>
      <c r="C711" s="2">
        <v>46059</v>
      </c>
      <c r="D711" s="1" t="s">
        <v>28</v>
      </c>
      <c r="E711" s="1" t="s">
        <v>14</v>
      </c>
      <c r="F711" s="1" t="s">
        <v>15</v>
      </c>
      <c r="G711" s="1" t="s">
        <v>53</v>
      </c>
      <c r="H711" s="1" t="s">
        <v>54</v>
      </c>
      <c r="I711" s="1" t="s">
        <v>26</v>
      </c>
      <c r="J711">
        <v>15</v>
      </c>
      <c r="K711">
        <v>28</v>
      </c>
      <c r="L711" s="1" t="s">
        <v>19</v>
      </c>
    </row>
    <row r="712" spans="1:12" x14ac:dyDescent="0.3">
      <c r="A712" s="1" t="s">
        <v>251</v>
      </c>
      <c r="B712" s="2">
        <v>46031</v>
      </c>
      <c r="C712" s="2">
        <v>46116</v>
      </c>
      <c r="D712" s="1" t="s">
        <v>28</v>
      </c>
      <c r="E712" s="1" t="s">
        <v>14</v>
      </c>
      <c r="F712" s="1" t="s">
        <v>38</v>
      </c>
      <c r="G712" s="1" t="s">
        <v>16</v>
      </c>
      <c r="H712" s="1" t="s">
        <v>54</v>
      </c>
      <c r="I712" s="1" t="s">
        <v>18</v>
      </c>
      <c r="J712">
        <v>15</v>
      </c>
      <c r="K712">
        <v>85</v>
      </c>
      <c r="L712" s="1" t="s">
        <v>80</v>
      </c>
    </row>
    <row r="713" spans="1:12" x14ac:dyDescent="0.3">
      <c r="A713" s="1" t="s">
        <v>640</v>
      </c>
      <c r="B713" s="2">
        <v>46031</v>
      </c>
      <c r="C713" s="2">
        <v>46051</v>
      </c>
      <c r="D713" s="1" t="s">
        <v>23</v>
      </c>
      <c r="E713" s="1" t="s">
        <v>14</v>
      </c>
      <c r="F713" s="1" t="s">
        <v>15</v>
      </c>
      <c r="G713" s="1" t="s">
        <v>16</v>
      </c>
      <c r="H713" s="1" t="s">
        <v>43</v>
      </c>
      <c r="I713" s="1" t="s">
        <v>18</v>
      </c>
      <c r="J713">
        <v>30</v>
      </c>
      <c r="K713">
        <v>20</v>
      </c>
      <c r="L713" s="1" t="s">
        <v>19</v>
      </c>
    </row>
    <row r="714" spans="1:12" x14ac:dyDescent="0.3">
      <c r="A714" s="1" t="s">
        <v>3043</v>
      </c>
      <c r="B714" s="2">
        <v>46031</v>
      </c>
      <c r="C714" s="2">
        <v>46077</v>
      </c>
      <c r="D714" s="1" t="s">
        <v>37</v>
      </c>
      <c r="E714" s="1" t="s">
        <v>24</v>
      </c>
      <c r="F714" s="1" t="s">
        <v>15</v>
      </c>
      <c r="G714" s="1" t="s">
        <v>16</v>
      </c>
      <c r="H714" s="1" t="s">
        <v>49</v>
      </c>
      <c r="I714" s="1" t="s">
        <v>26</v>
      </c>
      <c r="J714">
        <v>30</v>
      </c>
      <c r="K714">
        <v>46</v>
      </c>
      <c r="L714" s="1" t="s">
        <v>44</v>
      </c>
    </row>
    <row r="715" spans="1:12" x14ac:dyDescent="0.3">
      <c r="A715" s="1" t="s">
        <v>2138</v>
      </c>
      <c r="B715" s="2">
        <v>46031</v>
      </c>
      <c r="C715" s="2">
        <v>46072</v>
      </c>
      <c r="D715" s="1" t="s">
        <v>37</v>
      </c>
      <c r="E715" s="1" t="s">
        <v>24</v>
      </c>
      <c r="F715" s="1" t="s">
        <v>15</v>
      </c>
      <c r="G715" s="1" t="s">
        <v>16</v>
      </c>
      <c r="H715" s="1" t="s">
        <v>49</v>
      </c>
      <c r="I715" s="1" t="s">
        <v>26</v>
      </c>
      <c r="J715">
        <v>30</v>
      </c>
      <c r="K715">
        <v>41</v>
      </c>
      <c r="L715" s="1" t="s">
        <v>21</v>
      </c>
    </row>
    <row r="716" spans="1:12" x14ac:dyDescent="0.3">
      <c r="A716" s="1" t="s">
        <v>1511</v>
      </c>
      <c r="B716" s="2">
        <v>46031</v>
      </c>
      <c r="C716" s="2">
        <v>46050</v>
      </c>
      <c r="D716" s="1" t="s">
        <v>37</v>
      </c>
      <c r="E716" s="1" t="s">
        <v>14</v>
      </c>
      <c r="F716" s="1" t="s">
        <v>38</v>
      </c>
      <c r="G716" s="1" t="s">
        <v>16</v>
      </c>
      <c r="H716" s="1" t="s">
        <v>49</v>
      </c>
      <c r="I716" s="1" t="s">
        <v>26</v>
      </c>
      <c r="J716">
        <v>30</v>
      </c>
      <c r="K716">
        <v>19</v>
      </c>
      <c r="L716" s="1" t="s">
        <v>19</v>
      </c>
    </row>
    <row r="717" spans="1:12" x14ac:dyDescent="0.3">
      <c r="A717" s="1" t="s">
        <v>2491</v>
      </c>
      <c r="B717" s="2">
        <v>46031</v>
      </c>
      <c r="C717" s="2">
        <v>46050</v>
      </c>
      <c r="D717" s="1" t="s">
        <v>37</v>
      </c>
      <c r="E717" s="1" t="s">
        <v>14</v>
      </c>
      <c r="F717" s="1" t="s">
        <v>15</v>
      </c>
      <c r="G717" s="1" t="s">
        <v>53</v>
      </c>
      <c r="H717" s="1" t="s">
        <v>49</v>
      </c>
      <c r="I717" s="1" t="s">
        <v>41</v>
      </c>
      <c r="J717">
        <v>30</v>
      </c>
      <c r="K717">
        <v>19</v>
      </c>
      <c r="L717" s="1" t="s">
        <v>19</v>
      </c>
    </row>
    <row r="718" spans="1:12" x14ac:dyDescent="0.3">
      <c r="A718" s="1" t="s">
        <v>644</v>
      </c>
      <c r="B718" s="2">
        <v>46031</v>
      </c>
      <c r="C718" s="2">
        <v>46049</v>
      </c>
      <c r="D718" s="1" t="s">
        <v>37</v>
      </c>
      <c r="E718" s="1" t="s">
        <v>14</v>
      </c>
      <c r="F718" s="1" t="s">
        <v>15</v>
      </c>
      <c r="G718" s="1" t="s">
        <v>16</v>
      </c>
      <c r="H718" s="1" t="s">
        <v>49</v>
      </c>
      <c r="I718" s="1" t="s">
        <v>18</v>
      </c>
      <c r="J718">
        <v>15</v>
      </c>
      <c r="K718">
        <v>18</v>
      </c>
      <c r="L718" s="1" t="s">
        <v>19</v>
      </c>
    </row>
    <row r="719" spans="1:12" x14ac:dyDescent="0.3">
      <c r="A719" s="1" t="s">
        <v>1355</v>
      </c>
      <c r="B719" s="2">
        <v>46031</v>
      </c>
      <c r="C719" s="2">
        <v>46046</v>
      </c>
      <c r="D719" s="1" t="s">
        <v>37</v>
      </c>
      <c r="E719" s="1" t="s">
        <v>14</v>
      </c>
      <c r="F719" s="1" t="s">
        <v>15</v>
      </c>
      <c r="G719" s="1" t="s">
        <v>16</v>
      </c>
      <c r="H719" s="1" t="s">
        <v>39</v>
      </c>
      <c r="I719" s="1" t="s">
        <v>26</v>
      </c>
      <c r="J719">
        <v>15</v>
      </c>
      <c r="K719">
        <v>15</v>
      </c>
      <c r="L719" s="1" t="s">
        <v>19</v>
      </c>
    </row>
    <row r="720" spans="1:12" x14ac:dyDescent="0.3">
      <c r="A720" s="1" t="s">
        <v>857</v>
      </c>
      <c r="B720" s="2">
        <v>46031</v>
      </c>
      <c r="C720" s="2">
        <v>46059</v>
      </c>
      <c r="D720" s="1" t="s">
        <v>28</v>
      </c>
      <c r="E720" s="1" t="s">
        <v>14</v>
      </c>
      <c r="F720" s="1" t="s">
        <v>15</v>
      </c>
      <c r="G720" s="1" t="s">
        <v>16</v>
      </c>
      <c r="H720" s="1" t="s">
        <v>29</v>
      </c>
      <c r="I720" s="1" t="s">
        <v>26</v>
      </c>
      <c r="J720">
        <v>15</v>
      </c>
      <c r="K720">
        <v>28</v>
      </c>
      <c r="L720" s="1" t="s">
        <v>19</v>
      </c>
    </row>
    <row r="721" spans="1:12" x14ac:dyDescent="0.3">
      <c r="A721" s="1" t="s">
        <v>1483</v>
      </c>
      <c r="B721" s="2">
        <v>46031</v>
      </c>
      <c r="C721" s="2">
        <v>46088</v>
      </c>
      <c r="D721" s="1" t="s">
        <v>28</v>
      </c>
      <c r="E721" s="1" t="s">
        <v>24</v>
      </c>
      <c r="F721" s="1" t="s">
        <v>15</v>
      </c>
      <c r="G721" s="1" t="s">
        <v>16</v>
      </c>
      <c r="H721" s="1" t="s">
        <v>54</v>
      </c>
      <c r="I721" s="1" t="s">
        <v>41</v>
      </c>
      <c r="J721">
        <v>30</v>
      </c>
      <c r="K721">
        <v>57</v>
      </c>
      <c r="L721" s="1" t="s">
        <v>80</v>
      </c>
    </row>
    <row r="722" spans="1:12" x14ac:dyDescent="0.3">
      <c r="A722" s="1" t="s">
        <v>1773</v>
      </c>
      <c r="B722" s="2">
        <v>46031</v>
      </c>
      <c r="C722" s="2">
        <v>46062</v>
      </c>
      <c r="D722" s="1" t="s">
        <v>23</v>
      </c>
      <c r="E722" s="1" t="s">
        <v>14</v>
      </c>
      <c r="F722" s="1" t="s">
        <v>15</v>
      </c>
      <c r="G722" s="1" t="s">
        <v>16</v>
      </c>
      <c r="H722" s="1" t="s">
        <v>43</v>
      </c>
      <c r="I722" s="1" t="s">
        <v>18</v>
      </c>
      <c r="J722">
        <v>15</v>
      </c>
      <c r="K722">
        <v>31</v>
      </c>
      <c r="L722" s="1" t="s">
        <v>21</v>
      </c>
    </row>
    <row r="723" spans="1:12" x14ac:dyDescent="0.3">
      <c r="A723" s="1" t="s">
        <v>2900</v>
      </c>
      <c r="B723" s="2">
        <v>46031</v>
      </c>
      <c r="C723" s="2">
        <v>46071</v>
      </c>
      <c r="D723" s="1" t="s">
        <v>13</v>
      </c>
      <c r="E723" s="1" t="s">
        <v>24</v>
      </c>
      <c r="F723" s="1" t="s">
        <v>15</v>
      </c>
      <c r="G723" s="1" t="s">
        <v>33</v>
      </c>
      <c r="H723" s="1" t="s">
        <v>17</v>
      </c>
      <c r="I723" s="1" t="s">
        <v>26</v>
      </c>
      <c r="J723">
        <v>45</v>
      </c>
      <c r="K723">
        <v>40</v>
      </c>
      <c r="L723" s="1" t="s">
        <v>21</v>
      </c>
    </row>
    <row r="724" spans="1:12" x14ac:dyDescent="0.3">
      <c r="A724" s="1" t="s">
        <v>444</v>
      </c>
      <c r="B724" s="2">
        <v>46030</v>
      </c>
      <c r="C724" s="2">
        <v>46053</v>
      </c>
      <c r="D724" s="1" t="s">
        <v>32</v>
      </c>
      <c r="E724" s="1" t="s">
        <v>14</v>
      </c>
      <c r="F724" s="1" t="s">
        <v>15</v>
      </c>
      <c r="G724" s="1" t="s">
        <v>16</v>
      </c>
      <c r="H724" s="1" t="s">
        <v>34</v>
      </c>
      <c r="I724" s="1" t="s">
        <v>26</v>
      </c>
      <c r="J724">
        <v>15</v>
      </c>
      <c r="K724">
        <v>23</v>
      </c>
      <c r="L724" s="1" t="s">
        <v>19</v>
      </c>
    </row>
    <row r="725" spans="1:12" x14ac:dyDescent="0.3">
      <c r="A725" s="1" t="s">
        <v>878</v>
      </c>
      <c r="B725" s="2">
        <v>46030</v>
      </c>
      <c r="C725" s="2">
        <v>46044</v>
      </c>
      <c r="D725" s="1" t="s">
        <v>32</v>
      </c>
      <c r="E725" s="1" t="s">
        <v>24</v>
      </c>
      <c r="F725" s="1" t="s">
        <v>15</v>
      </c>
      <c r="G725" s="1" t="s">
        <v>16</v>
      </c>
      <c r="H725" s="1" t="s">
        <v>34</v>
      </c>
      <c r="I725" s="1" t="s">
        <v>26</v>
      </c>
      <c r="J725">
        <v>30</v>
      </c>
      <c r="K725">
        <v>14</v>
      </c>
      <c r="L725" s="1" t="s">
        <v>30</v>
      </c>
    </row>
    <row r="726" spans="1:12" x14ac:dyDescent="0.3">
      <c r="A726" s="1" t="s">
        <v>1284</v>
      </c>
      <c r="B726" s="2">
        <v>46030</v>
      </c>
      <c r="C726" s="2">
        <v>46082</v>
      </c>
      <c r="D726" s="1" t="s">
        <v>23</v>
      </c>
      <c r="E726" s="1" t="s">
        <v>24</v>
      </c>
      <c r="F726" s="1" t="s">
        <v>15</v>
      </c>
      <c r="G726" s="1" t="s">
        <v>16</v>
      </c>
      <c r="H726" s="1" t="s">
        <v>43</v>
      </c>
      <c r="I726" s="1" t="s">
        <v>18</v>
      </c>
      <c r="J726">
        <v>30</v>
      </c>
      <c r="K726">
        <v>52</v>
      </c>
      <c r="L726" s="1" t="s">
        <v>44</v>
      </c>
    </row>
    <row r="727" spans="1:12" x14ac:dyDescent="0.3">
      <c r="A727" s="1" t="s">
        <v>1381</v>
      </c>
      <c r="B727" s="2">
        <v>46030</v>
      </c>
      <c r="C727" s="2">
        <v>46049</v>
      </c>
      <c r="D727" s="1" t="s">
        <v>28</v>
      </c>
      <c r="E727" s="1" t="s">
        <v>24</v>
      </c>
      <c r="F727" s="1" t="s">
        <v>15</v>
      </c>
      <c r="G727" s="1" t="s">
        <v>16</v>
      </c>
      <c r="H727" s="1" t="s">
        <v>54</v>
      </c>
      <c r="I727" s="1" t="s">
        <v>26</v>
      </c>
      <c r="J727">
        <v>30</v>
      </c>
      <c r="K727">
        <v>19</v>
      </c>
      <c r="L727" s="1" t="s">
        <v>19</v>
      </c>
    </row>
    <row r="728" spans="1:12" x14ac:dyDescent="0.3">
      <c r="A728" s="1" t="s">
        <v>1653</v>
      </c>
      <c r="B728" s="2">
        <v>46030</v>
      </c>
      <c r="C728" s="2">
        <v>46084</v>
      </c>
      <c r="D728" s="1" t="s">
        <v>23</v>
      </c>
      <c r="E728" s="1" t="s">
        <v>24</v>
      </c>
      <c r="F728" s="1" t="s">
        <v>38</v>
      </c>
      <c r="G728" s="1" t="s">
        <v>16</v>
      </c>
      <c r="H728" s="1" t="s">
        <v>25</v>
      </c>
      <c r="I728" s="1" t="s">
        <v>26</v>
      </c>
      <c r="J728">
        <v>30</v>
      </c>
      <c r="K728">
        <v>54</v>
      </c>
      <c r="L728" s="1" t="s">
        <v>44</v>
      </c>
    </row>
    <row r="729" spans="1:12" x14ac:dyDescent="0.3">
      <c r="A729" s="1" t="s">
        <v>1956</v>
      </c>
      <c r="B729" s="2">
        <v>46030</v>
      </c>
      <c r="C729" s="2">
        <v>46074</v>
      </c>
      <c r="D729" s="1" t="s">
        <v>13</v>
      </c>
      <c r="E729" s="1" t="s">
        <v>24</v>
      </c>
      <c r="F729" s="1" t="s">
        <v>38</v>
      </c>
      <c r="G729" s="1" t="s">
        <v>53</v>
      </c>
      <c r="H729" s="1" t="s">
        <v>17</v>
      </c>
      <c r="I729" s="1" t="s">
        <v>18</v>
      </c>
      <c r="J729">
        <v>30</v>
      </c>
      <c r="K729">
        <v>44</v>
      </c>
      <c r="L729" s="1" t="s">
        <v>44</v>
      </c>
    </row>
    <row r="730" spans="1:12" x14ac:dyDescent="0.3">
      <c r="A730" s="1" t="s">
        <v>2704</v>
      </c>
      <c r="B730" s="2">
        <v>46030</v>
      </c>
      <c r="C730" s="2">
        <v>46074</v>
      </c>
      <c r="D730" s="1" t="s">
        <v>13</v>
      </c>
      <c r="E730" s="1" t="s">
        <v>24</v>
      </c>
      <c r="F730" s="1" t="s">
        <v>38</v>
      </c>
      <c r="G730" s="1" t="s">
        <v>16</v>
      </c>
      <c r="H730" s="1" t="s">
        <v>47</v>
      </c>
      <c r="I730" s="1" t="s">
        <v>18</v>
      </c>
      <c r="J730">
        <v>45</v>
      </c>
      <c r="K730">
        <v>44</v>
      </c>
      <c r="L730" s="1" t="s">
        <v>44</v>
      </c>
    </row>
    <row r="731" spans="1:12" x14ac:dyDescent="0.3">
      <c r="A731" s="1" t="s">
        <v>20</v>
      </c>
      <c r="B731" s="2">
        <v>46029</v>
      </c>
      <c r="C731" s="2">
        <v>46066</v>
      </c>
      <c r="D731" s="1" t="s">
        <v>13</v>
      </c>
      <c r="E731" s="1" t="s">
        <v>14</v>
      </c>
      <c r="F731" s="1" t="s">
        <v>15</v>
      </c>
      <c r="G731" s="1" t="s">
        <v>16</v>
      </c>
      <c r="H731" s="1" t="s">
        <v>17</v>
      </c>
      <c r="I731" s="1" t="s">
        <v>18</v>
      </c>
      <c r="J731">
        <v>15</v>
      </c>
      <c r="K731">
        <v>37</v>
      </c>
      <c r="L731" s="1" t="s">
        <v>21</v>
      </c>
    </row>
    <row r="732" spans="1:12" x14ac:dyDescent="0.3">
      <c r="A732" s="1" t="s">
        <v>411</v>
      </c>
      <c r="B732" s="2">
        <v>46029</v>
      </c>
      <c r="C732" s="2">
        <v>46077</v>
      </c>
      <c r="D732" s="1" t="s">
        <v>23</v>
      </c>
      <c r="E732" s="1" t="s">
        <v>14</v>
      </c>
      <c r="F732" s="1" t="s">
        <v>15</v>
      </c>
      <c r="G732" s="1" t="s">
        <v>16</v>
      </c>
      <c r="H732" s="1" t="s">
        <v>25</v>
      </c>
      <c r="I732" s="1" t="s">
        <v>26</v>
      </c>
      <c r="J732">
        <v>30</v>
      </c>
      <c r="K732">
        <v>48</v>
      </c>
      <c r="L732" s="1" t="s">
        <v>44</v>
      </c>
    </row>
    <row r="733" spans="1:12" x14ac:dyDescent="0.3">
      <c r="A733" s="1" t="s">
        <v>776</v>
      </c>
      <c r="B733" s="2">
        <v>46029</v>
      </c>
      <c r="C733" s="2">
        <v>46056</v>
      </c>
      <c r="D733" s="1" t="s">
        <v>32</v>
      </c>
      <c r="E733" s="1" t="s">
        <v>14</v>
      </c>
      <c r="F733" s="1" t="s">
        <v>15</v>
      </c>
      <c r="G733" s="1" t="s">
        <v>16</v>
      </c>
      <c r="H733" s="1" t="s">
        <v>71</v>
      </c>
      <c r="I733" s="1" t="s">
        <v>41</v>
      </c>
      <c r="J733">
        <v>15</v>
      </c>
      <c r="K733">
        <v>27</v>
      </c>
      <c r="L733" s="1" t="s">
        <v>19</v>
      </c>
    </row>
    <row r="734" spans="1:12" x14ac:dyDescent="0.3">
      <c r="A734" s="1" t="s">
        <v>2362</v>
      </c>
      <c r="B734" s="2">
        <v>46029</v>
      </c>
      <c r="C734" s="2">
        <v>46069</v>
      </c>
      <c r="D734" s="1" t="s">
        <v>37</v>
      </c>
      <c r="E734" s="1" t="s">
        <v>24</v>
      </c>
      <c r="F734" s="1" t="s">
        <v>38</v>
      </c>
      <c r="G734" s="1" t="s">
        <v>16</v>
      </c>
      <c r="H734" s="1" t="s">
        <v>49</v>
      </c>
      <c r="I734" s="1" t="s">
        <v>26</v>
      </c>
      <c r="J734">
        <v>30</v>
      </c>
      <c r="K734">
        <v>40</v>
      </c>
      <c r="L734" s="1" t="s">
        <v>21</v>
      </c>
    </row>
    <row r="735" spans="1:12" x14ac:dyDescent="0.3">
      <c r="A735" s="1" t="s">
        <v>1867</v>
      </c>
      <c r="B735" s="2">
        <v>46029</v>
      </c>
      <c r="C735" s="2">
        <v>46062</v>
      </c>
      <c r="D735" s="1" t="s">
        <v>37</v>
      </c>
      <c r="E735" s="1" t="s">
        <v>14</v>
      </c>
      <c r="F735" s="1" t="s">
        <v>15</v>
      </c>
      <c r="G735" s="1" t="s">
        <v>16</v>
      </c>
      <c r="H735" s="1" t="s">
        <v>39</v>
      </c>
      <c r="I735" s="1" t="s">
        <v>26</v>
      </c>
      <c r="J735">
        <v>15</v>
      </c>
      <c r="K735">
        <v>33</v>
      </c>
      <c r="L735" s="1" t="s">
        <v>21</v>
      </c>
    </row>
    <row r="736" spans="1:12" x14ac:dyDescent="0.3">
      <c r="A736" s="1" t="s">
        <v>906</v>
      </c>
      <c r="B736" s="2">
        <v>46029</v>
      </c>
      <c r="C736" s="2">
        <v>46056</v>
      </c>
      <c r="D736" s="1" t="s">
        <v>32</v>
      </c>
      <c r="E736" s="1" t="s">
        <v>24</v>
      </c>
      <c r="F736" s="1" t="s">
        <v>15</v>
      </c>
      <c r="G736" s="1" t="s">
        <v>53</v>
      </c>
      <c r="H736" s="1" t="s">
        <v>71</v>
      </c>
      <c r="I736" s="1" t="s">
        <v>26</v>
      </c>
      <c r="J736">
        <v>30</v>
      </c>
      <c r="K736">
        <v>27</v>
      </c>
      <c r="L736" s="1" t="s">
        <v>19</v>
      </c>
    </row>
    <row r="737" spans="1:12" x14ac:dyDescent="0.3">
      <c r="A737" s="1" t="s">
        <v>1100</v>
      </c>
      <c r="B737" s="2">
        <v>46029</v>
      </c>
      <c r="C737" s="2">
        <v>46080</v>
      </c>
      <c r="D737" s="1" t="s">
        <v>28</v>
      </c>
      <c r="E737" s="1" t="s">
        <v>14</v>
      </c>
      <c r="F737" s="1" t="s">
        <v>15</v>
      </c>
      <c r="G737" s="1" t="s">
        <v>16</v>
      </c>
      <c r="H737" s="1" t="s">
        <v>29</v>
      </c>
      <c r="I737" s="1" t="s">
        <v>18</v>
      </c>
      <c r="J737">
        <v>30</v>
      </c>
      <c r="K737">
        <v>51</v>
      </c>
      <c r="L737" s="1" t="s">
        <v>44</v>
      </c>
    </row>
    <row r="738" spans="1:12" x14ac:dyDescent="0.3">
      <c r="A738" s="1" t="s">
        <v>1320</v>
      </c>
      <c r="B738" s="2">
        <v>46029</v>
      </c>
      <c r="C738" s="2">
        <v>46068</v>
      </c>
      <c r="D738" s="1" t="s">
        <v>23</v>
      </c>
      <c r="E738" s="1" t="s">
        <v>24</v>
      </c>
      <c r="F738" s="1" t="s">
        <v>15</v>
      </c>
      <c r="G738" s="1" t="s">
        <v>16</v>
      </c>
      <c r="H738" s="1" t="s">
        <v>25</v>
      </c>
      <c r="I738" s="1" t="s">
        <v>18</v>
      </c>
      <c r="J738">
        <v>45</v>
      </c>
      <c r="K738">
        <v>39</v>
      </c>
      <c r="L738" s="1" t="s">
        <v>21</v>
      </c>
    </row>
    <row r="739" spans="1:12" x14ac:dyDescent="0.3">
      <c r="A739" s="1" t="s">
        <v>1600</v>
      </c>
      <c r="B739" s="2">
        <v>46029</v>
      </c>
      <c r="C739" s="2">
        <v>46061</v>
      </c>
      <c r="D739" s="1" t="s">
        <v>13</v>
      </c>
      <c r="E739" s="1" t="s">
        <v>24</v>
      </c>
      <c r="F739" s="1" t="s">
        <v>15</v>
      </c>
      <c r="G739" s="1" t="s">
        <v>33</v>
      </c>
      <c r="H739" s="1" t="s">
        <v>17</v>
      </c>
      <c r="I739" s="1" t="s">
        <v>18</v>
      </c>
      <c r="J739">
        <v>30</v>
      </c>
      <c r="K739">
        <v>32</v>
      </c>
      <c r="L739" s="1" t="s">
        <v>21</v>
      </c>
    </row>
    <row r="740" spans="1:12" x14ac:dyDescent="0.3">
      <c r="A740" s="1" t="s">
        <v>1733</v>
      </c>
      <c r="B740" s="2">
        <v>46029</v>
      </c>
      <c r="C740" s="2">
        <v>46084</v>
      </c>
      <c r="D740" s="1" t="s">
        <v>32</v>
      </c>
      <c r="E740" s="1" t="s">
        <v>14</v>
      </c>
      <c r="F740" s="1" t="s">
        <v>15</v>
      </c>
      <c r="G740" s="1" t="s">
        <v>16</v>
      </c>
      <c r="H740" s="1" t="s">
        <v>71</v>
      </c>
      <c r="I740" s="1" t="s">
        <v>26</v>
      </c>
      <c r="J740">
        <v>15</v>
      </c>
      <c r="K740">
        <v>55</v>
      </c>
      <c r="L740" s="1" t="s">
        <v>44</v>
      </c>
    </row>
    <row r="741" spans="1:12" x14ac:dyDescent="0.3">
      <c r="A741" s="1" t="s">
        <v>1912</v>
      </c>
      <c r="B741" s="2">
        <v>46029</v>
      </c>
      <c r="C741" s="2">
        <v>46078</v>
      </c>
      <c r="D741" s="1" t="s">
        <v>28</v>
      </c>
      <c r="E741" s="1" t="s">
        <v>24</v>
      </c>
      <c r="F741" s="1" t="s">
        <v>15</v>
      </c>
      <c r="G741" s="1" t="s">
        <v>33</v>
      </c>
      <c r="H741" s="1" t="s">
        <v>54</v>
      </c>
      <c r="I741" s="1" t="s">
        <v>26</v>
      </c>
      <c r="J741">
        <v>45</v>
      </c>
      <c r="K741">
        <v>49</v>
      </c>
      <c r="L741" s="1" t="s">
        <v>44</v>
      </c>
    </row>
    <row r="742" spans="1:12" x14ac:dyDescent="0.3">
      <c r="A742" s="1" t="s">
        <v>2254</v>
      </c>
      <c r="B742" s="2">
        <v>46029</v>
      </c>
      <c r="C742" s="2">
        <v>46039</v>
      </c>
      <c r="D742" s="1" t="s">
        <v>13</v>
      </c>
      <c r="E742" s="1" t="s">
        <v>24</v>
      </c>
      <c r="F742" s="1" t="s">
        <v>38</v>
      </c>
      <c r="G742" s="1" t="s">
        <v>16</v>
      </c>
      <c r="H742" s="1" t="s">
        <v>47</v>
      </c>
      <c r="I742" s="1" t="s">
        <v>41</v>
      </c>
      <c r="J742">
        <v>30</v>
      </c>
      <c r="K742">
        <v>10</v>
      </c>
      <c r="L742" s="1" t="s">
        <v>30</v>
      </c>
    </row>
    <row r="743" spans="1:12" x14ac:dyDescent="0.3">
      <c r="A743" s="1" t="s">
        <v>2489</v>
      </c>
      <c r="B743" s="2">
        <v>46029</v>
      </c>
      <c r="C743" s="2">
        <v>46058</v>
      </c>
      <c r="D743" s="1" t="s">
        <v>32</v>
      </c>
      <c r="E743" s="1" t="s">
        <v>14</v>
      </c>
      <c r="F743" s="1" t="s">
        <v>38</v>
      </c>
      <c r="G743" s="1" t="s">
        <v>16</v>
      </c>
      <c r="H743" s="1" t="s">
        <v>71</v>
      </c>
      <c r="I743" s="1" t="s">
        <v>26</v>
      </c>
      <c r="J743">
        <v>15</v>
      </c>
      <c r="K743">
        <v>29</v>
      </c>
      <c r="L743" s="1" t="s">
        <v>21</v>
      </c>
    </row>
    <row r="744" spans="1:12" x14ac:dyDescent="0.3">
      <c r="A744" s="1" t="s">
        <v>2617</v>
      </c>
      <c r="B744" s="2">
        <v>46029</v>
      </c>
      <c r="C744" s="2">
        <v>46045</v>
      </c>
      <c r="D744" s="1" t="s">
        <v>28</v>
      </c>
      <c r="E744" s="1" t="s">
        <v>14</v>
      </c>
      <c r="F744" s="1" t="s">
        <v>15</v>
      </c>
      <c r="G744" s="1" t="s">
        <v>16</v>
      </c>
      <c r="H744" s="1" t="s">
        <v>54</v>
      </c>
      <c r="I744" s="1" t="s">
        <v>26</v>
      </c>
      <c r="J744">
        <v>15</v>
      </c>
      <c r="K744">
        <v>16</v>
      </c>
      <c r="L744" s="1" t="s">
        <v>19</v>
      </c>
    </row>
    <row r="745" spans="1:12" x14ac:dyDescent="0.3">
      <c r="A745" s="1" t="s">
        <v>214</v>
      </c>
      <c r="B745" s="2">
        <v>46028</v>
      </c>
      <c r="C745" s="2">
        <v>46059</v>
      </c>
      <c r="D745" s="1" t="s">
        <v>13</v>
      </c>
      <c r="E745" s="1" t="s">
        <v>24</v>
      </c>
      <c r="F745" s="1" t="s">
        <v>38</v>
      </c>
      <c r="G745" s="1" t="s">
        <v>16</v>
      </c>
      <c r="H745" s="1" t="s">
        <v>17</v>
      </c>
      <c r="I745" s="1" t="s">
        <v>41</v>
      </c>
      <c r="J745">
        <v>45</v>
      </c>
      <c r="K745">
        <v>31</v>
      </c>
      <c r="L745" s="1" t="s">
        <v>21</v>
      </c>
    </row>
    <row r="746" spans="1:12" x14ac:dyDescent="0.3">
      <c r="A746" s="1" t="s">
        <v>687</v>
      </c>
      <c r="B746" s="2">
        <v>46028</v>
      </c>
      <c r="C746" s="2">
        <v>46082</v>
      </c>
      <c r="D746" s="1" t="s">
        <v>28</v>
      </c>
      <c r="E746" s="1" t="s">
        <v>14</v>
      </c>
      <c r="F746" s="1" t="s">
        <v>15</v>
      </c>
      <c r="G746" s="1" t="s">
        <v>16</v>
      </c>
      <c r="H746" s="1" t="s">
        <v>29</v>
      </c>
      <c r="I746" s="1" t="s">
        <v>41</v>
      </c>
      <c r="J746">
        <v>15</v>
      </c>
      <c r="K746">
        <v>54</v>
      </c>
      <c r="L746" s="1" t="s">
        <v>44</v>
      </c>
    </row>
    <row r="747" spans="1:12" x14ac:dyDescent="0.3">
      <c r="A747" s="1" t="s">
        <v>953</v>
      </c>
      <c r="B747" s="2">
        <v>46028</v>
      </c>
      <c r="C747" s="2">
        <v>46054</v>
      </c>
      <c r="D747" s="1" t="s">
        <v>37</v>
      </c>
      <c r="E747" s="1" t="s">
        <v>24</v>
      </c>
      <c r="F747" s="1" t="s">
        <v>15</v>
      </c>
      <c r="G747" s="1" t="s">
        <v>16</v>
      </c>
      <c r="H747" s="1" t="s">
        <v>39</v>
      </c>
      <c r="I747" s="1" t="s">
        <v>18</v>
      </c>
      <c r="J747">
        <v>30</v>
      </c>
      <c r="K747">
        <v>26</v>
      </c>
      <c r="L747" s="1" t="s">
        <v>19</v>
      </c>
    </row>
    <row r="748" spans="1:12" x14ac:dyDescent="0.3">
      <c r="A748" s="1" t="s">
        <v>1103</v>
      </c>
      <c r="B748" s="2">
        <v>46028</v>
      </c>
      <c r="C748" s="2">
        <v>46050</v>
      </c>
      <c r="D748" s="1" t="s">
        <v>32</v>
      </c>
      <c r="E748" s="1" t="s">
        <v>24</v>
      </c>
      <c r="F748" s="1" t="s">
        <v>15</v>
      </c>
      <c r="G748" s="1" t="s">
        <v>16</v>
      </c>
      <c r="H748" s="1" t="s">
        <v>34</v>
      </c>
      <c r="I748" s="1" t="s">
        <v>18</v>
      </c>
      <c r="J748">
        <v>45</v>
      </c>
      <c r="K748">
        <v>22</v>
      </c>
      <c r="L748" s="1" t="s">
        <v>19</v>
      </c>
    </row>
    <row r="749" spans="1:12" x14ac:dyDescent="0.3">
      <c r="A749" s="1" t="s">
        <v>2964</v>
      </c>
      <c r="B749" s="2">
        <v>46028</v>
      </c>
      <c r="C749" s="2">
        <v>46062</v>
      </c>
      <c r="D749" s="1" t="s">
        <v>13</v>
      </c>
      <c r="E749" s="1" t="s">
        <v>14</v>
      </c>
      <c r="F749" s="1" t="s">
        <v>15</v>
      </c>
      <c r="G749" s="1" t="s">
        <v>16</v>
      </c>
      <c r="H749" s="1" t="s">
        <v>47</v>
      </c>
      <c r="I749" s="1" t="s">
        <v>41</v>
      </c>
      <c r="J749">
        <v>15</v>
      </c>
      <c r="K749">
        <v>34</v>
      </c>
      <c r="L749" s="1" t="s">
        <v>21</v>
      </c>
    </row>
    <row r="750" spans="1:12" x14ac:dyDescent="0.3">
      <c r="A750" s="1" t="s">
        <v>3037</v>
      </c>
      <c r="B750" s="2">
        <v>46028</v>
      </c>
      <c r="C750" s="2">
        <v>46095</v>
      </c>
      <c r="D750" s="1" t="s">
        <v>13</v>
      </c>
      <c r="E750" s="1" t="s">
        <v>14</v>
      </c>
      <c r="F750" s="1" t="s">
        <v>38</v>
      </c>
      <c r="G750" s="1" t="s">
        <v>16</v>
      </c>
      <c r="H750" s="1" t="s">
        <v>47</v>
      </c>
      <c r="I750" s="1" t="s">
        <v>26</v>
      </c>
      <c r="J750">
        <v>15</v>
      </c>
      <c r="K750">
        <v>67</v>
      </c>
      <c r="L750" s="1" t="s">
        <v>80</v>
      </c>
    </row>
    <row r="751" spans="1:12" x14ac:dyDescent="0.3">
      <c r="A751" s="1" t="s">
        <v>3199</v>
      </c>
      <c r="B751" s="2">
        <v>46028</v>
      </c>
      <c r="C751" s="2">
        <v>46078</v>
      </c>
      <c r="D751" s="1" t="s">
        <v>23</v>
      </c>
      <c r="E751" s="1" t="s">
        <v>14</v>
      </c>
      <c r="F751" s="1" t="s">
        <v>15</v>
      </c>
      <c r="G751" s="1" t="s">
        <v>53</v>
      </c>
      <c r="H751" s="1" t="s">
        <v>43</v>
      </c>
      <c r="I751" s="1" t="s">
        <v>26</v>
      </c>
      <c r="J751">
        <v>30</v>
      </c>
      <c r="K751">
        <v>50</v>
      </c>
      <c r="L751" s="1" t="s">
        <v>44</v>
      </c>
    </row>
    <row r="752" spans="1:12" x14ac:dyDescent="0.3">
      <c r="A752" s="1" t="s">
        <v>130</v>
      </c>
      <c r="B752" s="2">
        <v>46027</v>
      </c>
      <c r="C752" s="2">
        <v>46058</v>
      </c>
      <c r="D752" s="1" t="s">
        <v>13</v>
      </c>
      <c r="E752" s="1" t="s">
        <v>14</v>
      </c>
      <c r="F752" s="1" t="s">
        <v>15</v>
      </c>
      <c r="G752" s="1" t="s">
        <v>16</v>
      </c>
      <c r="H752" s="1" t="s">
        <v>17</v>
      </c>
      <c r="I752" s="1" t="s">
        <v>26</v>
      </c>
      <c r="J752">
        <v>30</v>
      </c>
      <c r="K752">
        <v>31</v>
      </c>
      <c r="L752" s="1" t="s">
        <v>21</v>
      </c>
    </row>
    <row r="753" spans="1:12" x14ac:dyDescent="0.3">
      <c r="A753" s="1" t="s">
        <v>361</v>
      </c>
      <c r="B753" s="2">
        <v>46027</v>
      </c>
      <c r="C753" s="2">
        <v>46032</v>
      </c>
      <c r="D753" s="1" t="s">
        <v>13</v>
      </c>
      <c r="E753" s="1" t="s">
        <v>14</v>
      </c>
      <c r="F753" s="1" t="s">
        <v>15</v>
      </c>
      <c r="G753" s="1" t="s">
        <v>16</v>
      </c>
      <c r="H753" s="1" t="s">
        <v>47</v>
      </c>
      <c r="I753" s="1" t="s">
        <v>26</v>
      </c>
      <c r="J753">
        <v>15</v>
      </c>
      <c r="K753">
        <v>5</v>
      </c>
      <c r="L753" s="1" t="s">
        <v>30</v>
      </c>
    </row>
    <row r="754" spans="1:12" x14ac:dyDescent="0.3">
      <c r="A754" s="1" t="s">
        <v>2163</v>
      </c>
      <c r="B754" s="2">
        <v>46027</v>
      </c>
      <c r="C754" s="2">
        <v>46050</v>
      </c>
      <c r="D754" s="1" t="s">
        <v>37</v>
      </c>
      <c r="E754" s="1" t="s">
        <v>14</v>
      </c>
      <c r="F754" s="1" t="s">
        <v>15</v>
      </c>
      <c r="G754" s="1" t="s">
        <v>33</v>
      </c>
      <c r="H754" s="1" t="s">
        <v>39</v>
      </c>
      <c r="I754" s="1" t="s">
        <v>41</v>
      </c>
      <c r="J754">
        <v>15</v>
      </c>
      <c r="K754">
        <v>23</v>
      </c>
      <c r="L754" s="1" t="s">
        <v>19</v>
      </c>
    </row>
    <row r="755" spans="1:12" x14ac:dyDescent="0.3">
      <c r="A755" s="1" t="s">
        <v>1190</v>
      </c>
      <c r="B755" s="2">
        <v>46027</v>
      </c>
      <c r="C755" s="2">
        <v>46029</v>
      </c>
      <c r="D755" s="1" t="s">
        <v>37</v>
      </c>
      <c r="E755" s="1" t="s">
        <v>14</v>
      </c>
      <c r="F755" s="1" t="s">
        <v>15</v>
      </c>
      <c r="G755" s="1" t="s">
        <v>16</v>
      </c>
      <c r="H755" s="1" t="s">
        <v>39</v>
      </c>
      <c r="I755" s="1" t="s">
        <v>18</v>
      </c>
      <c r="J755">
        <v>15</v>
      </c>
      <c r="K755">
        <v>2</v>
      </c>
      <c r="L755" s="1" t="s">
        <v>30</v>
      </c>
    </row>
    <row r="756" spans="1:12" x14ac:dyDescent="0.3">
      <c r="A756" s="1" t="s">
        <v>1817</v>
      </c>
      <c r="B756" s="2">
        <v>46027</v>
      </c>
      <c r="C756" s="2">
        <v>46063</v>
      </c>
      <c r="D756" s="1" t="s">
        <v>32</v>
      </c>
      <c r="E756" s="1" t="s">
        <v>24</v>
      </c>
      <c r="F756" s="1" t="s">
        <v>15</v>
      </c>
      <c r="G756" s="1" t="s">
        <v>16</v>
      </c>
      <c r="H756" s="1" t="s">
        <v>71</v>
      </c>
      <c r="I756" s="1" t="s">
        <v>41</v>
      </c>
      <c r="J756">
        <v>30</v>
      </c>
      <c r="K756">
        <v>36</v>
      </c>
      <c r="L756" s="1" t="s">
        <v>21</v>
      </c>
    </row>
    <row r="757" spans="1:12" x14ac:dyDescent="0.3">
      <c r="A757" s="1" t="s">
        <v>2979</v>
      </c>
      <c r="B757" s="2">
        <v>46027</v>
      </c>
      <c r="C757" s="2">
        <v>46053</v>
      </c>
      <c r="D757" s="1" t="s">
        <v>28</v>
      </c>
      <c r="E757" s="1" t="s">
        <v>14</v>
      </c>
      <c r="F757" s="1" t="s">
        <v>15</v>
      </c>
      <c r="G757" s="1" t="s">
        <v>16</v>
      </c>
      <c r="H757" s="1" t="s">
        <v>54</v>
      </c>
      <c r="I757" s="1" t="s">
        <v>26</v>
      </c>
      <c r="J757">
        <v>30</v>
      </c>
      <c r="K757">
        <v>26</v>
      </c>
      <c r="L757" s="1" t="s">
        <v>19</v>
      </c>
    </row>
    <row r="758" spans="1:12" x14ac:dyDescent="0.3">
      <c r="A758" s="1" t="s">
        <v>169</v>
      </c>
      <c r="B758" s="2">
        <v>46026</v>
      </c>
      <c r="C758" s="2">
        <v>46065</v>
      </c>
      <c r="D758" s="1" t="s">
        <v>28</v>
      </c>
      <c r="E758" s="1" t="s">
        <v>24</v>
      </c>
      <c r="F758" s="1" t="s">
        <v>15</v>
      </c>
      <c r="G758" s="1" t="s">
        <v>33</v>
      </c>
      <c r="H758" s="1" t="s">
        <v>29</v>
      </c>
      <c r="I758" s="1" t="s">
        <v>41</v>
      </c>
      <c r="J758">
        <v>30</v>
      </c>
      <c r="K758">
        <v>39</v>
      </c>
      <c r="L758" s="1" t="s">
        <v>21</v>
      </c>
    </row>
    <row r="759" spans="1:12" x14ac:dyDescent="0.3">
      <c r="A759" s="1" t="s">
        <v>465</v>
      </c>
      <c r="B759" s="2">
        <v>46026</v>
      </c>
      <c r="C759" s="2">
        <v>46061</v>
      </c>
      <c r="D759" s="1" t="s">
        <v>28</v>
      </c>
      <c r="E759" s="1" t="s">
        <v>24</v>
      </c>
      <c r="F759" s="1" t="s">
        <v>15</v>
      </c>
      <c r="G759" s="1" t="s">
        <v>33</v>
      </c>
      <c r="H759" s="1" t="s">
        <v>54</v>
      </c>
      <c r="I759" s="1" t="s">
        <v>26</v>
      </c>
      <c r="J759">
        <v>30</v>
      </c>
      <c r="K759">
        <v>35</v>
      </c>
      <c r="L759" s="1" t="s">
        <v>21</v>
      </c>
    </row>
    <row r="760" spans="1:12" x14ac:dyDescent="0.3">
      <c r="A760" s="1" t="s">
        <v>531</v>
      </c>
      <c r="B760" s="2">
        <v>46026</v>
      </c>
      <c r="C760" s="2">
        <v>46062</v>
      </c>
      <c r="D760" s="1" t="s">
        <v>28</v>
      </c>
      <c r="E760" s="1" t="s">
        <v>14</v>
      </c>
      <c r="F760" s="1" t="s">
        <v>15</v>
      </c>
      <c r="G760" s="1" t="s">
        <v>16</v>
      </c>
      <c r="H760" s="1" t="s">
        <v>29</v>
      </c>
      <c r="I760" s="1" t="s">
        <v>26</v>
      </c>
      <c r="J760">
        <v>30</v>
      </c>
      <c r="K760">
        <v>36</v>
      </c>
      <c r="L760" s="1" t="s">
        <v>21</v>
      </c>
    </row>
    <row r="761" spans="1:12" x14ac:dyDescent="0.3">
      <c r="A761" s="1" t="s">
        <v>756</v>
      </c>
      <c r="B761" s="2">
        <v>46026</v>
      </c>
      <c r="C761" s="2">
        <v>46077</v>
      </c>
      <c r="D761" s="1" t="s">
        <v>37</v>
      </c>
      <c r="E761" s="1" t="s">
        <v>14</v>
      </c>
      <c r="F761" s="1" t="s">
        <v>15</v>
      </c>
      <c r="G761" s="1" t="s">
        <v>16</v>
      </c>
      <c r="H761" s="1" t="s">
        <v>39</v>
      </c>
      <c r="I761" s="1" t="s">
        <v>26</v>
      </c>
      <c r="J761">
        <v>30</v>
      </c>
      <c r="K761">
        <v>51</v>
      </c>
      <c r="L761" s="1" t="s">
        <v>44</v>
      </c>
    </row>
    <row r="762" spans="1:12" x14ac:dyDescent="0.3">
      <c r="A762" s="1" t="s">
        <v>3229</v>
      </c>
      <c r="B762" s="2">
        <v>46026</v>
      </c>
      <c r="C762" s="2">
        <v>46074</v>
      </c>
      <c r="D762" s="1" t="s">
        <v>37</v>
      </c>
      <c r="E762" s="1" t="s">
        <v>24</v>
      </c>
      <c r="F762" s="1" t="s">
        <v>15</v>
      </c>
      <c r="G762" s="1" t="s">
        <v>16</v>
      </c>
      <c r="H762" s="1" t="s">
        <v>49</v>
      </c>
      <c r="I762" s="1" t="s">
        <v>26</v>
      </c>
      <c r="J762">
        <v>45</v>
      </c>
      <c r="K762">
        <v>48</v>
      </c>
      <c r="L762" s="1" t="s">
        <v>44</v>
      </c>
    </row>
    <row r="763" spans="1:12" x14ac:dyDescent="0.3">
      <c r="A763" s="1" t="s">
        <v>699</v>
      </c>
      <c r="B763" s="2">
        <v>46026</v>
      </c>
      <c r="C763" s="2">
        <v>46061</v>
      </c>
      <c r="D763" s="1" t="s">
        <v>37</v>
      </c>
      <c r="E763" s="1" t="s">
        <v>14</v>
      </c>
      <c r="F763" s="1" t="s">
        <v>38</v>
      </c>
      <c r="G763" s="1" t="s">
        <v>16</v>
      </c>
      <c r="H763" s="1" t="s">
        <v>49</v>
      </c>
      <c r="I763" s="1" t="s">
        <v>18</v>
      </c>
      <c r="J763">
        <v>30</v>
      </c>
      <c r="K763">
        <v>35</v>
      </c>
      <c r="L763" s="1" t="s">
        <v>21</v>
      </c>
    </row>
    <row r="764" spans="1:12" x14ac:dyDescent="0.3">
      <c r="A764" s="1" t="s">
        <v>248</v>
      </c>
      <c r="B764" s="2">
        <v>46026</v>
      </c>
      <c r="C764" s="2">
        <v>46039</v>
      </c>
      <c r="D764" s="1" t="s">
        <v>37</v>
      </c>
      <c r="E764" s="1" t="s">
        <v>24</v>
      </c>
      <c r="F764" s="1" t="s">
        <v>15</v>
      </c>
      <c r="G764" s="1" t="s">
        <v>16</v>
      </c>
      <c r="H764" s="1" t="s">
        <v>39</v>
      </c>
      <c r="I764" s="1" t="s">
        <v>26</v>
      </c>
      <c r="J764">
        <v>30</v>
      </c>
      <c r="K764">
        <v>13</v>
      </c>
      <c r="L764" s="1" t="s">
        <v>30</v>
      </c>
    </row>
    <row r="765" spans="1:12" x14ac:dyDescent="0.3">
      <c r="A765" s="1" t="s">
        <v>1864</v>
      </c>
      <c r="B765" s="2">
        <v>46026</v>
      </c>
      <c r="C765" s="2">
        <v>46066</v>
      </c>
      <c r="D765" s="1" t="s">
        <v>28</v>
      </c>
      <c r="E765" s="1" t="s">
        <v>14</v>
      </c>
      <c r="F765" s="1" t="s">
        <v>15</v>
      </c>
      <c r="G765" s="1" t="s">
        <v>16</v>
      </c>
      <c r="H765" s="1" t="s">
        <v>54</v>
      </c>
      <c r="I765" s="1" t="s">
        <v>18</v>
      </c>
      <c r="J765">
        <v>15</v>
      </c>
      <c r="K765">
        <v>40</v>
      </c>
      <c r="L765" s="1" t="s">
        <v>21</v>
      </c>
    </row>
    <row r="766" spans="1:12" x14ac:dyDescent="0.3">
      <c r="A766" s="1" t="s">
        <v>2149</v>
      </c>
      <c r="B766" s="2">
        <v>46026</v>
      </c>
      <c r="C766" s="2">
        <v>46061</v>
      </c>
      <c r="D766" s="1" t="s">
        <v>13</v>
      </c>
      <c r="E766" s="1" t="s">
        <v>24</v>
      </c>
      <c r="F766" s="1" t="s">
        <v>15</v>
      </c>
      <c r="G766" s="1" t="s">
        <v>53</v>
      </c>
      <c r="H766" s="1" t="s">
        <v>47</v>
      </c>
      <c r="I766" s="1" t="s">
        <v>26</v>
      </c>
      <c r="J766">
        <v>30</v>
      </c>
      <c r="K766">
        <v>35</v>
      </c>
      <c r="L766" s="1" t="s">
        <v>21</v>
      </c>
    </row>
    <row r="767" spans="1:12" x14ac:dyDescent="0.3">
      <c r="A767" s="1" t="s">
        <v>2216</v>
      </c>
      <c r="B767" s="2">
        <v>46026</v>
      </c>
      <c r="C767" s="2">
        <v>46054</v>
      </c>
      <c r="D767" s="1" t="s">
        <v>13</v>
      </c>
      <c r="E767" s="1" t="s">
        <v>14</v>
      </c>
      <c r="F767" s="1" t="s">
        <v>15</v>
      </c>
      <c r="G767" s="1" t="s">
        <v>16</v>
      </c>
      <c r="H767" s="1" t="s">
        <v>47</v>
      </c>
      <c r="I767" s="1" t="s">
        <v>26</v>
      </c>
      <c r="J767">
        <v>30</v>
      </c>
      <c r="K767">
        <v>28</v>
      </c>
      <c r="L767" s="1" t="s">
        <v>19</v>
      </c>
    </row>
    <row r="768" spans="1:12" x14ac:dyDescent="0.3">
      <c r="A768" s="1" t="s">
        <v>2885</v>
      </c>
      <c r="B768" s="2">
        <v>46026</v>
      </c>
      <c r="C768" s="2">
        <v>46048</v>
      </c>
      <c r="D768" s="1" t="s">
        <v>23</v>
      </c>
      <c r="E768" s="1" t="s">
        <v>14</v>
      </c>
      <c r="F768" s="1" t="s">
        <v>15</v>
      </c>
      <c r="G768" s="1" t="s">
        <v>16</v>
      </c>
      <c r="H768" s="1" t="s">
        <v>43</v>
      </c>
      <c r="I768" s="1" t="s">
        <v>18</v>
      </c>
      <c r="J768">
        <v>30</v>
      </c>
      <c r="K768">
        <v>22</v>
      </c>
      <c r="L768" s="1" t="s">
        <v>19</v>
      </c>
    </row>
    <row r="769" spans="1:12" x14ac:dyDescent="0.3">
      <c r="A769" s="1" t="s">
        <v>51</v>
      </c>
      <c r="B769" s="2">
        <v>46025</v>
      </c>
      <c r="C769" s="2">
        <v>46059</v>
      </c>
      <c r="D769" s="1" t="s">
        <v>13</v>
      </c>
      <c r="E769" s="1" t="s">
        <v>24</v>
      </c>
      <c r="F769" s="1" t="s">
        <v>15</v>
      </c>
      <c r="G769" s="1" t="s">
        <v>16</v>
      </c>
      <c r="H769" s="1" t="s">
        <v>17</v>
      </c>
      <c r="I769" s="1" t="s">
        <v>41</v>
      </c>
      <c r="J769">
        <v>30</v>
      </c>
      <c r="K769">
        <v>34</v>
      </c>
      <c r="L769" s="1" t="s">
        <v>21</v>
      </c>
    </row>
    <row r="770" spans="1:12" x14ac:dyDescent="0.3">
      <c r="A770" s="1" t="s">
        <v>784</v>
      </c>
      <c r="B770" s="2">
        <v>46025</v>
      </c>
      <c r="C770" s="2">
        <v>46043</v>
      </c>
      <c r="D770" s="1" t="s">
        <v>23</v>
      </c>
      <c r="E770" s="1" t="s">
        <v>14</v>
      </c>
      <c r="F770" s="1" t="s">
        <v>15</v>
      </c>
      <c r="G770" s="1" t="s">
        <v>16</v>
      </c>
      <c r="H770" s="1" t="s">
        <v>43</v>
      </c>
      <c r="I770" s="1" t="s">
        <v>18</v>
      </c>
      <c r="J770">
        <v>15</v>
      </c>
      <c r="K770">
        <v>18</v>
      </c>
      <c r="L770" s="1" t="s">
        <v>19</v>
      </c>
    </row>
    <row r="771" spans="1:12" x14ac:dyDescent="0.3">
      <c r="A771" s="1" t="s">
        <v>3187</v>
      </c>
      <c r="B771" s="2">
        <v>46025</v>
      </c>
      <c r="C771" s="2">
        <v>46073</v>
      </c>
      <c r="D771" s="1" t="s">
        <v>37</v>
      </c>
      <c r="E771" s="1" t="s">
        <v>24</v>
      </c>
      <c r="F771" s="1" t="s">
        <v>15</v>
      </c>
      <c r="G771" s="1" t="s">
        <v>33</v>
      </c>
      <c r="H771" s="1" t="s">
        <v>39</v>
      </c>
      <c r="I771" s="1" t="s">
        <v>26</v>
      </c>
      <c r="J771">
        <v>30</v>
      </c>
      <c r="K771">
        <v>48</v>
      </c>
      <c r="L771" s="1" t="s">
        <v>44</v>
      </c>
    </row>
    <row r="772" spans="1:12" x14ac:dyDescent="0.3">
      <c r="A772" s="1" t="s">
        <v>3154</v>
      </c>
      <c r="B772" s="2">
        <v>46025</v>
      </c>
      <c r="C772" s="2">
        <v>46051</v>
      </c>
      <c r="D772" s="1" t="s">
        <v>37</v>
      </c>
      <c r="E772" s="1" t="s">
        <v>24</v>
      </c>
      <c r="F772" s="1" t="s">
        <v>15</v>
      </c>
      <c r="G772" s="1" t="s">
        <v>16</v>
      </c>
      <c r="H772" s="1" t="s">
        <v>49</v>
      </c>
      <c r="I772" s="1" t="s">
        <v>41</v>
      </c>
      <c r="J772">
        <v>30</v>
      </c>
      <c r="K772">
        <v>26</v>
      </c>
      <c r="L772" s="1" t="s">
        <v>19</v>
      </c>
    </row>
    <row r="773" spans="1:12" x14ac:dyDescent="0.3">
      <c r="A773" s="1" t="s">
        <v>1176</v>
      </c>
      <c r="B773" s="2">
        <v>46025</v>
      </c>
      <c r="C773" s="2">
        <v>46053</v>
      </c>
      <c r="D773" s="1" t="s">
        <v>32</v>
      </c>
      <c r="E773" s="1" t="s">
        <v>24</v>
      </c>
      <c r="F773" s="1" t="s">
        <v>15</v>
      </c>
      <c r="G773" s="1" t="s">
        <v>16</v>
      </c>
      <c r="H773" s="1" t="s">
        <v>34</v>
      </c>
      <c r="I773" s="1" t="s">
        <v>26</v>
      </c>
      <c r="J773">
        <v>30</v>
      </c>
      <c r="K773">
        <v>28</v>
      </c>
      <c r="L773" s="1" t="s">
        <v>19</v>
      </c>
    </row>
    <row r="774" spans="1:12" x14ac:dyDescent="0.3">
      <c r="A774" s="1" t="s">
        <v>1246</v>
      </c>
      <c r="B774" s="2">
        <v>46025</v>
      </c>
      <c r="C774" s="2">
        <v>46076</v>
      </c>
      <c r="D774" s="1" t="s">
        <v>23</v>
      </c>
      <c r="E774" s="1" t="s">
        <v>14</v>
      </c>
      <c r="F774" s="1" t="s">
        <v>15</v>
      </c>
      <c r="G774" s="1" t="s">
        <v>16</v>
      </c>
      <c r="H774" s="1" t="s">
        <v>25</v>
      </c>
      <c r="I774" s="1" t="s">
        <v>26</v>
      </c>
      <c r="J774">
        <v>15</v>
      </c>
      <c r="K774">
        <v>51</v>
      </c>
      <c r="L774" s="1" t="s">
        <v>44</v>
      </c>
    </row>
    <row r="775" spans="1:12" x14ac:dyDescent="0.3">
      <c r="A775" s="1" t="s">
        <v>1317</v>
      </c>
      <c r="B775" s="2">
        <v>46025</v>
      </c>
      <c r="C775" s="2">
        <v>46068</v>
      </c>
      <c r="D775" s="1" t="s">
        <v>13</v>
      </c>
      <c r="E775" s="1" t="s">
        <v>24</v>
      </c>
      <c r="F775" s="1" t="s">
        <v>15</v>
      </c>
      <c r="G775" s="1" t="s">
        <v>16</v>
      </c>
      <c r="H775" s="1" t="s">
        <v>47</v>
      </c>
      <c r="I775" s="1" t="s">
        <v>18</v>
      </c>
      <c r="J775">
        <v>45</v>
      </c>
      <c r="K775">
        <v>43</v>
      </c>
      <c r="L775" s="1" t="s">
        <v>44</v>
      </c>
    </row>
    <row r="776" spans="1:12" x14ac:dyDescent="0.3">
      <c r="A776" s="1" t="s">
        <v>1713</v>
      </c>
      <c r="B776" s="2">
        <v>46025</v>
      </c>
      <c r="C776" s="2">
        <v>46051</v>
      </c>
      <c r="D776" s="1" t="s">
        <v>32</v>
      </c>
      <c r="E776" s="1" t="s">
        <v>14</v>
      </c>
      <c r="F776" s="1" t="s">
        <v>15</v>
      </c>
      <c r="G776" s="1" t="s">
        <v>16</v>
      </c>
      <c r="H776" s="1" t="s">
        <v>71</v>
      </c>
      <c r="I776" s="1" t="s">
        <v>26</v>
      </c>
      <c r="J776">
        <v>30</v>
      </c>
      <c r="K776">
        <v>26</v>
      </c>
      <c r="L776" s="1" t="s">
        <v>19</v>
      </c>
    </row>
    <row r="777" spans="1:12" x14ac:dyDescent="0.3">
      <c r="A777" s="1" t="s">
        <v>2218</v>
      </c>
      <c r="B777" s="2">
        <v>46025</v>
      </c>
      <c r="C777" s="2">
        <v>46051</v>
      </c>
      <c r="D777" s="1" t="s">
        <v>28</v>
      </c>
      <c r="E777" s="1" t="s">
        <v>24</v>
      </c>
      <c r="F777" s="1" t="s">
        <v>15</v>
      </c>
      <c r="G777" s="1" t="s">
        <v>16</v>
      </c>
      <c r="H777" s="1" t="s">
        <v>29</v>
      </c>
      <c r="I777" s="1" t="s">
        <v>26</v>
      </c>
      <c r="J777">
        <v>30</v>
      </c>
      <c r="K777">
        <v>26</v>
      </c>
      <c r="L777" s="1" t="s">
        <v>19</v>
      </c>
    </row>
    <row r="778" spans="1:12" x14ac:dyDescent="0.3">
      <c r="A778" s="1" t="s">
        <v>2323</v>
      </c>
      <c r="B778" s="2">
        <v>46025</v>
      </c>
      <c r="C778" s="2">
        <v>46035</v>
      </c>
      <c r="D778" s="1" t="s">
        <v>23</v>
      </c>
      <c r="E778" s="1" t="s">
        <v>14</v>
      </c>
      <c r="F778" s="1" t="s">
        <v>38</v>
      </c>
      <c r="G778" s="1" t="s">
        <v>16</v>
      </c>
      <c r="H778" s="1" t="s">
        <v>25</v>
      </c>
      <c r="I778" s="1" t="s">
        <v>18</v>
      </c>
      <c r="J778">
        <v>15</v>
      </c>
      <c r="K778">
        <v>10</v>
      </c>
      <c r="L778" s="1" t="s">
        <v>30</v>
      </c>
    </row>
    <row r="779" spans="1:12" x14ac:dyDescent="0.3">
      <c r="A779" s="1" t="s">
        <v>2825</v>
      </c>
      <c r="B779" s="2">
        <v>46025</v>
      </c>
      <c r="C779" s="2">
        <v>46058</v>
      </c>
      <c r="D779" s="1" t="s">
        <v>28</v>
      </c>
      <c r="E779" s="1" t="s">
        <v>24</v>
      </c>
      <c r="F779" s="1" t="s">
        <v>15</v>
      </c>
      <c r="G779" s="1" t="s">
        <v>16</v>
      </c>
      <c r="H779" s="1" t="s">
        <v>29</v>
      </c>
      <c r="I779" s="1" t="s">
        <v>26</v>
      </c>
      <c r="J779">
        <v>30</v>
      </c>
      <c r="K779">
        <v>33</v>
      </c>
      <c r="L779" s="1" t="s">
        <v>21</v>
      </c>
    </row>
    <row r="780" spans="1:12" x14ac:dyDescent="0.3">
      <c r="A780" s="1" t="s">
        <v>2985</v>
      </c>
      <c r="B780" s="2">
        <v>46025</v>
      </c>
      <c r="C780" s="2">
        <v>46036</v>
      </c>
      <c r="D780" s="1" t="s">
        <v>32</v>
      </c>
      <c r="E780" s="1" t="s">
        <v>14</v>
      </c>
      <c r="F780" s="1" t="s">
        <v>15</v>
      </c>
      <c r="G780" s="1" t="s">
        <v>16</v>
      </c>
      <c r="H780" s="1" t="s">
        <v>34</v>
      </c>
      <c r="I780" s="1" t="s">
        <v>26</v>
      </c>
      <c r="J780">
        <v>30</v>
      </c>
      <c r="K780">
        <v>11</v>
      </c>
      <c r="L780" s="1" t="s">
        <v>30</v>
      </c>
    </row>
    <row r="781" spans="1:12" x14ac:dyDescent="0.3">
      <c r="A781" s="1" t="s">
        <v>92</v>
      </c>
      <c r="B781" s="2">
        <v>46024</v>
      </c>
      <c r="C781" s="2">
        <v>46064</v>
      </c>
      <c r="D781" s="1" t="s">
        <v>32</v>
      </c>
      <c r="E781" s="1" t="s">
        <v>14</v>
      </c>
      <c r="F781" s="1" t="s">
        <v>38</v>
      </c>
      <c r="G781" s="1" t="s">
        <v>16</v>
      </c>
      <c r="H781" s="1" t="s">
        <v>71</v>
      </c>
      <c r="I781" s="1" t="s">
        <v>26</v>
      </c>
      <c r="J781">
        <v>30</v>
      </c>
      <c r="K781">
        <v>40</v>
      </c>
      <c r="L781" s="1" t="s">
        <v>21</v>
      </c>
    </row>
    <row r="782" spans="1:12" x14ac:dyDescent="0.3">
      <c r="A782" s="1" t="s">
        <v>275</v>
      </c>
      <c r="B782" s="2">
        <v>46024</v>
      </c>
      <c r="C782" s="2">
        <v>46053</v>
      </c>
      <c r="D782" s="1" t="s">
        <v>32</v>
      </c>
      <c r="E782" s="1" t="s">
        <v>24</v>
      </c>
      <c r="F782" s="1" t="s">
        <v>38</v>
      </c>
      <c r="G782" s="1" t="s">
        <v>16</v>
      </c>
      <c r="H782" s="1" t="s">
        <v>71</v>
      </c>
      <c r="I782" s="1" t="s">
        <v>26</v>
      </c>
      <c r="J782">
        <v>45</v>
      </c>
      <c r="K782">
        <v>29</v>
      </c>
      <c r="L782" s="1" t="s">
        <v>21</v>
      </c>
    </row>
    <row r="783" spans="1:12" x14ac:dyDescent="0.3">
      <c r="A783" s="1" t="s">
        <v>3175</v>
      </c>
      <c r="B783" s="2">
        <v>46024</v>
      </c>
      <c r="C783" s="2">
        <v>46063</v>
      </c>
      <c r="D783" s="1" t="s">
        <v>37</v>
      </c>
      <c r="E783" s="1" t="s">
        <v>14</v>
      </c>
      <c r="F783" s="1" t="s">
        <v>15</v>
      </c>
      <c r="G783" s="1" t="s">
        <v>16</v>
      </c>
      <c r="H783" s="1" t="s">
        <v>39</v>
      </c>
      <c r="I783" s="1" t="s">
        <v>26</v>
      </c>
      <c r="J783">
        <v>15</v>
      </c>
      <c r="K783">
        <v>39</v>
      </c>
      <c r="L783" s="1" t="s">
        <v>21</v>
      </c>
    </row>
    <row r="784" spans="1:12" x14ac:dyDescent="0.3">
      <c r="A784" s="1" t="s">
        <v>1343</v>
      </c>
      <c r="B784" s="2">
        <v>46024</v>
      </c>
      <c r="C784" s="2">
        <v>46032</v>
      </c>
      <c r="D784" s="1" t="s">
        <v>13</v>
      </c>
      <c r="E784" s="1" t="s">
        <v>24</v>
      </c>
      <c r="F784" s="1" t="s">
        <v>15</v>
      </c>
      <c r="G784" s="1" t="s">
        <v>16</v>
      </c>
      <c r="H784" s="1" t="s">
        <v>17</v>
      </c>
      <c r="I784" s="1" t="s">
        <v>26</v>
      </c>
      <c r="J784">
        <v>30</v>
      </c>
      <c r="K784">
        <v>8</v>
      </c>
      <c r="L784" s="1" t="s">
        <v>30</v>
      </c>
    </row>
    <row r="785" spans="1:12" x14ac:dyDescent="0.3">
      <c r="A785" s="1" t="s">
        <v>1716</v>
      </c>
      <c r="B785" s="2">
        <v>46024</v>
      </c>
      <c r="C785" s="2">
        <v>46074</v>
      </c>
      <c r="D785" s="1" t="s">
        <v>13</v>
      </c>
      <c r="E785" s="1" t="s">
        <v>14</v>
      </c>
      <c r="F785" s="1" t="s">
        <v>15</v>
      </c>
      <c r="G785" s="1" t="s">
        <v>16</v>
      </c>
      <c r="H785" s="1" t="s">
        <v>47</v>
      </c>
      <c r="I785" s="1" t="s">
        <v>41</v>
      </c>
      <c r="J785">
        <v>15</v>
      </c>
      <c r="K785">
        <v>50</v>
      </c>
      <c r="L785" s="1" t="s">
        <v>44</v>
      </c>
    </row>
    <row r="786" spans="1:12" x14ac:dyDescent="0.3">
      <c r="A786" s="1" t="s">
        <v>1910</v>
      </c>
      <c r="B786" s="2">
        <v>46024</v>
      </c>
      <c r="C786" s="2">
        <v>46068</v>
      </c>
      <c r="D786" s="1" t="s">
        <v>23</v>
      </c>
      <c r="E786" s="1" t="s">
        <v>24</v>
      </c>
      <c r="F786" s="1" t="s">
        <v>15</v>
      </c>
      <c r="G786" s="1" t="s">
        <v>16</v>
      </c>
      <c r="H786" s="1" t="s">
        <v>43</v>
      </c>
      <c r="I786" s="1" t="s">
        <v>26</v>
      </c>
      <c r="J786">
        <v>30</v>
      </c>
      <c r="K786">
        <v>44</v>
      </c>
      <c r="L786" s="1" t="s">
        <v>44</v>
      </c>
    </row>
    <row r="787" spans="1:12" x14ac:dyDescent="0.3">
      <c r="A787" s="1" t="s">
        <v>2407</v>
      </c>
      <c r="B787" s="2">
        <v>46024</v>
      </c>
      <c r="C787" s="2">
        <v>46059</v>
      </c>
      <c r="D787" s="1" t="s">
        <v>32</v>
      </c>
      <c r="E787" s="1" t="s">
        <v>14</v>
      </c>
      <c r="F787" s="1" t="s">
        <v>15</v>
      </c>
      <c r="G787" s="1" t="s">
        <v>16</v>
      </c>
      <c r="H787" s="1" t="s">
        <v>34</v>
      </c>
      <c r="I787" s="1" t="s">
        <v>18</v>
      </c>
      <c r="J787">
        <v>15</v>
      </c>
      <c r="K787">
        <v>35</v>
      </c>
      <c r="L787" s="1" t="s">
        <v>21</v>
      </c>
    </row>
    <row r="788" spans="1:12" x14ac:dyDescent="0.3">
      <c r="A788" s="1" t="s">
        <v>3090</v>
      </c>
      <c r="B788" s="2">
        <v>46024</v>
      </c>
      <c r="C788" s="2">
        <v>46082</v>
      </c>
      <c r="D788" s="1" t="s">
        <v>23</v>
      </c>
      <c r="E788" s="1" t="s">
        <v>24</v>
      </c>
      <c r="F788" s="1" t="s">
        <v>15</v>
      </c>
      <c r="G788" s="1" t="s">
        <v>16</v>
      </c>
      <c r="H788" s="1" t="s">
        <v>43</v>
      </c>
      <c r="I788" s="1" t="s">
        <v>41</v>
      </c>
      <c r="J788">
        <v>30</v>
      </c>
      <c r="K788">
        <v>58</v>
      </c>
      <c r="L788" s="1" t="s">
        <v>80</v>
      </c>
    </row>
    <row r="789" spans="1:12" x14ac:dyDescent="0.3">
      <c r="A789" s="1" t="s">
        <v>83</v>
      </c>
      <c r="B789" s="2">
        <v>46023</v>
      </c>
      <c r="C789" s="2">
        <v>46078</v>
      </c>
      <c r="D789" s="1" t="s">
        <v>28</v>
      </c>
      <c r="E789" s="1" t="s">
        <v>14</v>
      </c>
      <c r="F789" s="1" t="s">
        <v>15</v>
      </c>
      <c r="G789" s="1" t="s">
        <v>16</v>
      </c>
      <c r="H789" s="1" t="s">
        <v>29</v>
      </c>
      <c r="I789" s="1" t="s">
        <v>26</v>
      </c>
      <c r="J789">
        <v>30</v>
      </c>
      <c r="K789">
        <v>55</v>
      </c>
      <c r="L789" s="1" t="s">
        <v>44</v>
      </c>
    </row>
    <row r="790" spans="1:12" x14ac:dyDescent="0.3">
      <c r="A790" s="1" t="s">
        <v>288</v>
      </c>
      <c r="B790" s="2">
        <v>46023</v>
      </c>
      <c r="C790" s="2">
        <v>46066</v>
      </c>
      <c r="D790" s="1" t="s">
        <v>28</v>
      </c>
      <c r="E790" s="1" t="s">
        <v>14</v>
      </c>
      <c r="F790" s="1" t="s">
        <v>38</v>
      </c>
      <c r="G790" s="1" t="s">
        <v>16</v>
      </c>
      <c r="H790" s="1" t="s">
        <v>29</v>
      </c>
      <c r="I790" s="1" t="s">
        <v>41</v>
      </c>
      <c r="J790">
        <v>15</v>
      </c>
      <c r="K790">
        <v>43</v>
      </c>
      <c r="L790" s="1" t="s">
        <v>44</v>
      </c>
    </row>
    <row r="791" spans="1:12" x14ac:dyDescent="0.3">
      <c r="A791" s="1" t="s">
        <v>2648</v>
      </c>
      <c r="B791" s="2">
        <v>46023</v>
      </c>
      <c r="C791" s="2">
        <v>46063</v>
      </c>
      <c r="D791" s="1" t="s">
        <v>37</v>
      </c>
      <c r="E791" s="1" t="s">
        <v>14</v>
      </c>
      <c r="F791" s="1" t="s">
        <v>15</v>
      </c>
      <c r="G791" s="1" t="s">
        <v>53</v>
      </c>
      <c r="H791" s="1" t="s">
        <v>39</v>
      </c>
      <c r="I791" s="1" t="s">
        <v>41</v>
      </c>
      <c r="J791">
        <v>15</v>
      </c>
      <c r="K791">
        <v>40</v>
      </c>
      <c r="L791" s="1" t="s">
        <v>21</v>
      </c>
    </row>
    <row r="792" spans="1:12" x14ac:dyDescent="0.3">
      <c r="A792" s="1" t="s">
        <v>1115</v>
      </c>
      <c r="B792" s="2">
        <v>46023</v>
      </c>
      <c r="C792" s="2">
        <v>46056</v>
      </c>
      <c r="D792" s="1" t="s">
        <v>13</v>
      </c>
      <c r="E792" s="1" t="s">
        <v>24</v>
      </c>
      <c r="F792" s="1" t="s">
        <v>38</v>
      </c>
      <c r="G792" s="1" t="s">
        <v>16</v>
      </c>
      <c r="H792" s="1" t="s">
        <v>47</v>
      </c>
      <c r="I792" s="1" t="s">
        <v>41</v>
      </c>
      <c r="J792">
        <v>30</v>
      </c>
      <c r="K792">
        <v>33</v>
      </c>
      <c r="L792" s="1" t="s">
        <v>21</v>
      </c>
    </row>
    <row r="793" spans="1:12" x14ac:dyDescent="0.3">
      <c r="A793" s="1" t="s">
        <v>2464</v>
      </c>
      <c r="B793" s="2">
        <v>46023</v>
      </c>
      <c r="C793" s="2">
        <v>46053</v>
      </c>
      <c r="D793" s="1" t="s">
        <v>32</v>
      </c>
      <c r="E793" s="1" t="s">
        <v>14</v>
      </c>
      <c r="F793" s="1" t="s">
        <v>15</v>
      </c>
      <c r="G793" s="1" t="s">
        <v>16</v>
      </c>
      <c r="H793" s="1" t="s">
        <v>71</v>
      </c>
      <c r="I793" s="1" t="s">
        <v>26</v>
      </c>
      <c r="J793">
        <v>30</v>
      </c>
      <c r="K793">
        <v>30</v>
      </c>
      <c r="L793" s="1" t="s">
        <v>21</v>
      </c>
    </row>
    <row r="794" spans="1:12" x14ac:dyDescent="0.3">
      <c r="A794" s="1" t="s">
        <v>2647</v>
      </c>
      <c r="B794" s="2">
        <v>46023</v>
      </c>
      <c r="C794" s="2">
        <v>46053</v>
      </c>
      <c r="D794" s="1" t="s">
        <v>28</v>
      </c>
      <c r="E794" s="1" t="s">
        <v>14</v>
      </c>
      <c r="F794" s="1" t="s">
        <v>15</v>
      </c>
      <c r="G794" s="1" t="s">
        <v>16</v>
      </c>
      <c r="H794" s="1" t="s">
        <v>54</v>
      </c>
      <c r="I794" s="1" t="s">
        <v>18</v>
      </c>
      <c r="J794">
        <v>15</v>
      </c>
      <c r="K794">
        <v>30</v>
      </c>
      <c r="L794" s="1" t="s">
        <v>21</v>
      </c>
    </row>
    <row r="795" spans="1:12" x14ac:dyDescent="0.3">
      <c r="A795" s="1" t="s">
        <v>535</v>
      </c>
      <c r="B795" s="2">
        <v>46022</v>
      </c>
      <c r="C795" s="2">
        <v>46077</v>
      </c>
      <c r="D795" s="1" t="s">
        <v>23</v>
      </c>
      <c r="E795" s="1" t="s">
        <v>14</v>
      </c>
      <c r="F795" s="1" t="s">
        <v>15</v>
      </c>
      <c r="G795" s="1" t="s">
        <v>16</v>
      </c>
      <c r="H795" s="1" t="s">
        <v>25</v>
      </c>
      <c r="I795" s="1" t="s">
        <v>26</v>
      </c>
      <c r="J795">
        <v>15</v>
      </c>
      <c r="K795">
        <v>55</v>
      </c>
      <c r="L795" s="1" t="s">
        <v>44</v>
      </c>
    </row>
    <row r="796" spans="1:12" x14ac:dyDescent="0.3">
      <c r="A796" s="1" t="s">
        <v>1107</v>
      </c>
      <c r="B796" s="2">
        <v>46022</v>
      </c>
      <c r="C796" s="2">
        <v>46047</v>
      </c>
      <c r="D796" s="1" t="s">
        <v>23</v>
      </c>
      <c r="E796" s="1" t="s">
        <v>24</v>
      </c>
      <c r="F796" s="1" t="s">
        <v>15</v>
      </c>
      <c r="G796" s="1" t="s">
        <v>16</v>
      </c>
      <c r="H796" s="1" t="s">
        <v>25</v>
      </c>
      <c r="I796" s="1" t="s">
        <v>41</v>
      </c>
      <c r="J796">
        <v>45</v>
      </c>
      <c r="K796">
        <v>25</v>
      </c>
      <c r="L796" s="1" t="s">
        <v>19</v>
      </c>
    </row>
    <row r="797" spans="1:12" x14ac:dyDescent="0.3">
      <c r="A797" s="1" t="s">
        <v>1140</v>
      </c>
      <c r="B797" s="2">
        <v>46022</v>
      </c>
      <c r="C797" s="2">
        <v>46039</v>
      </c>
      <c r="D797" s="1" t="s">
        <v>13</v>
      </c>
      <c r="E797" s="1" t="s">
        <v>14</v>
      </c>
      <c r="F797" s="1" t="s">
        <v>15</v>
      </c>
      <c r="G797" s="1" t="s">
        <v>16</v>
      </c>
      <c r="H797" s="1" t="s">
        <v>47</v>
      </c>
      <c r="I797" s="1" t="s">
        <v>26</v>
      </c>
      <c r="J797">
        <v>15</v>
      </c>
      <c r="K797">
        <v>17</v>
      </c>
      <c r="L797" s="1" t="s">
        <v>19</v>
      </c>
    </row>
    <row r="798" spans="1:12" x14ac:dyDescent="0.3">
      <c r="A798" s="1" t="s">
        <v>1832</v>
      </c>
      <c r="B798" s="2">
        <v>46022</v>
      </c>
      <c r="C798" s="2">
        <v>46040</v>
      </c>
      <c r="D798" s="1" t="s">
        <v>28</v>
      </c>
      <c r="E798" s="1" t="s">
        <v>14</v>
      </c>
      <c r="F798" s="1" t="s">
        <v>38</v>
      </c>
      <c r="G798" s="1" t="s">
        <v>16</v>
      </c>
      <c r="H798" s="1" t="s">
        <v>54</v>
      </c>
      <c r="I798" s="1" t="s">
        <v>26</v>
      </c>
      <c r="J798">
        <v>15</v>
      </c>
      <c r="K798">
        <v>18</v>
      </c>
      <c r="L798" s="1" t="s">
        <v>19</v>
      </c>
    </row>
    <row r="799" spans="1:12" x14ac:dyDescent="0.3">
      <c r="A799" s="1" t="s">
        <v>2037</v>
      </c>
      <c r="B799" s="2">
        <v>46022</v>
      </c>
      <c r="C799" s="2">
        <v>46073</v>
      </c>
      <c r="D799" s="1" t="s">
        <v>28</v>
      </c>
      <c r="E799" s="1" t="s">
        <v>24</v>
      </c>
      <c r="F799" s="1" t="s">
        <v>38</v>
      </c>
      <c r="G799" s="1" t="s">
        <v>16</v>
      </c>
      <c r="H799" s="1" t="s">
        <v>29</v>
      </c>
      <c r="I799" s="1" t="s">
        <v>41</v>
      </c>
      <c r="J799">
        <v>30</v>
      </c>
      <c r="K799">
        <v>51</v>
      </c>
      <c r="L799" s="1" t="s">
        <v>44</v>
      </c>
    </row>
    <row r="800" spans="1:12" x14ac:dyDescent="0.3">
      <c r="A800" s="1" t="s">
        <v>2471</v>
      </c>
      <c r="B800" s="2">
        <v>46022</v>
      </c>
      <c r="C800" s="2">
        <v>46078</v>
      </c>
      <c r="D800" s="1" t="s">
        <v>23</v>
      </c>
      <c r="E800" s="1" t="s">
        <v>14</v>
      </c>
      <c r="F800" s="1" t="s">
        <v>15</v>
      </c>
      <c r="G800" s="1" t="s">
        <v>16</v>
      </c>
      <c r="H800" s="1" t="s">
        <v>25</v>
      </c>
      <c r="I800" s="1" t="s">
        <v>18</v>
      </c>
      <c r="J800">
        <v>15</v>
      </c>
      <c r="K800">
        <v>56</v>
      </c>
      <c r="L800" s="1" t="s">
        <v>44</v>
      </c>
    </row>
    <row r="801" spans="1:12" x14ac:dyDescent="0.3">
      <c r="A801" s="1" t="s">
        <v>2545</v>
      </c>
      <c r="B801" s="2">
        <v>46022</v>
      </c>
      <c r="C801" s="2">
        <v>46045</v>
      </c>
      <c r="D801" s="1" t="s">
        <v>13</v>
      </c>
      <c r="E801" s="1" t="s">
        <v>14</v>
      </c>
      <c r="F801" s="1" t="s">
        <v>15</v>
      </c>
      <c r="G801" s="1" t="s">
        <v>33</v>
      </c>
      <c r="H801" s="1" t="s">
        <v>47</v>
      </c>
      <c r="I801" s="1" t="s">
        <v>18</v>
      </c>
      <c r="J801">
        <v>15</v>
      </c>
      <c r="K801">
        <v>23</v>
      </c>
      <c r="L801" s="1" t="s">
        <v>19</v>
      </c>
    </row>
    <row r="802" spans="1:12" x14ac:dyDescent="0.3">
      <c r="A802" s="1" t="s">
        <v>2556</v>
      </c>
      <c r="B802" s="2">
        <v>46022</v>
      </c>
      <c r="C802" s="2">
        <v>46082</v>
      </c>
      <c r="D802" s="1" t="s">
        <v>23</v>
      </c>
      <c r="E802" s="1" t="s">
        <v>14</v>
      </c>
      <c r="F802" s="1" t="s">
        <v>38</v>
      </c>
      <c r="G802" s="1" t="s">
        <v>16</v>
      </c>
      <c r="H802" s="1" t="s">
        <v>43</v>
      </c>
      <c r="I802" s="1" t="s">
        <v>26</v>
      </c>
      <c r="J802">
        <v>15</v>
      </c>
      <c r="K802">
        <v>60</v>
      </c>
      <c r="L802" s="1" t="s">
        <v>80</v>
      </c>
    </row>
    <row r="803" spans="1:12" x14ac:dyDescent="0.3">
      <c r="A803" s="1" t="s">
        <v>2394</v>
      </c>
      <c r="B803" s="2">
        <v>46021</v>
      </c>
      <c r="C803" s="2">
        <v>46099</v>
      </c>
      <c r="D803" s="1" t="s">
        <v>37</v>
      </c>
      <c r="E803" s="1" t="s">
        <v>14</v>
      </c>
      <c r="F803" s="1" t="s">
        <v>15</v>
      </c>
      <c r="G803" s="1" t="s">
        <v>16</v>
      </c>
      <c r="H803" s="1" t="s">
        <v>49</v>
      </c>
      <c r="I803" s="1" t="s">
        <v>26</v>
      </c>
      <c r="J803">
        <v>30</v>
      </c>
      <c r="K803">
        <v>78</v>
      </c>
      <c r="L803" s="1" t="s">
        <v>80</v>
      </c>
    </row>
    <row r="804" spans="1:12" x14ac:dyDescent="0.3">
      <c r="A804" s="1" t="s">
        <v>1420</v>
      </c>
      <c r="B804" s="2">
        <v>46021</v>
      </c>
      <c r="C804" s="2">
        <v>46081</v>
      </c>
      <c r="D804" s="1" t="s">
        <v>37</v>
      </c>
      <c r="E804" s="1" t="s">
        <v>24</v>
      </c>
      <c r="F804" s="1" t="s">
        <v>15</v>
      </c>
      <c r="G804" s="1" t="s">
        <v>53</v>
      </c>
      <c r="H804" s="1" t="s">
        <v>49</v>
      </c>
      <c r="I804" s="1" t="s">
        <v>26</v>
      </c>
      <c r="J804">
        <v>30</v>
      </c>
      <c r="K804">
        <v>60</v>
      </c>
      <c r="L804" s="1" t="s">
        <v>80</v>
      </c>
    </row>
    <row r="805" spans="1:12" x14ac:dyDescent="0.3">
      <c r="A805" s="1" t="s">
        <v>2026</v>
      </c>
      <c r="B805" s="2">
        <v>46021</v>
      </c>
      <c r="C805" s="2">
        <v>46063</v>
      </c>
      <c r="D805" s="1" t="s">
        <v>37</v>
      </c>
      <c r="E805" s="1" t="s">
        <v>14</v>
      </c>
      <c r="F805" s="1" t="s">
        <v>15</v>
      </c>
      <c r="G805" s="1" t="s">
        <v>53</v>
      </c>
      <c r="H805" s="1" t="s">
        <v>49</v>
      </c>
      <c r="I805" s="1" t="s">
        <v>26</v>
      </c>
      <c r="J805">
        <v>15</v>
      </c>
      <c r="K805">
        <v>42</v>
      </c>
      <c r="L805" s="1" t="s">
        <v>21</v>
      </c>
    </row>
    <row r="806" spans="1:12" x14ac:dyDescent="0.3">
      <c r="A806" s="1" t="s">
        <v>2404</v>
      </c>
      <c r="B806" s="2">
        <v>46021</v>
      </c>
      <c r="C806" s="2">
        <v>46050</v>
      </c>
      <c r="D806" s="1" t="s">
        <v>37</v>
      </c>
      <c r="E806" s="1" t="s">
        <v>14</v>
      </c>
      <c r="F806" s="1" t="s">
        <v>15</v>
      </c>
      <c r="G806" s="1" t="s">
        <v>33</v>
      </c>
      <c r="H806" s="1" t="s">
        <v>39</v>
      </c>
      <c r="I806" s="1" t="s">
        <v>18</v>
      </c>
      <c r="J806">
        <v>30</v>
      </c>
      <c r="K806">
        <v>29</v>
      </c>
      <c r="L806" s="1" t="s">
        <v>21</v>
      </c>
    </row>
    <row r="807" spans="1:12" x14ac:dyDescent="0.3">
      <c r="A807" s="1" t="s">
        <v>2141</v>
      </c>
      <c r="B807" s="2">
        <v>46021</v>
      </c>
      <c r="C807" s="2">
        <v>46039</v>
      </c>
      <c r="D807" s="1" t="s">
        <v>37</v>
      </c>
      <c r="E807" s="1" t="s">
        <v>24</v>
      </c>
      <c r="F807" s="1" t="s">
        <v>15</v>
      </c>
      <c r="G807" s="1" t="s">
        <v>16</v>
      </c>
      <c r="H807" s="1" t="s">
        <v>49</v>
      </c>
      <c r="I807" s="1" t="s">
        <v>41</v>
      </c>
      <c r="J807">
        <v>30</v>
      </c>
      <c r="K807">
        <v>18</v>
      </c>
      <c r="L807" s="1" t="s">
        <v>19</v>
      </c>
    </row>
    <row r="808" spans="1:12" x14ac:dyDescent="0.3">
      <c r="A808" s="1" t="s">
        <v>1709</v>
      </c>
      <c r="B808" s="2">
        <v>46021</v>
      </c>
      <c r="C808" s="2">
        <v>46039</v>
      </c>
      <c r="D808" s="1" t="s">
        <v>13</v>
      </c>
      <c r="E808" s="1" t="s">
        <v>14</v>
      </c>
      <c r="F808" s="1" t="s">
        <v>15</v>
      </c>
      <c r="G808" s="1" t="s">
        <v>16</v>
      </c>
      <c r="H808" s="1" t="s">
        <v>47</v>
      </c>
      <c r="I808" s="1" t="s">
        <v>41</v>
      </c>
      <c r="J808">
        <v>30</v>
      </c>
      <c r="K808">
        <v>18</v>
      </c>
      <c r="L808" s="1" t="s">
        <v>19</v>
      </c>
    </row>
    <row r="809" spans="1:12" x14ac:dyDescent="0.3">
      <c r="A809" s="1" t="s">
        <v>2091</v>
      </c>
      <c r="B809" s="2">
        <v>46021</v>
      </c>
      <c r="C809" s="2">
        <v>46070</v>
      </c>
      <c r="D809" s="1" t="s">
        <v>13</v>
      </c>
      <c r="E809" s="1" t="s">
        <v>24</v>
      </c>
      <c r="F809" s="1" t="s">
        <v>38</v>
      </c>
      <c r="G809" s="1" t="s">
        <v>16</v>
      </c>
      <c r="H809" s="1" t="s">
        <v>17</v>
      </c>
      <c r="I809" s="1" t="s">
        <v>18</v>
      </c>
      <c r="J809">
        <v>30</v>
      </c>
      <c r="K809">
        <v>49</v>
      </c>
      <c r="L809" s="1" t="s">
        <v>44</v>
      </c>
    </row>
    <row r="810" spans="1:12" x14ac:dyDescent="0.3">
      <c r="A810" s="1" t="s">
        <v>2390</v>
      </c>
      <c r="B810" s="2">
        <v>46021</v>
      </c>
      <c r="C810" s="2">
        <v>46037</v>
      </c>
      <c r="D810" s="1" t="s">
        <v>23</v>
      </c>
      <c r="E810" s="1" t="s">
        <v>14</v>
      </c>
      <c r="F810" s="1" t="s">
        <v>15</v>
      </c>
      <c r="G810" s="1" t="s">
        <v>16</v>
      </c>
      <c r="H810" s="1" t="s">
        <v>25</v>
      </c>
      <c r="I810" s="1" t="s">
        <v>26</v>
      </c>
      <c r="J810">
        <v>15</v>
      </c>
      <c r="K810">
        <v>16</v>
      </c>
      <c r="L810" s="1" t="s">
        <v>19</v>
      </c>
    </row>
    <row r="811" spans="1:12" x14ac:dyDescent="0.3">
      <c r="A811" s="1" t="s">
        <v>3095</v>
      </c>
      <c r="B811" s="2">
        <v>46021</v>
      </c>
      <c r="C811" s="2">
        <v>46048</v>
      </c>
      <c r="D811" s="1" t="s">
        <v>13</v>
      </c>
      <c r="E811" s="1" t="s">
        <v>24</v>
      </c>
      <c r="F811" s="1" t="s">
        <v>15</v>
      </c>
      <c r="G811" s="1" t="s">
        <v>16</v>
      </c>
      <c r="H811" s="1" t="s">
        <v>17</v>
      </c>
      <c r="I811" s="1" t="s">
        <v>18</v>
      </c>
      <c r="J811">
        <v>30</v>
      </c>
      <c r="K811">
        <v>27</v>
      </c>
      <c r="L811" s="1" t="s">
        <v>19</v>
      </c>
    </row>
    <row r="812" spans="1:12" x14ac:dyDescent="0.3">
      <c r="A812" s="1" t="s">
        <v>3138</v>
      </c>
      <c r="B812" s="2">
        <v>46021</v>
      </c>
      <c r="C812" s="2">
        <v>46054</v>
      </c>
      <c r="D812" s="1" t="s">
        <v>23</v>
      </c>
      <c r="E812" s="1" t="s">
        <v>14</v>
      </c>
      <c r="F812" s="1" t="s">
        <v>15</v>
      </c>
      <c r="G812" s="1" t="s">
        <v>33</v>
      </c>
      <c r="H812" s="1" t="s">
        <v>43</v>
      </c>
      <c r="I812" s="1" t="s">
        <v>26</v>
      </c>
      <c r="J812">
        <v>15</v>
      </c>
      <c r="K812">
        <v>33</v>
      </c>
      <c r="L812" s="1" t="s">
        <v>21</v>
      </c>
    </row>
    <row r="813" spans="1:12" x14ac:dyDescent="0.3">
      <c r="A813" s="1" t="s">
        <v>401</v>
      </c>
      <c r="B813" s="2">
        <v>46020</v>
      </c>
      <c r="C813" s="2">
        <v>46028</v>
      </c>
      <c r="D813" s="1" t="s">
        <v>23</v>
      </c>
      <c r="E813" s="1" t="s">
        <v>14</v>
      </c>
      <c r="F813" s="1" t="s">
        <v>15</v>
      </c>
      <c r="G813" s="1" t="s">
        <v>16</v>
      </c>
      <c r="H813" s="1" t="s">
        <v>43</v>
      </c>
      <c r="I813" s="1" t="s">
        <v>41</v>
      </c>
      <c r="J813">
        <v>15</v>
      </c>
      <c r="K813">
        <v>8</v>
      </c>
      <c r="L813" s="1" t="s">
        <v>30</v>
      </c>
    </row>
    <row r="814" spans="1:12" x14ac:dyDescent="0.3">
      <c r="A814" s="1" t="s">
        <v>505</v>
      </c>
      <c r="B814" s="2">
        <v>46020</v>
      </c>
      <c r="C814" s="2">
        <v>46057</v>
      </c>
      <c r="D814" s="1" t="s">
        <v>13</v>
      </c>
      <c r="E814" s="1" t="s">
        <v>24</v>
      </c>
      <c r="F814" s="1" t="s">
        <v>15</v>
      </c>
      <c r="G814" s="1" t="s">
        <v>16</v>
      </c>
      <c r="H814" s="1" t="s">
        <v>17</v>
      </c>
      <c r="I814" s="1" t="s">
        <v>26</v>
      </c>
      <c r="J814">
        <v>30</v>
      </c>
      <c r="K814">
        <v>37</v>
      </c>
      <c r="L814" s="1" t="s">
        <v>21</v>
      </c>
    </row>
    <row r="815" spans="1:12" x14ac:dyDescent="0.3">
      <c r="A815" s="1" t="s">
        <v>2086</v>
      </c>
      <c r="B815" s="2">
        <v>46020</v>
      </c>
      <c r="C815" s="2">
        <v>46081</v>
      </c>
      <c r="D815" s="1" t="s">
        <v>37</v>
      </c>
      <c r="E815" s="1" t="s">
        <v>24</v>
      </c>
      <c r="F815" s="1" t="s">
        <v>15</v>
      </c>
      <c r="G815" s="1" t="s">
        <v>16</v>
      </c>
      <c r="H815" s="1" t="s">
        <v>39</v>
      </c>
      <c r="I815" s="1" t="s">
        <v>26</v>
      </c>
      <c r="J815">
        <v>30</v>
      </c>
      <c r="K815">
        <v>61</v>
      </c>
      <c r="L815" s="1" t="s">
        <v>80</v>
      </c>
    </row>
    <row r="816" spans="1:12" x14ac:dyDescent="0.3">
      <c r="A816" s="1" t="s">
        <v>3209</v>
      </c>
      <c r="B816" s="2">
        <v>46020</v>
      </c>
      <c r="C816" s="2">
        <v>46049</v>
      </c>
      <c r="D816" s="1" t="s">
        <v>37</v>
      </c>
      <c r="E816" s="1" t="s">
        <v>14</v>
      </c>
      <c r="F816" s="1" t="s">
        <v>15</v>
      </c>
      <c r="G816" s="1" t="s">
        <v>16</v>
      </c>
      <c r="H816" s="1" t="s">
        <v>49</v>
      </c>
      <c r="I816" s="1" t="s">
        <v>26</v>
      </c>
      <c r="J816">
        <v>15</v>
      </c>
      <c r="K816">
        <v>29</v>
      </c>
      <c r="L816" s="1" t="s">
        <v>21</v>
      </c>
    </row>
    <row r="817" spans="1:12" x14ac:dyDescent="0.3">
      <c r="A817" s="1" t="s">
        <v>937</v>
      </c>
      <c r="B817" s="2">
        <v>46020</v>
      </c>
      <c r="C817" s="2">
        <v>46047</v>
      </c>
      <c r="D817" s="1" t="s">
        <v>13</v>
      </c>
      <c r="E817" s="1" t="s">
        <v>14</v>
      </c>
      <c r="F817" s="1" t="s">
        <v>15</v>
      </c>
      <c r="G817" s="1" t="s">
        <v>53</v>
      </c>
      <c r="H817" s="1" t="s">
        <v>17</v>
      </c>
      <c r="I817" s="1" t="s">
        <v>18</v>
      </c>
      <c r="J817">
        <v>15</v>
      </c>
      <c r="K817">
        <v>27</v>
      </c>
      <c r="L817" s="1" t="s">
        <v>19</v>
      </c>
    </row>
    <row r="818" spans="1:12" x14ac:dyDescent="0.3">
      <c r="A818" s="1" t="s">
        <v>1276</v>
      </c>
      <c r="B818" s="2">
        <v>46020</v>
      </c>
      <c r="C818" s="2">
        <v>46045</v>
      </c>
      <c r="D818" s="1" t="s">
        <v>13</v>
      </c>
      <c r="E818" s="1" t="s">
        <v>14</v>
      </c>
      <c r="F818" s="1" t="s">
        <v>15</v>
      </c>
      <c r="G818" s="1" t="s">
        <v>16</v>
      </c>
      <c r="H818" s="1" t="s">
        <v>17</v>
      </c>
      <c r="I818" s="1" t="s">
        <v>26</v>
      </c>
      <c r="J818">
        <v>30</v>
      </c>
      <c r="K818">
        <v>25</v>
      </c>
      <c r="L818" s="1" t="s">
        <v>19</v>
      </c>
    </row>
    <row r="819" spans="1:12" x14ac:dyDescent="0.3">
      <c r="A819" s="1" t="s">
        <v>2336</v>
      </c>
      <c r="B819" s="2">
        <v>46020</v>
      </c>
      <c r="C819" s="2">
        <v>46048</v>
      </c>
      <c r="D819" s="1" t="s">
        <v>28</v>
      </c>
      <c r="E819" s="1" t="s">
        <v>24</v>
      </c>
      <c r="F819" s="1" t="s">
        <v>15</v>
      </c>
      <c r="G819" s="1" t="s">
        <v>53</v>
      </c>
      <c r="H819" s="1" t="s">
        <v>54</v>
      </c>
      <c r="I819" s="1" t="s">
        <v>26</v>
      </c>
      <c r="J819">
        <v>30</v>
      </c>
      <c r="K819">
        <v>28</v>
      </c>
      <c r="L819" s="1" t="s">
        <v>19</v>
      </c>
    </row>
    <row r="820" spans="1:12" x14ac:dyDescent="0.3">
      <c r="A820" s="1" t="s">
        <v>3029</v>
      </c>
      <c r="B820" s="2">
        <v>46020</v>
      </c>
      <c r="C820" s="2">
        <v>46022</v>
      </c>
      <c r="D820" s="1" t="s">
        <v>32</v>
      </c>
      <c r="E820" s="1" t="s">
        <v>24</v>
      </c>
      <c r="F820" s="1" t="s">
        <v>15</v>
      </c>
      <c r="G820" s="1" t="s">
        <v>16</v>
      </c>
      <c r="H820" s="1" t="s">
        <v>34</v>
      </c>
      <c r="I820" s="1" t="s">
        <v>18</v>
      </c>
      <c r="J820">
        <v>30</v>
      </c>
      <c r="K820">
        <v>2</v>
      </c>
      <c r="L820" s="1" t="s">
        <v>30</v>
      </c>
    </row>
    <row r="821" spans="1:12" x14ac:dyDescent="0.3">
      <c r="A821" s="1" t="s">
        <v>3070</v>
      </c>
      <c r="B821" s="2">
        <v>46020</v>
      </c>
      <c r="C821" s="2">
        <v>46082</v>
      </c>
      <c r="D821" s="1" t="s">
        <v>23</v>
      </c>
      <c r="E821" s="1" t="s">
        <v>24</v>
      </c>
      <c r="F821" s="1" t="s">
        <v>15</v>
      </c>
      <c r="G821" s="1" t="s">
        <v>16</v>
      </c>
      <c r="H821" s="1" t="s">
        <v>43</v>
      </c>
      <c r="I821" s="1" t="s">
        <v>26</v>
      </c>
      <c r="J821">
        <v>30</v>
      </c>
      <c r="K821">
        <v>62</v>
      </c>
      <c r="L821" s="1" t="s">
        <v>80</v>
      </c>
    </row>
    <row r="822" spans="1:12" x14ac:dyDescent="0.3">
      <c r="A822" s="1" t="s">
        <v>3118</v>
      </c>
      <c r="B822" s="2">
        <v>46020</v>
      </c>
      <c r="C822" s="2">
        <v>46033</v>
      </c>
      <c r="D822" s="1" t="s">
        <v>23</v>
      </c>
      <c r="E822" s="1" t="s">
        <v>14</v>
      </c>
      <c r="F822" s="1" t="s">
        <v>15</v>
      </c>
      <c r="G822" s="1" t="s">
        <v>16</v>
      </c>
      <c r="H822" s="1" t="s">
        <v>43</v>
      </c>
      <c r="I822" s="1" t="s">
        <v>41</v>
      </c>
      <c r="J822">
        <v>15</v>
      </c>
      <c r="K822">
        <v>13</v>
      </c>
      <c r="L822" s="1" t="s">
        <v>30</v>
      </c>
    </row>
    <row r="823" spans="1:12" x14ac:dyDescent="0.3">
      <c r="A823" s="1" t="s">
        <v>103</v>
      </c>
      <c r="B823" s="2">
        <v>46019</v>
      </c>
      <c r="C823" s="2">
        <v>46054</v>
      </c>
      <c r="D823" s="1" t="s">
        <v>23</v>
      </c>
      <c r="E823" s="1" t="s">
        <v>24</v>
      </c>
      <c r="F823" s="1" t="s">
        <v>15</v>
      </c>
      <c r="G823" s="1" t="s">
        <v>16</v>
      </c>
      <c r="H823" s="1" t="s">
        <v>43</v>
      </c>
      <c r="I823" s="1" t="s">
        <v>18</v>
      </c>
      <c r="J823">
        <v>45</v>
      </c>
      <c r="K823">
        <v>35</v>
      </c>
      <c r="L823" s="1" t="s">
        <v>21</v>
      </c>
    </row>
    <row r="824" spans="1:12" x14ac:dyDescent="0.3">
      <c r="A824" s="1" t="s">
        <v>433</v>
      </c>
      <c r="B824" s="2">
        <v>46019</v>
      </c>
      <c r="C824" s="2">
        <v>46055</v>
      </c>
      <c r="D824" s="1" t="s">
        <v>37</v>
      </c>
      <c r="E824" s="1" t="s">
        <v>14</v>
      </c>
      <c r="F824" s="1" t="s">
        <v>15</v>
      </c>
      <c r="G824" s="1" t="s">
        <v>16</v>
      </c>
      <c r="H824" s="1" t="s">
        <v>49</v>
      </c>
      <c r="I824" s="1" t="s">
        <v>18</v>
      </c>
      <c r="J824">
        <v>15</v>
      </c>
      <c r="K824">
        <v>36</v>
      </c>
      <c r="L824" s="1" t="s">
        <v>21</v>
      </c>
    </row>
    <row r="825" spans="1:12" x14ac:dyDescent="0.3">
      <c r="A825" s="1" t="s">
        <v>420</v>
      </c>
      <c r="B825" s="2">
        <v>46019</v>
      </c>
      <c r="C825" s="2">
        <v>46033</v>
      </c>
      <c r="D825" s="1" t="s">
        <v>37</v>
      </c>
      <c r="E825" s="1" t="s">
        <v>24</v>
      </c>
      <c r="F825" s="1" t="s">
        <v>15</v>
      </c>
      <c r="G825" s="1" t="s">
        <v>16</v>
      </c>
      <c r="H825" s="1" t="s">
        <v>39</v>
      </c>
      <c r="I825" s="1" t="s">
        <v>18</v>
      </c>
      <c r="J825">
        <v>30</v>
      </c>
      <c r="K825">
        <v>14</v>
      </c>
      <c r="L825" s="1" t="s">
        <v>30</v>
      </c>
    </row>
    <row r="826" spans="1:12" x14ac:dyDescent="0.3">
      <c r="A826" s="1" t="s">
        <v>554</v>
      </c>
      <c r="B826" s="2">
        <v>46019</v>
      </c>
      <c r="C826" s="2">
        <v>46028</v>
      </c>
      <c r="D826" s="1" t="s">
        <v>37</v>
      </c>
      <c r="E826" s="1" t="s">
        <v>14</v>
      </c>
      <c r="F826" s="1" t="s">
        <v>15</v>
      </c>
      <c r="G826" s="1" t="s">
        <v>33</v>
      </c>
      <c r="H826" s="1" t="s">
        <v>49</v>
      </c>
      <c r="I826" s="1" t="s">
        <v>26</v>
      </c>
      <c r="J826">
        <v>30</v>
      </c>
      <c r="K826">
        <v>9</v>
      </c>
      <c r="L826" s="1" t="s">
        <v>30</v>
      </c>
    </row>
    <row r="827" spans="1:12" x14ac:dyDescent="0.3">
      <c r="A827" s="1" t="s">
        <v>2085</v>
      </c>
      <c r="B827" s="2">
        <v>46019</v>
      </c>
      <c r="C827" s="2">
        <v>46028</v>
      </c>
      <c r="D827" s="1" t="s">
        <v>37</v>
      </c>
      <c r="E827" s="1" t="s">
        <v>24</v>
      </c>
      <c r="F827" s="1" t="s">
        <v>15</v>
      </c>
      <c r="G827" s="1" t="s">
        <v>33</v>
      </c>
      <c r="H827" s="1" t="s">
        <v>49</v>
      </c>
      <c r="I827" s="1" t="s">
        <v>41</v>
      </c>
      <c r="J827">
        <v>30</v>
      </c>
      <c r="K827">
        <v>9</v>
      </c>
      <c r="L827" s="1" t="s">
        <v>30</v>
      </c>
    </row>
    <row r="828" spans="1:12" x14ac:dyDescent="0.3">
      <c r="A828" s="1" t="s">
        <v>920</v>
      </c>
      <c r="B828" s="2">
        <v>46019</v>
      </c>
      <c r="C828" s="2">
        <v>46058</v>
      </c>
      <c r="D828" s="1" t="s">
        <v>32</v>
      </c>
      <c r="E828" s="1" t="s">
        <v>24</v>
      </c>
      <c r="F828" s="1" t="s">
        <v>15</v>
      </c>
      <c r="G828" s="1" t="s">
        <v>16</v>
      </c>
      <c r="H828" s="1" t="s">
        <v>34</v>
      </c>
      <c r="I828" s="1" t="s">
        <v>41</v>
      </c>
      <c r="J828">
        <v>30</v>
      </c>
      <c r="K828">
        <v>39</v>
      </c>
      <c r="L828" s="1" t="s">
        <v>21</v>
      </c>
    </row>
    <row r="829" spans="1:12" x14ac:dyDescent="0.3">
      <c r="A829" s="1" t="s">
        <v>1941</v>
      </c>
      <c r="B829" s="2">
        <v>46019</v>
      </c>
      <c r="C829" s="2">
        <v>46049</v>
      </c>
      <c r="D829" s="1" t="s">
        <v>13</v>
      </c>
      <c r="E829" s="1" t="s">
        <v>14</v>
      </c>
      <c r="F829" s="1" t="s">
        <v>15</v>
      </c>
      <c r="G829" s="1" t="s">
        <v>16</v>
      </c>
      <c r="H829" s="1" t="s">
        <v>17</v>
      </c>
      <c r="I829" s="1" t="s">
        <v>26</v>
      </c>
      <c r="J829">
        <v>15</v>
      </c>
      <c r="K829">
        <v>30</v>
      </c>
      <c r="L829" s="1" t="s">
        <v>21</v>
      </c>
    </row>
    <row r="830" spans="1:12" x14ac:dyDescent="0.3">
      <c r="A830" s="1" t="s">
        <v>2167</v>
      </c>
      <c r="B830" s="2">
        <v>46019</v>
      </c>
      <c r="C830" s="2">
        <v>46035</v>
      </c>
      <c r="D830" s="1" t="s">
        <v>28</v>
      </c>
      <c r="E830" s="1" t="s">
        <v>14</v>
      </c>
      <c r="F830" s="1" t="s">
        <v>15</v>
      </c>
      <c r="G830" s="1" t="s">
        <v>16</v>
      </c>
      <c r="H830" s="1" t="s">
        <v>29</v>
      </c>
      <c r="I830" s="1" t="s">
        <v>18</v>
      </c>
      <c r="J830">
        <v>15</v>
      </c>
      <c r="K830">
        <v>16</v>
      </c>
      <c r="L830" s="1" t="s">
        <v>19</v>
      </c>
    </row>
    <row r="831" spans="1:12" x14ac:dyDescent="0.3">
      <c r="A831" s="1" t="s">
        <v>2214</v>
      </c>
      <c r="B831" s="2">
        <v>46019</v>
      </c>
      <c r="C831" s="2">
        <v>46066</v>
      </c>
      <c r="D831" s="1" t="s">
        <v>13</v>
      </c>
      <c r="E831" s="1" t="s">
        <v>14</v>
      </c>
      <c r="F831" s="1" t="s">
        <v>15</v>
      </c>
      <c r="G831" s="1" t="s">
        <v>53</v>
      </c>
      <c r="H831" s="1" t="s">
        <v>47</v>
      </c>
      <c r="I831" s="1" t="s">
        <v>18</v>
      </c>
      <c r="J831">
        <v>30</v>
      </c>
      <c r="K831">
        <v>47</v>
      </c>
      <c r="L831" s="1" t="s">
        <v>44</v>
      </c>
    </row>
    <row r="832" spans="1:12" x14ac:dyDescent="0.3">
      <c r="A832" s="1" t="s">
        <v>2367</v>
      </c>
      <c r="B832" s="2">
        <v>46019</v>
      </c>
      <c r="C832" s="2">
        <v>46040</v>
      </c>
      <c r="D832" s="1" t="s">
        <v>23</v>
      </c>
      <c r="E832" s="1" t="s">
        <v>14</v>
      </c>
      <c r="F832" s="1" t="s">
        <v>15</v>
      </c>
      <c r="G832" s="1" t="s">
        <v>16</v>
      </c>
      <c r="H832" s="1" t="s">
        <v>25</v>
      </c>
      <c r="I832" s="1" t="s">
        <v>41</v>
      </c>
      <c r="J832">
        <v>15</v>
      </c>
      <c r="K832">
        <v>21</v>
      </c>
      <c r="L832" s="1" t="s">
        <v>19</v>
      </c>
    </row>
    <row r="833" spans="1:12" x14ac:dyDescent="0.3">
      <c r="A833" s="1" t="s">
        <v>2445</v>
      </c>
      <c r="B833" s="2">
        <v>46019</v>
      </c>
      <c r="C833" s="2">
        <v>46063</v>
      </c>
      <c r="D833" s="1" t="s">
        <v>32</v>
      </c>
      <c r="E833" s="1" t="s">
        <v>14</v>
      </c>
      <c r="F833" s="1" t="s">
        <v>15</v>
      </c>
      <c r="G833" s="1" t="s">
        <v>16</v>
      </c>
      <c r="H833" s="1" t="s">
        <v>71</v>
      </c>
      <c r="I833" s="1" t="s">
        <v>26</v>
      </c>
      <c r="J833">
        <v>15</v>
      </c>
      <c r="K833">
        <v>44</v>
      </c>
      <c r="L833" s="1" t="s">
        <v>44</v>
      </c>
    </row>
    <row r="834" spans="1:12" x14ac:dyDescent="0.3">
      <c r="A834" s="1" t="s">
        <v>3062</v>
      </c>
      <c r="B834" s="2">
        <v>46019</v>
      </c>
      <c r="C834" s="2">
        <v>46067</v>
      </c>
      <c r="D834" s="1" t="s">
        <v>23</v>
      </c>
      <c r="E834" s="1" t="s">
        <v>14</v>
      </c>
      <c r="F834" s="1" t="s">
        <v>15</v>
      </c>
      <c r="G834" s="1" t="s">
        <v>16</v>
      </c>
      <c r="H834" s="1" t="s">
        <v>43</v>
      </c>
      <c r="I834" s="1" t="s">
        <v>41</v>
      </c>
      <c r="J834">
        <v>30</v>
      </c>
      <c r="K834">
        <v>48</v>
      </c>
      <c r="L834" s="1" t="s">
        <v>44</v>
      </c>
    </row>
    <row r="835" spans="1:12" x14ac:dyDescent="0.3">
      <c r="A835" s="1" t="s">
        <v>3225</v>
      </c>
      <c r="B835" s="2">
        <v>46019</v>
      </c>
      <c r="C835" s="2">
        <v>46052</v>
      </c>
      <c r="D835" s="1" t="s">
        <v>32</v>
      </c>
      <c r="E835" s="1" t="s">
        <v>14</v>
      </c>
      <c r="F835" s="1" t="s">
        <v>15</v>
      </c>
      <c r="G835" s="1" t="s">
        <v>16</v>
      </c>
      <c r="H835" s="1" t="s">
        <v>71</v>
      </c>
      <c r="I835" s="1" t="s">
        <v>18</v>
      </c>
      <c r="J835">
        <v>15</v>
      </c>
      <c r="K835">
        <v>33</v>
      </c>
      <c r="L835" s="1" t="s">
        <v>21</v>
      </c>
    </row>
    <row r="836" spans="1:12" x14ac:dyDescent="0.3">
      <c r="A836" s="1" t="s">
        <v>100</v>
      </c>
      <c r="B836" s="2">
        <v>46018</v>
      </c>
      <c r="C836" s="2">
        <v>46058</v>
      </c>
      <c r="D836" s="1" t="s">
        <v>13</v>
      </c>
      <c r="E836" s="1" t="s">
        <v>14</v>
      </c>
      <c r="F836" s="1" t="s">
        <v>15</v>
      </c>
      <c r="G836" s="1" t="s">
        <v>16</v>
      </c>
      <c r="H836" s="1" t="s">
        <v>47</v>
      </c>
      <c r="I836" s="1" t="s">
        <v>41</v>
      </c>
      <c r="J836">
        <v>15</v>
      </c>
      <c r="K836">
        <v>40</v>
      </c>
      <c r="L836" s="1" t="s">
        <v>21</v>
      </c>
    </row>
    <row r="837" spans="1:12" x14ac:dyDescent="0.3">
      <c r="A837" s="1" t="s">
        <v>1078</v>
      </c>
      <c r="B837" s="2">
        <v>46018</v>
      </c>
      <c r="C837" s="2">
        <v>46038</v>
      </c>
      <c r="D837" s="1" t="s">
        <v>13</v>
      </c>
      <c r="E837" s="1" t="s">
        <v>14</v>
      </c>
      <c r="F837" s="1" t="s">
        <v>15</v>
      </c>
      <c r="G837" s="1" t="s">
        <v>16</v>
      </c>
      <c r="H837" s="1" t="s">
        <v>47</v>
      </c>
      <c r="I837" s="1" t="s">
        <v>26</v>
      </c>
      <c r="J837">
        <v>30</v>
      </c>
      <c r="K837">
        <v>20</v>
      </c>
      <c r="L837" s="1" t="s">
        <v>19</v>
      </c>
    </row>
    <row r="838" spans="1:12" x14ac:dyDescent="0.3">
      <c r="A838" s="1" t="s">
        <v>1181</v>
      </c>
      <c r="B838" s="2">
        <v>46018</v>
      </c>
      <c r="C838" s="2">
        <v>46060</v>
      </c>
      <c r="D838" s="1" t="s">
        <v>23</v>
      </c>
      <c r="E838" s="1" t="s">
        <v>14</v>
      </c>
      <c r="F838" s="1" t="s">
        <v>38</v>
      </c>
      <c r="G838" s="1" t="s">
        <v>53</v>
      </c>
      <c r="H838" s="1" t="s">
        <v>25</v>
      </c>
      <c r="I838" s="1" t="s">
        <v>41</v>
      </c>
      <c r="J838">
        <v>15</v>
      </c>
      <c r="K838">
        <v>42</v>
      </c>
      <c r="L838" s="1" t="s">
        <v>21</v>
      </c>
    </row>
    <row r="839" spans="1:12" x14ac:dyDescent="0.3">
      <c r="A839" s="1" t="s">
        <v>1436</v>
      </c>
      <c r="B839" s="2">
        <v>46018</v>
      </c>
      <c r="C839" s="2">
        <v>46020</v>
      </c>
      <c r="D839" s="1" t="s">
        <v>13</v>
      </c>
      <c r="E839" s="1" t="s">
        <v>24</v>
      </c>
      <c r="F839" s="1" t="s">
        <v>38</v>
      </c>
      <c r="G839" s="1" t="s">
        <v>53</v>
      </c>
      <c r="H839" s="1" t="s">
        <v>47</v>
      </c>
      <c r="I839" s="1" t="s">
        <v>26</v>
      </c>
      <c r="J839">
        <v>45</v>
      </c>
      <c r="K839">
        <v>2</v>
      </c>
      <c r="L839" s="1" t="s">
        <v>30</v>
      </c>
    </row>
    <row r="840" spans="1:12" x14ac:dyDescent="0.3">
      <c r="A840" s="1" t="s">
        <v>1555</v>
      </c>
      <c r="B840" s="2">
        <v>46018</v>
      </c>
      <c r="C840" s="2">
        <v>46024</v>
      </c>
      <c r="D840" s="1" t="s">
        <v>23</v>
      </c>
      <c r="E840" s="1" t="s">
        <v>14</v>
      </c>
      <c r="F840" s="1" t="s">
        <v>15</v>
      </c>
      <c r="G840" s="1" t="s">
        <v>16</v>
      </c>
      <c r="H840" s="1" t="s">
        <v>43</v>
      </c>
      <c r="I840" s="1" t="s">
        <v>18</v>
      </c>
      <c r="J840">
        <v>15</v>
      </c>
      <c r="K840">
        <v>6</v>
      </c>
      <c r="L840" s="1" t="s">
        <v>30</v>
      </c>
    </row>
    <row r="841" spans="1:12" x14ac:dyDescent="0.3">
      <c r="A841" s="1" t="s">
        <v>1784</v>
      </c>
      <c r="B841" s="2">
        <v>46018</v>
      </c>
      <c r="C841" s="2">
        <v>46090</v>
      </c>
      <c r="D841" s="1" t="s">
        <v>13</v>
      </c>
      <c r="E841" s="1" t="s">
        <v>14</v>
      </c>
      <c r="F841" s="1" t="s">
        <v>15</v>
      </c>
      <c r="G841" s="1" t="s">
        <v>16</v>
      </c>
      <c r="H841" s="1" t="s">
        <v>47</v>
      </c>
      <c r="I841" s="1" t="s">
        <v>26</v>
      </c>
      <c r="J841">
        <v>15</v>
      </c>
      <c r="K841">
        <v>72</v>
      </c>
      <c r="L841" s="1" t="s">
        <v>80</v>
      </c>
    </row>
    <row r="842" spans="1:12" x14ac:dyDescent="0.3">
      <c r="A842" s="1" t="s">
        <v>1887</v>
      </c>
      <c r="B842" s="2">
        <v>46018</v>
      </c>
      <c r="C842" s="2">
        <v>46025</v>
      </c>
      <c r="D842" s="1" t="s">
        <v>28</v>
      </c>
      <c r="E842" s="1" t="s">
        <v>14</v>
      </c>
      <c r="F842" s="1" t="s">
        <v>15</v>
      </c>
      <c r="G842" s="1" t="s">
        <v>16</v>
      </c>
      <c r="H842" s="1" t="s">
        <v>54</v>
      </c>
      <c r="I842" s="1" t="s">
        <v>18</v>
      </c>
      <c r="J842">
        <v>15</v>
      </c>
      <c r="K842">
        <v>7</v>
      </c>
      <c r="L842" s="1" t="s">
        <v>30</v>
      </c>
    </row>
    <row r="843" spans="1:12" x14ac:dyDescent="0.3">
      <c r="A843" s="1" t="s">
        <v>2680</v>
      </c>
      <c r="B843" s="2">
        <v>46018</v>
      </c>
      <c r="C843" s="2">
        <v>46023</v>
      </c>
      <c r="D843" s="1" t="s">
        <v>28</v>
      </c>
      <c r="E843" s="1" t="s">
        <v>24</v>
      </c>
      <c r="F843" s="1" t="s">
        <v>15</v>
      </c>
      <c r="G843" s="1" t="s">
        <v>33</v>
      </c>
      <c r="H843" s="1" t="s">
        <v>54</v>
      </c>
      <c r="I843" s="1" t="s">
        <v>26</v>
      </c>
      <c r="J843">
        <v>30</v>
      </c>
      <c r="K843">
        <v>5</v>
      </c>
      <c r="L843" s="1" t="s">
        <v>30</v>
      </c>
    </row>
    <row r="844" spans="1:12" x14ac:dyDescent="0.3">
      <c r="A844" s="1" t="s">
        <v>645</v>
      </c>
      <c r="B844" s="2">
        <v>46017</v>
      </c>
      <c r="C844" s="2">
        <v>46075</v>
      </c>
      <c r="D844" s="1" t="s">
        <v>23</v>
      </c>
      <c r="E844" s="1" t="s">
        <v>24</v>
      </c>
      <c r="F844" s="1" t="s">
        <v>15</v>
      </c>
      <c r="G844" s="1" t="s">
        <v>16</v>
      </c>
      <c r="H844" s="1" t="s">
        <v>43</v>
      </c>
      <c r="I844" s="1" t="s">
        <v>26</v>
      </c>
      <c r="J844">
        <v>30</v>
      </c>
      <c r="K844">
        <v>58</v>
      </c>
      <c r="L844" s="1" t="s">
        <v>80</v>
      </c>
    </row>
    <row r="845" spans="1:12" x14ac:dyDescent="0.3">
      <c r="A845" s="1" t="s">
        <v>1324</v>
      </c>
      <c r="B845" s="2">
        <v>46017</v>
      </c>
      <c r="C845" s="2">
        <v>46071</v>
      </c>
      <c r="D845" s="1" t="s">
        <v>37</v>
      </c>
      <c r="E845" s="1" t="s">
        <v>24</v>
      </c>
      <c r="F845" s="1" t="s">
        <v>15</v>
      </c>
      <c r="G845" s="1" t="s">
        <v>16</v>
      </c>
      <c r="H845" s="1" t="s">
        <v>39</v>
      </c>
      <c r="I845" s="1" t="s">
        <v>26</v>
      </c>
      <c r="J845">
        <v>45</v>
      </c>
      <c r="K845">
        <v>54</v>
      </c>
      <c r="L845" s="1" t="s">
        <v>44</v>
      </c>
    </row>
    <row r="846" spans="1:12" x14ac:dyDescent="0.3">
      <c r="A846" s="1" t="s">
        <v>1903</v>
      </c>
      <c r="B846" s="2">
        <v>46017</v>
      </c>
      <c r="C846" s="2">
        <v>46052</v>
      </c>
      <c r="D846" s="1" t="s">
        <v>37</v>
      </c>
      <c r="E846" s="1" t="s">
        <v>14</v>
      </c>
      <c r="F846" s="1" t="s">
        <v>15</v>
      </c>
      <c r="G846" s="1" t="s">
        <v>16</v>
      </c>
      <c r="H846" s="1" t="s">
        <v>39</v>
      </c>
      <c r="I846" s="1" t="s">
        <v>26</v>
      </c>
      <c r="J846">
        <v>15</v>
      </c>
      <c r="K846">
        <v>35</v>
      </c>
      <c r="L846" s="1" t="s">
        <v>21</v>
      </c>
    </row>
    <row r="847" spans="1:12" x14ac:dyDescent="0.3">
      <c r="A847" s="1" t="s">
        <v>1491</v>
      </c>
      <c r="B847" s="2">
        <v>46017</v>
      </c>
      <c r="C847" s="2">
        <v>46047</v>
      </c>
      <c r="D847" s="1" t="s">
        <v>37</v>
      </c>
      <c r="E847" s="1" t="s">
        <v>14</v>
      </c>
      <c r="F847" s="1" t="s">
        <v>38</v>
      </c>
      <c r="G847" s="1" t="s">
        <v>33</v>
      </c>
      <c r="H847" s="1" t="s">
        <v>39</v>
      </c>
      <c r="I847" s="1" t="s">
        <v>26</v>
      </c>
      <c r="J847">
        <v>30</v>
      </c>
      <c r="K847">
        <v>30</v>
      </c>
      <c r="L847" s="1" t="s">
        <v>21</v>
      </c>
    </row>
    <row r="848" spans="1:12" x14ac:dyDescent="0.3">
      <c r="A848" s="1" t="s">
        <v>2157</v>
      </c>
      <c r="B848" s="2">
        <v>46017</v>
      </c>
      <c r="C848" s="2">
        <v>46027</v>
      </c>
      <c r="D848" s="1" t="s">
        <v>37</v>
      </c>
      <c r="E848" s="1" t="s">
        <v>24</v>
      </c>
      <c r="F848" s="1" t="s">
        <v>15</v>
      </c>
      <c r="G848" s="1" t="s">
        <v>16</v>
      </c>
      <c r="H848" s="1" t="s">
        <v>39</v>
      </c>
      <c r="I848" s="1" t="s">
        <v>26</v>
      </c>
      <c r="J848">
        <v>30</v>
      </c>
      <c r="K848">
        <v>10</v>
      </c>
      <c r="L848" s="1" t="s">
        <v>30</v>
      </c>
    </row>
    <row r="849" spans="1:12" x14ac:dyDescent="0.3">
      <c r="A849" s="1" t="s">
        <v>1323</v>
      </c>
      <c r="B849" s="2">
        <v>46017</v>
      </c>
      <c r="C849" s="2">
        <v>46048</v>
      </c>
      <c r="D849" s="1" t="s">
        <v>23</v>
      </c>
      <c r="E849" s="1" t="s">
        <v>14</v>
      </c>
      <c r="F849" s="1" t="s">
        <v>15</v>
      </c>
      <c r="G849" s="1" t="s">
        <v>16</v>
      </c>
      <c r="H849" s="1" t="s">
        <v>43</v>
      </c>
      <c r="I849" s="1" t="s">
        <v>18</v>
      </c>
      <c r="J849">
        <v>30</v>
      </c>
      <c r="K849">
        <v>31</v>
      </c>
      <c r="L849" s="1" t="s">
        <v>21</v>
      </c>
    </row>
    <row r="850" spans="1:12" x14ac:dyDescent="0.3">
      <c r="A850" s="1" t="s">
        <v>1764</v>
      </c>
      <c r="B850" s="2">
        <v>46017</v>
      </c>
      <c r="C850" s="2">
        <v>46065</v>
      </c>
      <c r="D850" s="1" t="s">
        <v>13</v>
      </c>
      <c r="E850" s="1" t="s">
        <v>24</v>
      </c>
      <c r="F850" s="1" t="s">
        <v>15</v>
      </c>
      <c r="G850" s="1" t="s">
        <v>16</v>
      </c>
      <c r="H850" s="1" t="s">
        <v>17</v>
      </c>
      <c r="I850" s="1" t="s">
        <v>26</v>
      </c>
      <c r="J850">
        <v>30</v>
      </c>
      <c r="K850">
        <v>48</v>
      </c>
      <c r="L850" s="1" t="s">
        <v>44</v>
      </c>
    </row>
    <row r="851" spans="1:12" x14ac:dyDescent="0.3">
      <c r="A851" s="1" t="s">
        <v>2008</v>
      </c>
      <c r="B851" s="2">
        <v>46017</v>
      </c>
      <c r="C851" s="2">
        <v>46080</v>
      </c>
      <c r="D851" s="1" t="s">
        <v>13</v>
      </c>
      <c r="E851" s="1" t="s">
        <v>14</v>
      </c>
      <c r="F851" s="1" t="s">
        <v>15</v>
      </c>
      <c r="G851" s="1" t="s">
        <v>33</v>
      </c>
      <c r="H851" s="1" t="s">
        <v>17</v>
      </c>
      <c r="I851" s="1" t="s">
        <v>26</v>
      </c>
      <c r="J851">
        <v>30</v>
      </c>
      <c r="K851">
        <v>63</v>
      </c>
      <c r="L851" s="1" t="s">
        <v>80</v>
      </c>
    </row>
    <row r="852" spans="1:12" x14ac:dyDescent="0.3">
      <c r="A852" s="1" t="s">
        <v>3237</v>
      </c>
      <c r="B852" s="2">
        <v>46017</v>
      </c>
      <c r="C852" s="2">
        <v>46084</v>
      </c>
      <c r="D852" s="1" t="s">
        <v>13</v>
      </c>
      <c r="E852" s="1" t="s">
        <v>14</v>
      </c>
      <c r="F852" s="1" t="s">
        <v>15</v>
      </c>
      <c r="G852" s="1" t="s">
        <v>16</v>
      </c>
      <c r="H852" s="1" t="s">
        <v>17</v>
      </c>
      <c r="I852" s="1" t="s">
        <v>26</v>
      </c>
      <c r="J852">
        <v>30</v>
      </c>
      <c r="K852">
        <v>67</v>
      </c>
      <c r="L852" s="1" t="s">
        <v>80</v>
      </c>
    </row>
    <row r="853" spans="1:12" x14ac:dyDescent="0.3">
      <c r="A853" s="1" t="s">
        <v>256</v>
      </c>
      <c r="B853" s="2">
        <v>46016</v>
      </c>
      <c r="C853" s="2">
        <v>46071</v>
      </c>
      <c r="D853" s="1" t="s">
        <v>13</v>
      </c>
      <c r="E853" s="1" t="s">
        <v>14</v>
      </c>
      <c r="F853" s="1" t="s">
        <v>15</v>
      </c>
      <c r="G853" s="1" t="s">
        <v>16</v>
      </c>
      <c r="H853" s="1" t="s">
        <v>17</v>
      </c>
      <c r="I853" s="1" t="s">
        <v>26</v>
      </c>
      <c r="J853">
        <v>30</v>
      </c>
      <c r="K853">
        <v>55</v>
      </c>
      <c r="L853" s="1" t="s">
        <v>44</v>
      </c>
    </row>
    <row r="854" spans="1:12" x14ac:dyDescent="0.3">
      <c r="A854" s="1" t="s">
        <v>474</v>
      </c>
      <c r="B854" s="2">
        <v>46016</v>
      </c>
      <c r="C854" s="2">
        <v>46060</v>
      </c>
      <c r="D854" s="1" t="s">
        <v>13</v>
      </c>
      <c r="E854" s="1" t="s">
        <v>14</v>
      </c>
      <c r="F854" s="1" t="s">
        <v>15</v>
      </c>
      <c r="G854" s="1" t="s">
        <v>16</v>
      </c>
      <c r="H854" s="1" t="s">
        <v>47</v>
      </c>
      <c r="I854" s="1" t="s">
        <v>41</v>
      </c>
      <c r="J854">
        <v>15</v>
      </c>
      <c r="K854">
        <v>44</v>
      </c>
      <c r="L854" s="1" t="s">
        <v>44</v>
      </c>
    </row>
    <row r="855" spans="1:12" x14ac:dyDescent="0.3">
      <c r="A855" s="1" t="s">
        <v>513</v>
      </c>
      <c r="B855" s="2">
        <v>46016</v>
      </c>
      <c r="C855" s="2">
        <v>46074</v>
      </c>
      <c r="D855" s="1" t="s">
        <v>32</v>
      </c>
      <c r="E855" s="1" t="s">
        <v>14</v>
      </c>
      <c r="F855" s="1" t="s">
        <v>15</v>
      </c>
      <c r="G855" s="1" t="s">
        <v>33</v>
      </c>
      <c r="H855" s="1" t="s">
        <v>34</v>
      </c>
      <c r="I855" s="1" t="s">
        <v>26</v>
      </c>
      <c r="J855">
        <v>30</v>
      </c>
      <c r="K855">
        <v>58</v>
      </c>
      <c r="L855" s="1" t="s">
        <v>80</v>
      </c>
    </row>
    <row r="856" spans="1:12" x14ac:dyDescent="0.3">
      <c r="A856" s="1" t="s">
        <v>781</v>
      </c>
      <c r="B856" s="2">
        <v>46016</v>
      </c>
      <c r="C856" s="2">
        <v>46041</v>
      </c>
      <c r="D856" s="1" t="s">
        <v>28</v>
      </c>
      <c r="E856" s="1" t="s">
        <v>14</v>
      </c>
      <c r="F856" s="1" t="s">
        <v>38</v>
      </c>
      <c r="G856" s="1" t="s">
        <v>16</v>
      </c>
      <c r="H856" s="1" t="s">
        <v>29</v>
      </c>
      <c r="I856" s="1" t="s">
        <v>26</v>
      </c>
      <c r="J856">
        <v>15</v>
      </c>
      <c r="K856">
        <v>25</v>
      </c>
      <c r="L856" s="1" t="s">
        <v>19</v>
      </c>
    </row>
    <row r="857" spans="1:12" x14ac:dyDescent="0.3">
      <c r="A857" s="1" t="s">
        <v>799</v>
      </c>
      <c r="B857" s="2">
        <v>46016</v>
      </c>
      <c r="C857" s="2">
        <v>46045</v>
      </c>
      <c r="D857" s="1" t="s">
        <v>23</v>
      </c>
      <c r="E857" s="1" t="s">
        <v>24</v>
      </c>
      <c r="F857" s="1" t="s">
        <v>15</v>
      </c>
      <c r="G857" s="1" t="s">
        <v>16</v>
      </c>
      <c r="H857" s="1" t="s">
        <v>25</v>
      </c>
      <c r="I857" s="1" t="s">
        <v>18</v>
      </c>
      <c r="J857">
        <v>45</v>
      </c>
      <c r="K857">
        <v>29</v>
      </c>
      <c r="L857" s="1" t="s">
        <v>21</v>
      </c>
    </row>
    <row r="858" spans="1:12" x14ac:dyDescent="0.3">
      <c r="A858" s="1" t="s">
        <v>847</v>
      </c>
      <c r="B858" s="2">
        <v>46016</v>
      </c>
      <c r="C858" s="2">
        <v>46096</v>
      </c>
      <c r="D858" s="1" t="s">
        <v>23</v>
      </c>
      <c r="E858" s="1" t="s">
        <v>14</v>
      </c>
      <c r="F858" s="1" t="s">
        <v>15</v>
      </c>
      <c r="G858" s="1" t="s">
        <v>53</v>
      </c>
      <c r="H858" s="1" t="s">
        <v>43</v>
      </c>
      <c r="I858" s="1" t="s">
        <v>18</v>
      </c>
      <c r="J858">
        <v>30</v>
      </c>
      <c r="K858">
        <v>80</v>
      </c>
      <c r="L858" s="1" t="s">
        <v>80</v>
      </c>
    </row>
    <row r="859" spans="1:12" x14ac:dyDescent="0.3">
      <c r="A859" s="1" t="s">
        <v>673</v>
      </c>
      <c r="B859" s="2">
        <v>46016</v>
      </c>
      <c r="C859" s="2">
        <v>46064</v>
      </c>
      <c r="D859" s="1" t="s">
        <v>37</v>
      </c>
      <c r="E859" s="1" t="s">
        <v>24</v>
      </c>
      <c r="F859" s="1" t="s">
        <v>15</v>
      </c>
      <c r="G859" s="1" t="s">
        <v>16</v>
      </c>
      <c r="H859" s="1" t="s">
        <v>39</v>
      </c>
      <c r="I859" s="1" t="s">
        <v>41</v>
      </c>
      <c r="J859">
        <v>30</v>
      </c>
      <c r="K859">
        <v>48</v>
      </c>
      <c r="L859" s="1" t="s">
        <v>44</v>
      </c>
    </row>
    <row r="860" spans="1:12" x14ac:dyDescent="0.3">
      <c r="A860" s="1" t="s">
        <v>3056</v>
      </c>
      <c r="B860" s="2">
        <v>46016</v>
      </c>
      <c r="C860" s="2">
        <v>46058</v>
      </c>
      <c r="D860" s="1" t="s">
        <v>37</v>
      </c>
      <c r="E860" s="1" t="s">
        <v>24</v>
      </c>
      <c r="F860" s="1" t="s">
        <v>15</v>
      </c>
      <c r="G860" s="1" t="s">
        <v>16</v>
      </c>
      <c r="H860" s="1" t="s">
        <v>49</v>
      </c>
      <c r="I860" s="1" t="s">
        <v>18</v>
      </c>
      <c r="J860">
        <v>30</v>
      </c>
      <c r="K860">
        <v>42</v>
      </c>
      <c r="L860" s="1" t="s">
        <v>21</v>
      </c>
    </row>
    <row r="861" spans="1:12" x14ac:dyDescent="0.3">
      <c r="A861" s="1" t="s">
        <v>418</v>
      </c>
      <c r="B861" s="2">
        <v>46016</v>
      </c>
      <c r="C861" s="2">
        <v>46050</v>
      </c>
      <c r="D861" s="1" t="s">
        <v>37</v>
      </c>
      <c r="E861" s="1" t="s">
        <v>24</v>
      </c>
      <c r="F861" s="1" t="s">
        <v>419</v>
      </c>
      <c r="G861" s="1" t="s">
        <v>33</v>
      </c>
      <c r="H861" s="1" t="s">
        <v>49</v>
      </c>
      <c r="I861" s="1" t="s">
        <v>18</v>
      </c>
      <c r="J861">
        <v>30</v>
      </c>
      <c r="K861">
        <v>34</v>
      </c>
      <c r="L861" s="1" t="s">
        <v>21</v>
      </c>
    </row>
    <row r="862" spans="1:12" x14ac:dyDescent="0.3">
      <c r="A862" s="1" t="s">
        <v>1044</v>
      </c>
      <c r="B862" s="2">
        <v>46016</v>
      </c>
      <c r="C862" s="2">
        <v>46051</v>
      </c>
      <c r="D862" s="1" t="s">
        <v>13</v>
      </c>
      <c r="E862" s="1" t="s">
        <v>24</v>
      </c>
      <c r="F862" s="1" t="s">
        <v>15</v>
      </c>
      <c r="G862" s="1" t="s">
        <v>16</v>
      </c>
      <c r="H862" s="1" t="s">
        <v>17</v>
      </c>
      <c r="I862" s="1" t="s">
        <v>41</v>
      </c>
      <c r="J862">
        <v>45</v>
      </c>
      <c r="K862">
        <v>35</v>
      </c>
      <c r="L862" s="1" t="s">
        <v>21</v>
      </c>
    </row>
    <row r="863" spans="1:12" x14ac:dyDescent="0.3">
      <c r="A863" s="1" t="s">
        <v>1644</v>
      </c>
      <c r="B863" s="2">
        <v>46016</v>
      </c>
      <c r="C863" s="2">
        <v>46060</v>
      </c>
      <c r="D863" s="1" t="s">
        <v>13</v>
      </c>
      <c r="E863" s="1" t="s">
        <v>24</v>
      </c>
      <c r="F863" s="1" t="s">
        <v>15</v>
      </c>
      <c r="G863" s="1" t="s">
        <v>16</v>
      </c>
      <c r="H863" s="1" t="s">
        <v>17</v>
      </c>
      <c r="I863" s="1" t="s">
        <v>26</v>
      </c>
      <c r="J863">
        <v>30</v>
      </c>
      <c r="K863">
        <v>44</v>
      </c>
      <c r="L863" s="1" t="s">
        <v>44</v>
      </c>
    </row>
    <row r="864" spans="1:12" x14ac:dyDescent="0.3">
      <c r="A864" s="1" t="s">
        <v>2100</v>
      </c>
      <c r="B864" s="2">
        <v>46016</v>
      </c>
      <c r="C864" s="2">
        <v>46038</v>
      </c>
      <c r="D864" s="1" t="s">
        <v>32</v>
      </c>
      <c r="E864" s="1" t="s">
        <v>24</v>
      </c>
      <c r="F864" s="1" t="s">
        <v>15</v>
      </c>
      <c r="G864" s="1" t="s">
        <v>16</v>
      </c>
      <c r="H864" s="1" t="s">
        <v>71</v>
      </c>
      <c r="I864" s="1" t="s">
        <v>41</v>
      </c>
      <c r="J864">
        <v>30</v>
      </c>
      <c r="K864">
        <v>22</v>
      </c>
      <c r="L864" s="1" t="s">
        <v>19</v>
      </c>
    </row>
    <row r="865" spans="1:12" x14ac:dyDescent="0.3">
      <c r="A865" s="1" t="s">
        <v>2386</v>
      </c>
      <c r="B865" s="2">
        <v>46016</v>
      </c>
      <c r="C865" s="2">
        <v>46046</v>
      </c>
      <c r="D865" s="1" t="s">
        <v>23</v>
      </c>
      <c r="E865" s="1" t="s">
        <v>24</v>
      </c>
      <c r="F865" s="1" t="s">
        <v>15</v>
      </c>
      <c r="G865" s="1" t="s">
        <v>53</v>
      </c>
      <c r="H865" s="1" t="s">
        <v>25</v>
      </c>
      <c r="I865" s="1" t="s">
        <v>26</v>
      </c>
      <c r="J865">
        <v>30</v>
      </c>
      <c r="K865">
        <v>30</v>
      </c>
      <c r="L865" s="1" t="s">
        <v>21</v>
      </c>
    </row>
    <row r="866" spans="1:12" x14ac:dyDescent="0.3">
      <c r="A866" s="1" t="s">
        <v>50</v>
      </c>
      <c r="B866" s="2">
        <v>46015</v>
      </c>
      <c r="C866" s="2">
        <v>46056</v>
      </c>
      <c r="D866" s="1" t="s">
        <v>13</v>
      </c>
      <c r="E866" s="1" t="s">
        <v>24</v>
      </c>
      <c r="F866" s="1" t="s">
        <v>38</v>
      </c>
      <c r="G866" s="1" t="s">
        <v>16</v>
      </c>
      <c r="H866" s="1" t="s">
        <v>17</v>
      </c>
      <c r="I866" s="1" t="s">
        <v>26</v>
      </c>
      <c r="J866">
        <v>30</v>
      </c>
      <c r="K866">
        <v>41</v>
      </c>
      <c r="L866" s="1" t="s">
        <v>21</v>
      </c>
    </row>
    <row r="867" spans="1:12" x14ac:dyDescent="0.3">
      <c r="A867" s="1" t="s">
        <v>599</v>
      </c>
      <c r="B867" s="2">
        <v>46015</v>
      </c>
      <c r="C867" s="2">
        <v>46051</v>
      </c>
      <c r="D867" s="1" t="s">
        <v>32</v>
      </c>
      <c r="E867" s="1" t="s">
        <v>24</v>
      </c>
      <c r="F867" s="1" t="s">
        <v>15</v>
      </c>
      <c r="G867" s="1" t="s">
        <v>33</v>
      </c>
      <c r="H867" s="1" t="s">
        <v>34</v>
      </c>
      <c r="I867" s="1" t="s">
        <v>41</v>
      </c>
      <c r="J867">
        <v>30</v>
      </c>
      <c r="K867">
        <v>36</v>
      </c>
      <c r="L867" s="1" t="s">
        <v>21</v>
      </c>
    </row>
    <row r="868" spans="1:12" x14ac:dyDescent="0.3">
      <c r="A868" s="1" t="s">
        <v>704</v>
      </c>
      <c r="B868" s="2">
        <v>46015</v>
      </c>
      <c r="C868" s="2">
        <v>46036</v>
      </c>
      <c r="D868" s="1" t="s">
        <v>23</v>
      </c>
      <c r="E868" s="1" t="s">
        <v>14</v>
      </c>
      <c r="F868" s="1" t="s">
        <v>15</v>
      </c>
      <c r="G868" s="1" t="s">
        <v>16</v>
      </c>
      <c r="H868" s="1" t="s">
        <v>25</v>
      </c>
      <c r="I868" s="1" t="s">
        <v>26</v>
      </c>
      <c r="J868">
        <v>15</v>
      </c>
      <c r="K868">
        <v>21</v>
      </c>
      <c r="L868" s="1" t="s">
        <v>19</v>
      </c>
    </row>
    <row r="869" spans="1:12" x14ac:dyDescent="0.3">
      <c r="A869" s="1" t="s">
        <v>928</v>
      </c>
      <c r="B869" s="2">
        <v>46015</v>
      </c>
      <c r="C869" s="2">
        <v>46096</v>
      </c>
      <c r="D869" s="1" t="s">
        <v>37</v>
      </c>
      <c r="E869" s="1" t="s">
        <v>14</v>
      </c>
      <c r="F869" s="1" t="s">
        <v>15</v>
      </c>
      <c r="G869" s="1" t="s">
        <v>53</v>
      </c>
      <c r="H869" s="1" t="s">
        <v>49</v>
      </c>
      <c r="I869" s="1" t="s">
        <v>18</v>
      </c>
      <c r="J869">
        <v>15</v>
      </c>
      <c r="K869">
        <v>81</v>
      </c>
      <c r="L869" s="1" t="s">
        <v>80</v>
      </c>
    </row>
    <row r="870" spans="1:12" x14ac:dyDescent="0.3">
      <c r="A870" s="1" t="s">
        <v>1633</v>
      </c>
      <c r="B870" s="2">
        <v>46015</v>
      </c>
      <c r="C870" s="2">
        <v>46054</v>
      </c>
      <c r="D870" s="1" t="s">
        <v>37</v>
      </c>
      <c r="E870" s="1" t="s">
        <v>14</v>
      </c>
      <c r="F870" s="1" t="s">
        <v>15</v>
      </c>
      <c r="G870" s="1" t="s">
        <v>16</v>
      </c>
      <c r="H870" s="1" t="s">
        <v>39</v>
      </c>
      <c r="I870" s="1" t="s">
        <v>26</v>
      </c>
      <c r="J870">
        <v>30</v>
      </c>
      <c r="K870">
        <v>39</v>
      </c>
      <c r="L870" s="1" t="s">
        <v>21</v>
      </c>
    </row>
    <row r="871" spans="1:12" x14ac:dyDescent="0.3">
      <c r="A871" s="1" t="s">
        <v>1274</v>
      </c>
      <c r="B871" s="2">
        <v>46015</v>
      </c>
      <c r="C871" s="2">
        <v>46048</v>
      </c>
      <c r="D871" s="1" t="s">
        <v>32</v>
      </c>
      <c r="E871" s="1" t="s">
        <v>14</v>
      </c>
      <c r="F871" s="1" t="s">
        <v>15</v>
      </c>
      <c r="G871" s="1" t="s">
        <v>16</v>
      </c>
      <c r="H871" s="1" t="s">
        <v>34</v>
      </c>
      <c r="I871" s="1" t="s">
        <v>26</v>
      </c>
      <c r="J871">
        <v>30</v>
      </c>
      <c r="K871">
        <v>33</v>
      </c>
      <c r="L871" s="1" t="s">
        <v>21</v>
      </c>
    </row>
    <row r="872" spans="1:12" x14ac:dyDescent="0.3">
      <c r="A872" s="1" t="s">
        <v>1391</v>
      </c>
      <c r="B872" s="2">
        <v>46015</v>
      </c>
      <c r="C872" s="2">
        <v>46028</v>
      </c>
      <c r="D872" s="1" t="s">
        <v>28</v>
      </c>
      <c r="E872" s="1" t="s">
        <v>24</v>
      </c>
      <c r="F872" s="1" t="s">
        <v>15</v>
      </c>
      <c r="G872" s="1" t="s">
        <v>16</v>
      </c>
      <c r="H872" s="1" t="s">
        <v>54</v>
      </c>
      <c r="I872" s="1" t="s">
        <v>26</v>
      </c>
      <c r="J872">
        <v>30</v>
      </c>
      <c r="K872">
        <v>13</v>
      </c>
      <c r="L872" s="1" t="s">
        <v>30</v>
      </c>
    </row>
    <row r="873" spans="1:12" x14ac:dyDescent="0.3">
      <c r="A873" s="1" t="s">
        <v>1615</v>
      </c>
      <c r="B873" s="2">
        <v>46015</v>
      </c>
      <c r="C873" s="2">
        <v>46050</v>
      </c>
      <c r="D873" s="1" t="s">
        <v>13</v>
      </c>
      <c r="E873" s="1" t="s">
        <v>14</v>
      </c>
      <c r="F873" s="1" t="s">
        <v>15</v>
      </c>
      <c r="G873" s="1" t="s">
        <v>16</v>
      </c>
      <c r="H873" s="1" t="s">
        <v>47</v>
      </c>
      <c r="I873" s="1" t="s">
        <v>26</v>
      </c>
      <c r="J873">
        <v>15</v>
      </c>
      <c r="K873">
        <v>35</v>
      </c>
      <c r="L873" s="1" t="s">
        <v>21</v>
      </c>
    </row>
    <row r="874" spans="1:12" x14ac:dyDescent="0.3">
      <c r="A874" s="1" t="s">
        <v>1902</v>
      </c>
      <c r="B874" s="2">
        <v>46015</v>
      </c>
      <c r="C874" s="2">
        <v>46072</v>
      </c>
      <c r="D874" s="1" t="s">
        <v>28</v>
      </c>
      <c r="E874" s="1" t="s">
        <v>24</v>
      </c>
      <c r="F874" s="1" t="s">
        <v>15</v>
      </c>
      <c r="G874" s="1" t="s">
        <v>53</v>
      </c>
      <c r="H874" s="1" t="s">
        <v>29</v>
      </c>
      <c r="I874" s="1" t="s">
        <v>41</v>
      </c>
      <c r="J874">
        <v>30</v>
      </c>
      <c r="K874">
        <v>57</v>
      </c>
      <c r="L874" s="1" t="s">
        <v>80</v>
      </c>
    </row>
    <row r="875" spans="1:12" x14ac:dyDescent="0.3">
      <c r="A875" s="1" t="s">
        <v>2099</v>
      </c>
      <c r="B875" s="2">
        <v>46015</v>
      </c>
      <c r="C875" s="2">
        <v>46071</v>
      </c>
      <c r="D875" s="1" t="s">
        <v>32</v>
      </c>
      <c r="E875" s="1" t="s">
        <v>14</v>
      </c>
      <c r="F875" s="1" t="s">
        <v>15</v>
      </c>
      <c r="G875" s="1" t="s">
        <v>16</v>
      </c>
      <c r="H875" s="1" t="s">
        <v>34</v>
      </c>
      <c r="I875" s="1" t="s">
        <v>41</v>
      </c>
      <c r="J875">
        <v>30</v>
      </c>
      <c r="K875">
        <v>56</v>
      </c>
      <c r="L875" s="1" t="s">
        <v>44</v>
      </c>
    </row>
    <row r="876" spans="1:12" x14ac:dyDescent="0.3">
      <c r="A876" s="1" t="s">
        <v>2442</v>
      </c>
      <c r="B876" s="2">
        <v>46015</v>
      </c>
      <c r="C876" s="2">
        <v>46035</v>
      </c>
      <c r="D876" s="1" t="s">
        <v>32</v>
      </c>
      <c r="E876" s="1" t="s">
        <v>14</v>
      </c>
      <c r="F876" s="1" t="s">
        <v>15</v>
      </c>
      <c r="G876" s="1" t="s">
        <v>16</v>
      </c>
      <c r="H876" s="1" t="s">
        <v>34</v>
      </c>
      <c r="I876" s="1" t="s">
        <v>26</v>
      </c>
      <c r="J876">
        <v>15</v>
      </c>
      <c r="K876">
        <v>20</v>
      </c>
      <c r="L876" s="1" t="s">
        <v>19</v>
      </c>
    </row>
    <row r="877" spans="1:12" x14ac:dyDescent="0.3">
      <c r="A877" s="1" t="s">
        <v>3007</v>
      </c>
      <c r="B877" s="2">
        <v>46015</v>
      </c>
      <c r="C877" s="2">
        <v>46068</v>
      </c>
      <c r="D877" s="1" t="s">
        <v>23</v>
      </c>
      <c r="E877" s="1" t="s">
        <v>14</v>
      </c>
      <c r="F877" s="1" t="s">
        <v>15</v>
      </c>
      <c r="G877" s="1" t="s">
        <v>16</v>
      </c>
      <c r="H877" s="1" t="s">
        <v>25</v>
      </c>
      <c r="I877" s="1" t="s">
        <v>26</v>
      </c>
      <c r="J877">
        <v>30</v>
      </c>
      <c r="K877">
        <v>53</v>
      </c>
      <c r="L877" s="1" t="s">
        <v>44</v>
      </c>
    </row>
    <row r="878" spans="1:12" x14ac:dyDescent="0.3">
      <c r="A878" s="1" t="s">
        <v>1075</v>
      </c>
      <c r="B878" s="2">
        <v>46014</v>
      </c>
      <c r="C878" s="2">
        <v>46057</v>
      </c>
      <c r="D878" s="1" t="s">
        <v>37</v>
      </c>
      <c r="E878" s="1" t="s">
        <v>14</v>
      </c>
      <c r="F878" s="1" t="s">
        <v>38</v>
      </c>
      <c r="G878" s="1" t="s">
        <v>16</v>
      </c>
      <c r="H878" s="1" t="s">
        <v>39</v>
      </c>
      <c r="I878" s="1" t="s">
        <v>26</v>
      </c>
      <c r="J878">
        <v>15</v>
      </c>
      <c r="K878">
        <v>43</v>
      </c>
      <c r="L878" s="1" t="s">
        <v>44</v>
      </c>
    </row>
    <row r="879" spans="1:12" x14ac:dyDescent="0.3">
      <c r="A879" s="1" t="s">
        <v>1051</v>
      </c>
      <c r="B879" s="2">
        <v>46014</v>
      </c>
      <c r="C879" s="2">
        <v>46016</v>
      </c>
      <c r="D879" s="1" t="s">
        <v>13</v>
      </c>
      <c r="E879" s="1" t="s">
        <v>24</v>
      </c>
      <c r="F879" s="1" t="s">
        <v>15</v>
      </c>
      <c r="G879" s="1" t="s">
        <v>16</v>
      </c>
      <c r="H879" s="1" t="s">
        <v>17</v>
      </c>
      <c r="I879" s="1" t="s">
        <v>41</v>
      </c>
      <c r="J879">
        <v>30</v>
      </c>
      <c r="K879">
        <v>2</v>
      </c>
      <c r="L879" s="1" t="s">
        <v>30</v>
      </c>
    </row>
    <row r="880" spans="1:12" x14ac:dyDescent="0.3">
      <c r="A880" s="1" t="s">
        <v>1260</v>
      </c>
      <c r="B880" s="2">
        <v>46014</v>
      </c>
      <c r="C880" s="2">
        <v>46040</v>
      </c>
      <c r="D880" s="1" t="s">
        <v>13</v>
      </c>
      <c r="E880" s="1" t="s">
        <v>24</v>
      </c>
      <c r="F880" s="1" t="s">
        <v>38</v>
      </c>
      <c r="G880" s="1" t="s">
        <v>16</v>
      </c>
      <c r="H880" s="1" t="s">
        <v>47</v>
      </c>
      <c r="I880" s="1" t="s">
        <v>41</v>
      </c>
      <c r="J880">
        <v>30</v>
      </c>
      <c r="K880">
        <v>26</v>
      </c>
      <c r="L880" s="1" t="s">
        <v>19</v>
      </c>
    </row>
    <row r="881" spans="1:12" x14ac:dyDescent="0.3">
      <c r="A881" s="1" t="s">
        <v>1756</v>
      </c>
      <c r="B881" s="2">
        <v>46014</v>
      </c>
      <c r="C881" s="2">
        <v>46042</v>
      </c>
      <c r="D881" s="1" t="s">
        <v>32</v>
      </c>
      <c r="E881" s="1" t="s">
        <v>24</v>
      </c>
      <c r="F881" s="1" t="s">
        <v>15</v>
      </c>
      <c r="G881" s="1" t="s">
        <v>16</v>
      </c>
      <c r="H881" s="1" t="s">
        <v>34</v>
      </c>
      <c r="I881" s="1" t="s">
        <v>41</v>
      </c>
      <c r="J881">
        <v>30</v>
      </c>
      <c r="K881">
        <v>28</v>
      </c>
      <c r="L881" s="1" t="s">
        <v>19</v>
      </c>
    </row>
    <row r="882" spans="1:12" x14ac:dyDescent="0.3">
      <c r="A882" s="1" t="s">
        <v>1766</v>
      </c>
      <c r="B882" s="2">
        <v>46014</v>
      </c>
      <c r="C882" s="2">
        <v>46072</v>
      </c>
      <c r="D882" s="1" t="s">
        <v>23</v>
      </c>
      <c r="E882" s="1" t="s">
        <v>14</v>
      </c>
      <c r="F882" s="1" t="s">
        <v>15</v>
      </c>
      <c r="G882" s="1" t="s">
        <v>16</v>
      </c>
      <c r="H882" s="1" t="s">
        <v>25</v>
      </c>
      <c r="I882" s="1" t="s">
        <v>18</v>
      </c>
      <c r="J882">
        <v>15</v>
      </c>
      <c r="K882">
        <v>58</v>
      </c>
      <c r="L882" s="1" t="s">
        <v>80</v>
      </c>
    </row>
    <row r="883" spans="1:12" x14ac:dyDescent="0.3">
      <c r="A883" s="1" t="s">
        <v>2129</v>
      </c>
      <c r="B883" s="2">
        <v>46014</v>
      </c>
      <c r="C883" s="2">
        <v>46074</v>
      </c>
      <c r="D883" s="1" t="s">
        <v>23</v>
      </c>
      <c r="E883" s="1" t="s">
        <v>24</v>
      </c>
      <c r="F883" s="1" t="s">
        <v>15</v>
      </c>
      <c r="G883" s="1" t="s">
        <v>53</v>
      </c>
      <c r="H883" s="1" t="s">
        <v>25</v>
      </c>
      <c r="I883" s="1" t="s">
        <v>18</v>
      </c>
      <c r="J883">
        <v>30</v>
      </c>
      <c r="K883">
        <v>60</v>
      </c>
      <c r="L883" s="1" t="s">
        <v>80</v>
      </c>
    </row>
    <row r="884" spans="1:12" x14ac:dyDescent="0.3">
      <c r="A884" s="1" t="s">
        <v>3073</v>
      </c>
      <c r="B884" s="2">
        <v>46014</v>
      </c>
      <c r="C884" s="2">
        <v>46064</v>
      </c>
      <c r="D884" s="1" t="s">
        <v>28</v>
      </c>
      <c r="E884" s="1" t="s">
        <v>14</v>
      </c>
      <c r="F884" s="1" t="s">
        <v>15</v>
      </c>
      <c r="G884" s="1" t="s">
        <v>16</v>
      </c>
      <c r="H884" s="1" t="s">
        <v>54</v>
      </c>
      <c r="I884" s="1" t="s">
        <v>41</v>
      </c>
      <c r="J884">
        <v>15</v>
      </c>
      <c r="K884">
        <v>50</v>
      </c>
      <c r="L884" s="1" t="s">
        <v>44</v>
      </c>
    </row>
    <row r="885" spans="1:12" x14ac:dyDescent="0.3">
      <c r="A885" s="1" t="s">
        <v>773</v>
      </c>
      <c r="B885" s="2">
        <v>46013</v>
      </c>
      <c r="C885" s="2">
        <v>46056</v>
      </c>
      <c r="D885" s="1" t="s">
        <v>28</v>
      </c>
      <c r="E885" s="1" t="s">
        <v>14</v>
      </c>
      <c r="F885" s="1" t="s">
        <v>15</v>
      </c>
      <c r="G885" s="1" t="s">
        <v>16</v>
      </c>
      <c r="H885" s="1" t="s">
        <v>54</v>
      </c>
      <c r="I885" s="1" t="s">
        <v>41</v>
      </c>
      <c r="J885">
        <v>15</v>
      </c>
      <c r="K885">
        <v>43</v>
      </c>
      <c r="L885" s="1" t="s">
        <v>44</v>
      </c>
    </row>
    <row r="886" spans="1:12" x14ac:dyDescent="0.3">
      <c r="A886" s="1" t="s">
        <v>779</v>
      </c>
      <c r="B886" s="2">
        <v>46013</v>
      </c>
      <c r="C886" s="2">
        <v>46094</v>
      </c>
      <c r="D886" s="1" t="s">
        <v>32</v>
      </c>
      <c r="E886" s="1" t="s">
        <v>14</v>
      </c>
      <c r="F886" s="1" t="s">
        <v>15</v>
      </c>
      <c r="G886" s="1" t="s">
        <v>16</v>
      </c>
      <c r="H886" s="1" t="s">
        <v>34</v>
      </c>
      <c r="I886" s="1" t="s">
        <v>26</v>
      </c>
      <c r="J886">
        <v>15</v>
      </c>
      <c r="K886">
        <v>81</v>
      </c>
      <c r="L886" s="1" t="s">
        <v>80</v>
      </c>
    </row>
    <row r="887" spans="1:12" x14ac:dyDescent="0.3">
      <c r="A887" s="1" t="s">
        <v>802</v>
      </c>
      <c r="B887" s="2">
        <v>46013</v>
      </c>
      <c r="C887" s="2">
        <v>46043</v>
      </c>
      <c r="D887" s="1" t="s">
        <v>32</v>
      </c>
      <c r="E887" s="1" t="s">
        <v>14</v>
      </c>
      <c r="F887" s="1" t="s">
        <v>15</v>
      </c>
      <c r="G887" s="1" t="s">
        <v>16</v>
      </c>
      <c r="H887" s="1" t="s">
        <v>34</v>
      </c>
      <c r="I887" s="1" t="s">
        <v>26</v>
      </c>
      <c r="J887">
        <v>15</v>
      </c>
      <c r="K887">
        <v>30</v>
      </c>
      <c r="L887" s="1" t="s">
        <v>21</v>
      </c>
    </row>
    <row r="888" spans="1:12" x14ac:dyDescent="0.3">
      <c r="A888" s="1" t="s">
        <v>358</v>
      </c>
      <c r="B888" s="2">
        <v>46013</v>
      </c>
      <c r="C888" s="2">
        <v>46061</v>
      </c>
      <c r="D888" s="1" t="s">
        <v>37</v>
      </c>
      <c r="E888" s="1" t="s">
        <v>24</v>
      </c>
      <c r="F888" s="1" t="s">
        <v>15</v>
      </c>
      <c r="G888" s="1" t="s">
        <v>16</v>
      </c>
      <c r="H888" s="1" t="s">
        <v>49</v>
      </c>
      <c r="I888" s="1" t="s">
        <v>18</v>
      </c>
      <c r="J888">
        <v>30</v>
      </c>
      <c r="K888">
        <v>48</v>
      </c>
      <c r="L888" s="1" t="s">
        <v>44</v>
      </c>
    </row>
    <row r="889" spans="1:12" x14ac:dyDescent="0.3">
      <c r="A889" s="1" t="s">
        <v>2733</v>
      </c>
      <c r="B889" s="2">
        <v>46013</v>
      </c>
      <c r="C889" s="2">
        <v>46043</v>
      </c>
      <c r="D889" s="1" t="s">
        <v>37</v>
      </c>
      <c r="E889" s="1" t="s">
        <v>14</v>
      </c>
      <c r="F889" s="1" t="s">
        <v>15</v>
      </c>
      <c r="G889" s="1" t="s">
        <v>16</v>
      </c>
      <c r="H889" s="1" t="s">
        <v>49</v>
      </c>
      <c r="I889" s="1" t="s">
        <v>26</v>
      </c>
      <c r="J889">
        <v>15</v>
      </c>
      <c r="K889">
        <v>30</v>
      </c>
      <c r="L889" s="1" t="s">
        <v>21</v>
      </c>
    </row>
    <row r="890" spans="1:12" x14ac:dyDescent="0.3">
      <c r="A890" s="1" t="s">
        <v>2615</v>
      </c>
      <c r="B890" s="2">
        <v>46013</v>
      </c>
      <c r="C890" s="2">
        <v>46054</v>
      </c>
      <c r="D890" s="1" t="s">
        <v>13</v>
      </c>
      <c r="E890" s="1" t="s">
        <v>14</v>
      </c>
      <c r="F890" s="1" t="s">
        <v>15</v>
      </c>
      <c r="G890" s="1" t="s">
        <v>16</v>
      </c>
      <c r="H890" s="1" t="s">
        <v>17</v>
      </c>
      <c r="I890" s="1" t="s">
        <v>41</v>
      </c>
      <c r="J890">
        <v>15</v>
      </c>
      <c r="K890">
        <v>41</v>
      </c>
      <c r="L890" s="1" t="s">
        <v>21</v>
      </c>
    </row>
    <row r="891" spans="1:12" x14ac:dyDescent="0.3">
      <c r="A891" s="1" t="s">
        <v>2751</v>
      </c>
      <c r="B891" s="2">
        <v>46013</v>
      </c>
      <c r="C891" s="2">
        <v>46068</v>
      </c>
      <c r="D891" s="1" t="s">
        <v>23</v>
      </c>
      <c r="E891" s="1" t="s">
        <v>14</v>
      </c>
      <c r="F891" s="1" t="s">
        <v>15</v>
      </c>
      <c r="G891" s="1" t="s">
        <v>16</v>
      </c>
      <c r="H891" s="1" t="s">
        <v>43</v>
      </c>
      <c r="I891" s="1" t="s">
        <v>26</v>
      </c>
      <c r="J891">
        <v>15</v>
      </c>
      <c r="K891">
        <v>55</v>
      </c>
      <c r="L891" s="1" t="s">
        <v>44</v>
      </c>
    </row>
    <row r="892" spans="1:12" x14ac:dyDescent="0.3">
      <c r="A892" s="1" t="s">
        <v>718</v>
      </c>
      <c r="B892" s="2">
        <v>46012</v>
      </c>
      <c r="C892" s="2">
        <v>46028</v>
      </c>
      <c r="D892" s="1" t="s">
        <v>23</v>
      </c>
      <c r="E892" s="1" t="s">
        <v>14</v>
      </c>
      <c r="F892" s="1" t="s">
        <v>38</v>
      </c>
      <c r="G892" s="1" t="s">
        <v>16</v>
      </c>
      <c r="H892" s="1" t="s">
        <v>43</v>
      </c>
      <c r="I892" s="1" t="s">
        <v>41</v>
      </c>
      <c r="J892">
        <v>30</v>
      </c>
      <c r="K892">
        <v>16</v>
      </c>
      <c r="L892" s="1" t="s">
        <v>19</v>
      </c>
    </row>
    <row r="893" spans="1:12" x14ac:dyDescent="0.3">
      <c r="A893" s="1" t="s">
        <v>755</v>
      </c>
      <c r="B893" s="2">
        <v>46012</v>
      </c>
      <c r="C893" s="2">
        <v>46058</v>
      </c>
      <c r="D893" s="1" t="s">
        <v>28</v>
      </c>
      <c r="E893" s="1" t="s">
        <v>14</v>
      </c>
      <c r="F893" s="1" t="s">
        <v>38</v>
      </c>
      <c r="G893" s="1" t="s">
        <v>16</v>
      </c>
      <c r="H893" s="1" t="s">
        <v>54</v>
      </c>
      <c r="I893" s="1" t="s">
        <v>18</v>
      </c>
      <c r="J893">
        <v>30</v>
      </c>
      <c r="K893">
        <v>46</v>
      </c>
      <c r="L893" s="1" t="s">
        <v>44</v>
      </c>
    </row>
    <row r="894" spans="1:12" x14ac:dyDescent="0.3">
      <c r="A894" s="1" t="s">
        <v>359</v>
      </c>
      <c r="B894" s="2">
        <v>46012</v>
      </c>
      <c r="C894" s="2">
        <v>46079</v>
      </c>
      <c r="D894" s="1" t="s">
        <v>37</v>
      </c>
      <c r="E894" s="1" t="s">
        <v>14</v>
      </c>
      <c r="F894" s="1" t="s">
        <v>15</v>
      </c>
      <c r="G894" s="1" t="s">
        <v>16</v>
      </c>
      <c r="H894" s="1" t="s">
        <v>39</v>
      </c>
      <c r="I894" s="1" t="s">
        <v>41</v>
      </c>
      <c r="J894">
        <v>15</v>
      </c>
      <c r="K894">
        <v>67</v>
      </c>
      <c r="L894" s="1" t="s">
        <v>80</v>
      </c>
    </row>
    <row r="895" spans="1:12" x14ac:dyDescent="0.3">
      <c r="A895" s="1" t="s">
        <v>1921</v>
      </c>
      <c r="B895" s="2">
        <v>46012</v>
      </c>
      <c r="C895" s="2">
        <v>46041</v>
      </c>
      <c r="D895" s="1" t="s">
        <v>37</v>
      </c>
      <c r="E895" s="1" t="s">
        <v>14</v>
      </c>
      <c r="F895" s="1" t="s">
        <v>15</v>
      </c>
      <c r="G895" s="1" t="s">
        <v>16</v>
      </c>
      <c r="H895" s="1" t="s">
        <v>39</v>
      </c>
      <c r="I895" s="1" t="s">
        <v>26</v>
      </c>
      <c r="J895">
        <v>15</v>
      </c>
      <c r="K895">
        <v>29</v>
      </c>
      <c r="L895" s="1" t="s">
        <v>21</v>
      </c>
    </row>
    <row r="896" spans="1:12" x14ac:dyDescent="0.3">
      <c r="A896" s="1" t="s">
        <v>3089</v>
      </c>
      <c r="B896" s="2">
        <v>46012</v>
      </c>
      <c r="C896" s="2">
        <v>46027</v>
      </c>
      <c r="D896" s="1" t="s">
        <v>37</v>
      </c>
      <c r="E896" s="1" t="s">
        <v>14</v>
      </c>
      <c r="F896" s="1" t="s">
        <v>15</v>
      </c>
      <c r="G896" s="1" t="s">
        <v>33</v>
      </c>
      <c r="H896" s="1" t="s">
        <v>39</v>
      </c>
      <c r="I896" s="1" t="s">
        <v>18</v>
      </c>
      <c r="J896">
        <v>15</v>
      </c>
      <c r="K896">
        <v>15</v>
      </c>
      <c r="L896" s="1" t="s">
        <v>19</v>
      </c>
    </row>
    <row r="897" spans="1:12" x14ac:dyDescent="0.3">
      <c r="A897" s="1" t="s">
        <v>1712</v>
      </c>
      <c r="B897" s="2">
        <v>46012</v>
      </c>
      <c r="C897" s="2">
        <v>46020</v>
      </c>
      <c r="D897" s="1" t="s">
        <v>28</v>
      </c>
      <c r="E897" s="1" t="s">
        <v>14</v>
      </c>
      <c r="F897" s="1" t="s">
        <v>15</v>
      </c>
      <c r="G897" s="1" t="s">
        <v>16</v>
      </c>
      <c r="H897" s="1" t="s">
        <v>29</v>
      </c>
      <c r="I897" s="1" t="s">
        <v>18</v>
      </c>
      <c r="J897">
        <v>15</v>
      </c>
      <c r="K897">
        <v>8</v>
      </c>
      <c r="L897" s="1" t="s">
        <v>30</v>
      </c>
    </row>
    <row r="898" spans="1:12" x14ac:dyDescent="0.3">
      <c r="A898" s="1" t="s">
        <v>1827</v>
      </c>
      <c r="B898" s="2">
        <v>46012</v>
      </c>
      <c r="C898" s="2">
        <v>46020</v>
      </c>
      <c r="D898" s="1" t="s">
        <v>23</v>
      </c>
      <c r="E898" s="1" t="s">
        <v>24</v>
      </c>
      <c r="F898" s="1" t="s">
        <v>15</v>
      </c>
      <c r="G898" s="1" t="s">
        <v>53</v>
      </c>
      <c r="H898" s="1" t="s">
        <v>43</v>
      </c>
      <c r="I898" s="1" t="s">
        <v>26</v>
      </c>
      <c r="J898">
        <v>30</v>
      </c>
      <c r="K898">
        <v>8</v>
      </c>
      <c r="L898" s="1" t="s">
        <v>30</v>
      </c>
    </row>
    <row r="899" spans="1:12" x14ac:dyDescent="0.3">
      <c r="A899" s="1" t="s">
        <v>2060</v>
      </c>
      <c r="B899" s="2">
        <v>46012</v>
      </c>
      <c r="C899" s="2">
        <v>46050</v>
      </c>
      <c r="D899" s="1" t="s">
        <v>23</v>
      </c>
      <c r="E899" s="1" t="s">
        <v>14</v>
      </c>
      <c r="F899" s="1" t="s">
        <v>15</v>
      </c>
      <c r="G899" s="1" t="s">
        <v>16</v>
      </c>
      <c r="H899" s="1" t="s">
        <v>25</v>
      </c>
      <c r="I899" s="1" t="s">
        <v>18</v>
      </c>
      <c r="J899">
        <v>30</v>
      </c>
      <c r="K899">
        <v>38</v>
      </c>
      <c r="L899" s="1" t="s">
        <v>21</v>
      </c>
    </row>
    <row r="900" spans="1:12" x14ac:dyDescent="0.3">
      <c r="A900" s="1" t="s">
        <v>2310</v>
      </c>
      <c r="B900" s="2">
        <v>46012</v>
      </c>
      <c r="C900" s="2">
        <v>46051</v>
      </c>
      <c r="D900" s="1" t="s">
        <v>32</v>
      </c>
      <c r="E900" s="1" t="s">
        <v>14</v>
      </c>
      <c r="F900" s="1" t="s">
        <v>15</v>
      </c>
      <c r="G900" s="1" t="s">
        <v>16</v>
      </c>
      <c r="H900" s="1" t="s">
        <v>71</v>
      </c>
      <c r="I900" s="1" t="s">
        <v>26</v>
      </c>
      <c r="J900">
        <v>30</v>
      </c>
      <c r="K900">
        <v>39</v>
      </c>
      <c r="L900" s="1" t="s">
        <v>21</v>
      </c>
    </row>
    <row r="901" spans="1:12" x14ac:dyDescent="0.3">
      <c r="A901" s="1" t="s">
        <v>723</v>
      </c>
      <c r="B901" s="2">
        <v>46011</v>
      </c>
      <c r="C901" s="2">
        <v>46068</v>
      </c>
      <c r="D901" s="1" t="s">
        <v>32</v>
      </c>
      <c r="E901" s="1" t="s">
        <v>24</v>
      </c>
      <c r="F901" s="1" t="s">
        <v>15</v>
      </c>
      <c r="G901" s="1" t="s">
        <v>16</v>
      </c>
      <c r="H901" s="1" t="s">
        <v>34</v>
      </c>
      <c r="I901" s="1" t="s">
        <v>26</v>
      </c>
      <c r="J901">
        <v>30</v>
      </c>
      <c r="K901">
        <v>57</v>
      </c>
      <c r="L901" s="1" t="s">
        <v>80</v>
      </c>
    </row>
    <row r="902" spans="1:12" x14ac:dyDescent="0.3">
      <c r="A902" s="1" t="s">
        <v>835</v>
      </c>
      <c r="B902" s="2">
        <v>46011</v>
      </c>
      <c r="C902" s="2">
        <v>46045</v>
      </c>
      <c r="D902" s="1" t="s">
        <v>32</v>
      </c>
      <c r="E902" s="1" t="s">
        <v>14</v>
      </c>
      <c r="F902" s="1" t="s">
        <v>15</v>
      </c>
      <c r="G902" s="1" t="s">
        <v>16</v>
      </c>
      <c r="H902" s="1" t="s">
        <v>34</v>
      </c>
      <c r="I902" s="1" t="s">
        <v>26</v>
      </c>
      <c r="J902">
        <v>15</v>
      </c>
      <c r="K902">
        <v>34</v>
      </c>
      <c r="L902" s="1" t="s">
        <v>21</v>
      </c>
    </row>
    <row r="903" spans="1:12" x14ac:dyDescent="0.3">
      <c r="A903" s="1" t="s">
        <v>503</v>
      </c>
      <c r="B903" s="2">
        <v>46011</v>
      </c>
      <c r="C903" s="2">
        <v>46046</v>
      </c>
      <c r="D903" s="1" t="s">
        <v>37</v>
      </c>
      <c r="E903" s="1" t="s">
        <v>24</v>
      </c>
      <c r="F903" s="1" t="s">
        <v>15</v>
      </c>
      <c r="G903" s="1" t="s">
        <v>16</v>
      </c>
      <c r="H903" s="1" t="s">
        <v>39</v>
      </c>
      <c r="I903" s="1" t="s">
        <v>26</v>
      </c>
      <c r="J903">
        <v>30</v>
      </c>
      <c r="K903">
        <v>35</v>
      </c>
      <c r="L903" s="1" t="s">
        <v>21</v>
      </c>
    </row>
    <row r="904" spans="1:12" x14ac:dyDescent="0.3">
      <c r="A904" s="1" t="s">
        <v>1161</v>
      </c>
      <c r="B904" s="2">
        <v>46011</v>
      </c>
      <c r="C904" s="2">
        <v>46014</v>
      </c>
      <c r="D904" s="1" t="s">
        <v>28</v>
      </c>
      <c r="E904" s="1" t="s">
        <v>14</v>
      </c>
      <c r="F904" s="1" t="s">
        <v>15</v>
      </c>
      <c r="G904" s="1" t="s">
        <v>16</v>
      </c>
      <c r="H904" s="1" t="s">
        <v>29</v>
      </c>
      <c r="I904" s="1" t="s">
        <v>26</v>
      </c>
      <c r="J904">
        <v>15</v>
      </c>
      <c r="K904">
        <v>3</v>
      </c>
      <c r="L904" s="1" t="s">
        <v>30</v>
      </c>
    </row>
    <row r="905" spans="1:12" x14ac:dyDescent="0.3">
      <c r="A905" s="1" t="s">
        <v>1179</v>
      </c>
      <c r="B905" s="2">
        <v>46011</v>
      </c>
      <c r="C905" s="2">
        <v>46054</v>
      </c>
      <c r="D905" s="1" t="s">
        <v>23</v>
      </c>
      <c r="E905" s="1" t="s">
        <v>24</v>
      </c>
      <c r="F905" s="1" t="s">
        <v>15</v>
      </c>
      <c r="G905" s="1" t="s">
        <v>16</v>
      </c>
      <c r="H905" s="1" t="s">
        <v>25</v>
      </c>
      <c r="I905" s="1" t="s">
        <v>26</v>
      </c>
      <c r="J905">
        <v>45</v>
      </c>
      <c r="K905">
        <v>43</v>
      </c>
      <c r="L905" s="1" t="s">
        <v>44</v>
      </c>
    </row>
    <row r="906" spans="1:12" x14ac:dyDescent="0.3">
      <c r="A906" s="1" t="s">
        <v>1640</v>
      </c>
      <c r="B906" s="2">
        <v>46011</v>
      </c>
      <c r="C906" s="2">
        <v>46041</v>
      </c>
      <c r="D906" s="1" t="s">
        <v>23</v>
      </c>
      <c r="E906" s="1" t="s">
        <v>24</v>
      </c>
      <c r="F906" s="1" t="s">
        <v>15</v>
      </c>
      <c r="G906" s="1" t="s">
        <v>16</v>
      </c>
      <c r="H906" s="1" t="s">
        <v>43</v>
      </c>
      <c r="I906" s="1" t="s">
        <v>26</v>
      </c>
      <c r="J906">
        <v>30</v>
      </c>
      <c r="K906">
        <v>30</v>
      </c>
      <c r="L906" s="1" t="s">
        <v>21</v>
      </c>
    </row>
    <row r="907" spans="1:12" x14ac:dyDescent="0.3">
      <c r="A907" s="1" t="s">
        <v>2109</v>
      </c>
      <c r="B907" s="2">
        <v>46011</v>
      </c>
      <c r="C907" s="2">
        <v>46046</v>
      </c>
      <c r="D907" s="1" t="s">
        <v>13</v>
      </c>
      <c r="E907" s="1" t="s">
        <v>14</v>
      </c>
      <c r="F907" s="1" t="s">
        <v>15</v>
      </c>
      <c r="G907" s="1" t="s">
        <v>53</v>
      </c>
      <c r="H907" s="1" t="s">
        <v>47</v>
      </c>
      <c r="I907" s="1" t="s">
        <v>41</v>
      </c>
      <c r="J907">
        <v>30</v>
      </c>
      <c r="K907">
        <v>35</v>
      </c>
      <c r="L907" s="1" t="s">
        <v>21</v>
      </c>
    </row>
    <row r="908" spans="1:12" x14ac:dyDescent="0.3">
      <c r="A908" s="1" t="s">
        <v>2640</v>
      </c>
      <c r="B908" s="2">
        <v>46011</v>
      </c>
      <c r="C908" s="2">
        <v>46070</v>
      </c>
      <c r="D908" s="1" t="s">
        <v>28</v>
      </c>
      <c r="E908" s="1" t="s">
        <v>14</v>
      </c>
      <c r="F908" s="1" t="s">
        <v>15</v>
      </c>
      <c r="G908" s="1" t="s">
        <v>16</v>
      </c>
      <c r="H908" s="1" t="s">
        <v>54</v>
      </c>
      <c r="I908" s="1" t="s">
        <v>41</v>
      </c>
      <c r="J908">
        <v>15</v>
      </c>
      <c r="K908">
        <v>59</v>
      </c>
      <c r="L908" s="1" t="s">
        <v>80</v>
      </c>
    </row>
    <row r="909" spans="1:12" x14ac:dyDescent="0.3">
      <c r="A909" s="1" t="s">
        <v>2897</v>
      </c>
      <c r="B909" s="2">
        <v>46011</v>
      </c>
      <c r="C909" s="2">
        <v>46043</v>
      </c>
      <c r="D909" s="1" t="s">
        <v>13</v>
      </c>
      <c r="E909" s="1" t="s">
        <v>14</v>
      </c>
      <c r="F909" s="1" t="s">
        <v>38</v>
      </c>
      <c r="G909" s="1" t="s">
        <v>16</v>
      </c>
      <c r="H909" s="1" t="s">
        <v>17</v>
      </c>
      <c r="I909" s="1" t="s">
        <v>26</v>
      </c>
      <c r="J909">
        <v>15</v>
      </c>
      <c r="K909">
        <v>32</v>
      </c>
      <c r="L909" s="1" t="s">
        <v>21</v>
      </c>
    </row>
    <row r="910" spans="1:12" x14ac:dyDescent="0.3">
      <c r="A910" s="1" t="s">
        <v>2901</v>
      </c>
      <c r="B910" s="2">
        <v>46011</v>
      </c>
      <c r="C910" s="2">
        <v>46052</v>
      </c>
      <c r="D910" s="1" t="s">
        <v>32</v>
      </c>
      <c r="E910" s="1" t="s">
        <v>14</v>
      </c>
      <c r="F910" s="1" t="s">
        <v>15</v>
      </c>
      <c r="G910" s="1" t="s">
        <v>53</v>
      </c>
      <c r="H910" s="1" t="s">
        <v>71</v>
      </c>
      <c r="I910" s="1" t="s">
        <v>41</v>
      </c>
      <c r="J910">
        <v>15</v>
      </c>
      <c r="K910">
        <v>41</v>
      </c>
      <c r="L910" s="1" t="s">
        <v>21</v>
      </c>
    </row>
    <row r="911" spans="1:12" x14ac:dyDescent="0.3">
      <c r="A911" s="1" t="s">
        <v>215</v>
      </c>
      <c r="B911" s="2">
        <v>46010</v>
      </c>
      <c r="C911" s="2">
        <v>46019</v>
      </c>
      <c r="D911" s="1" t="s">
        <v>28</v>
      </c>
      <c r="E911" s="1" t="s">
        <v>24</v>
      </c>
      <c r="F911" s="1" t="s">
        <v>38</v>
      </c>
      <c r="G911" s="1" t="s">
        <v>16</v>
      </c>
      <c r="H911" s="1" t="s">
        <v>54</v>
      </c>
      <c r="I911" s="1" t="s">
        <v>26</v>
      </c>
      <c r="J911">
        <v>30</v>
      </c>
      <c r="K911">
        <v>9</v>
      </c>
      <c r="L911" s="1" t="s">
        <v>30</v>
      </c>
    </row>
    <row r="912" spans="1:12" x14ac:dyDescent="0.3">
      <c r="A912" s="1" t="s">
        <v>266</v>
      </c>
      <c r="B912" s="2">
        <v>46010</v>
      </c>
      <c r="C912" s="2">
        <v>46057</v>
      </c>
      <c r="D912" s="1" t="s">
        <v>23</v>
      </c>
      <c r="E912" s="1" t="s">
        <v>24</v>
      </c>
      <c r="F912" s="1" t="s">
        <v>15</v>
      </c>
      <c r="G912" s="1" t="s">
        <v>16</v>
      </c>
      <c r="H912" s="1" t="s">
        <v>43</v>
      </c>
      <c r="I912" s="1" t="s">
        <v>18</v>
      </c>
      <c r="J912">
        <v>30</v>
      </c>
      <c r="K912">
        <v>47</v>
      </c>
      <c r="L912" s="1" t="s">
        <v>44</v>
      </c>
    </row>
    <row r="913" spans="1:12" x14ac:dyDescent="0.3">
      <c r="A913" s="1" t="s">
        <v>739</v>
      </c>
      <c r="B913" s="2">
        <v>46010</v>
      </c>
      <c r="C913" s="2">
        <v>46050</v>
      </c>
      <c r="D913" s="1" t="s">
        <v>13</v>
      </c>
      <c r="E913" s="1" t="s">
        <v>14</v>
      </c>
      <c r="F913" s="1" t="s">
        <v>15</v>
      </c>
      <c r="G913" s="1" t="s">
        <v>16</v>
      </c>
      <c r="H913" s="1" t="s">
        <v>17</v>
      </c>
      <c r="I913" s="1" t="s">
        <v>26</v>
      </c>
      <c r="J913">
        <v>30</v>
      </c>
      <c r="K913">
        <v>40</v>
      </c>
      <c r="L913" s="1" t="s">
        <v>21</v>
      </c>
    </row>
    <row r="914" spans="1:12" x14ac:dyDescent="0.3">
      <c r="A914" s="1" t="s">
        <v>769</v>
      </c>
      <c r="B914" s="2">
        <v>46010</v>
      </c>
      <c r="C914" s="2">
        <v>46057</v>
      </c>
      <c r="D914" s="1" t="s">
        <v>28</v>
      </c>
      <c r="E914" s="1" t="s">
        <v>14</v>
      </c>
      <c r="F914" s="1" t="s">
        <v>15</v>
      </c>
      <c r="G914" s="1" t="s">
        <v>16</v>
      </c>
      <c r="H914" s="1" t="s">
        <v>29</v>
      </c>
      <c r="I914" s="1" t="s">
        <v>18</v>
      </c>
      <c r="J914">
        <v>30</v>
      </c>
      <c r="K914">
        <v>47</v>
      </c>
      <c r="L914" s="1" t="s">
        <v>44</v>
      </c>
    </row>
    <row r="915" spans="1:12" x14ac:dyDescent="0.3">
      <c r="A915" s="1" t="s">
        <v>1250</v>
      </c>
      <c r="B915" s="2">
        <v>46010</v>
      </c>
      <c r="C915" s="2">
        <v>46076</v>
      </c>
      <c r="D915" s="1" t="s">
        <v>37</v>
      </c>
      <c r="E915" s="1" t="s">
        <v>24</v>
      </c>
      <c r="F915" s="1" t="s">
        <v>15</v>
      </c>
      <c r="G915" s="1" t="s">
        <v>16</v>
      </c>
      <c r="H915" s="1" t="s">
        <v>39</v>
      </c>
      <c r="I915" s="1" t="s">
        <v>41</v>
      </c>
      <c r="J915">
        <v>30</v>
      </c>
      <c r="K915">
        <v>66</v>
      </c>
      <c r="L915" s="1" t="s">
        <v>80</v>
      </c>
    </row>
    <row r="916" spans="1:12" x14ac:dyDescent="0.3">
      <c r="A916" s="1" t="s">
        <v>437</v>
      </c>
      <c r="B916" s="2">
        <v>46010</v>
      </c>
      <c r="C916" s="2">
        <v>46048</v>
      </c>
      <c r="D916" s="1" t="s">
        <v>37</v>
      </c>
      <c r="E916" s="1" t="s">
        <v>24</v>
      </c>
      <c r="F916" s="1" t="s">
        <v>15</v>
      </c>
      <c r="G916" s="1" t="s">
        <v>33</v>
      </c>
      <c r="H916" s="1" t="s">
        <v>49</v>
      </c>
      <c r="I916" s="1" t="s">
        <v>41</v>
      </c>
      <c r="J916">
        <v>45</v>
      </c>
      <c r="K916">
        <v>38</v>
      </c>
      <c r="L916" s="1" t="s">
        <v>21</v>
      </c>
    </row>
    <row r="917" spans="1:12" x14ac:dyDescent="0.3">
      <c r="A917" s="1" t="s">
        <v>2835</v>
      </c>
      <c r="B917" s="2">
        <v>46010</v>
      </c>
      <c r="C917" s="2">
        <v>46046</v>
      </c>
      <c r="D917" s="1" t="s">
        <v>37</v>
      </c>
      <c r="E917" s="1" t="s">
        <v>14</v>
      </c>
      <c r="F917" s="1" t="s">
        <v>15</v>
      </c>
      <c r="G917" s="1" t="s">
        <v>16</v>
      </c>
      <c r="H917" s="1" t="s">
        <v>49</v>
      </c>
      <c r="I917" s="1" t="s">
        <v>26</v>
      </c>
      <c r="J917">
        <v>15</v>
      </c>
      <c r="K917">
        <v>36</v>
      </c>
      <c r="L917" s="1" t="s">
        <v>21</v>
      </c>
    </row>
    <row r="918" spans="1:12" x14ac:dyDescent="0.3">
      <c r="A918" s="1" t="s">
        <v>1945</v>
      </c>
      <c r="B918" s="2">
        <v>46010</v>
      </c>
      <c r="C918" s="2">
        <v>46021</v>
      </c>
      <c r="D918" s="1" t="s">
        <v>37</v>
      </c>
      <c r="E918" s="1" t="s">
        <v>24</v>
      </c>
      <c r="F918" s="1" t="s">
        <v>15</v>
      </c>
      <c r="G918" s="1" t="s">
        <v>53</v>
      </c>
      <c r="H918" s="1" t="s">
        <v>17</v>
      </c>
      <c r="I918" s="1" t="s">
        <v>18</v>
      </c>
      <c r="J918">
        <v>30</v>
      </c>
      <c r="K918">
        <v>11</v>
      </c>
      <c r="L918" s="1" t="s">
        <v>30</v>
      </c>
    </row>
    <row r="919" spans="1:12" x14ac:dyDescent="0.3">
      <c r="A919" s="1" t="s">
        <v>1683</v>
      </c>
      <c r="B919" s="2">
        <v>46010</v>
      </c>
      <c r="C919" s="2">
        <v>46034</v>
      </c>
      <c r="D919" s="1" t="s">
        <v>23</v>
      </c>
      <c r="E919" s="1" t="s">
        <v>14</v>
      </c>
      <c r="F919" s="1" t="s">
        <v>15</v>
      </c>
      <c r="G919" s="1" t="s">
        <v>53</v>
      </c>
      <c r="H919" s="1" t="s">
        <v>43</v>
      </c>
      <c r="I919" s="1" t="s">
        <v>26</v>
      </c>
      <c r="J919">
        <v>15</v>
      </c>
      <c r="K919">
        <v>24</v>
      </c>
      <c r="L919" s="1" t="s">
        <v>19</v>
      </c>
    </row>
    <row r="920" spans="1:12" x14ac:dyDescent="0.3">
      <c r="A920" s="1" t="s">
        <v>2106</v>
      </c>
      <c r="B920" s="2">
        <v>46010</v>
      </c>
      <c r="C920" s="2">
        <v>46063</v>
      </c>
      <c r="D920" s="1" t="s">
        <v>28</v>
      </c>
      <c r="E920" s="1" t="s">
        <v>14</v>
      </c>
      <c r="F920" s="1" t="s">
        <v>15</v>
      </c>
      <c r="G920" s="1" t="s">
        <v>16</v>
      </c>
      <c r="H920" s="1" t="s">
        <v>29</v>
      </c>
      <c r="I920" s="1" t="s">
        <v>26</v>
      </c>
      <c r="J920">
        <v>15</v>
      </c>
      <c r="K920">
        <v>53</v>
      </c>
      <c r="L920" s="1" t="s">
        <v>44</v>
      </c>
    </row>
    <row r="921" spans="1:12" x14ac:dyDescent="0.3">
      <c r="A921" s="1" t="s">
        <v>2980</v>
      </c>
      <c r="B921" s="2">
        <v>46010</v>
      </c>
      <c r="C921" s="2">
        <v>46012</v>
      </c>
      <c r="D921" s="1" t="s">
        <v>13</v>
      </c>
      <c r="E921" s="1" t="s">
        <v>14</v>
      </c>
      <c r="F921" s="1" t="s">
        <v>15</v>
      </c>
      <c r="G921" s="1" t="s">
        <v>16</v>
      </c>
      <c r="H921" s="1" t="s">
        <v>17</v>
      </c>
      <c r="I921" s="1" t="s">
        <v>18</v>
      </c>
      <c r="J921">
        <v>30</v>
      </c>
      <c r="K921">
        <v>2</v>
      </c>
      <c r="L921" s="1" t="s">
        <v>30</v>
      </c>
    </row>
    <row r="922" spans="1:12" x14ac:dyDescent="0.3">
      <c r="A922" s="1" t="s">
        <v>52</v>
      </c>
      <c r="B922" s="2">
        <v>46009</v>
      </c>
      <c r="C922" s="2">
        <v>46017</v>
      </c>
      <c r="D922" s="1" t="s">
        <v>28</v>
      </c>
      <c r="E922" s="1" t="s">
        <v>24</v>
      </c>
      <c r="F922" s="1" t="s">
        <v>15</v>
      </c>
      <c r="G922" s="1" t="s">
        <v>53</v>
      </c>
      <c r="H922" s="1" t="s">
        <v>54</v>
      </c>
      <c r="I922" s="1" t="s">
        <v>18</v>
      </c>
      <c r="J922">
        <v>45</v>
      </c>
      <c r="K922">
        <v>8</v>
      </c>
      <c r="L922" s="1" t="s">
        <v>30</v>
      </c>
    </row>
    <row r="923" spans="1:12" x14ac:dyDescent="0.3">
      <c r="A923" s="1" t="s">
        <v>816</v>
      </c>
      <c r="B923" s="2">
        <v>46009</v>
      </c>
      <c r="C923" s="2">
        <v>46043</v>
      </c>
      <c r="D923" s="1" t="s">
        <v>28</v>
      </c>
      <c r="E923" s="1" t="s">
        <v>24</v>
      </c>
      <c r="F923" s="1" t="s">
        <v>15</v>
      </c>
      <c r="G923" s="1" t="s">
        <v>16</v>
      </c>
      <c r="H923" s="1" t="s">
        <v>29</v>
      </c>
      <c r="I923" s="1" t="s">
        <v>18</v>
      </c>
      <c r="J923">
        <v>45</v>
      </c>
      <c r="K923">
        <v>34</v>
      </c>
      <c r="L923" s="1" t="s">
        <v>21</v>
      </c>
    </row>
    <row r="924" spans="1:12" x14ac:dyDescent="0.3">
      <c r="A924" s="1" t="s">
        <v>3023</v>
      </c>
      <c r="B924" s="2">
        <v>46009</v>
      </c>
      <c r="C924" s="2">
        <v>46063</v>
      </c>
      <c r="D924" s="1" t="s">
        <v>37</v>
      </c>
      <c r="E924" s="1" t="s">
        <v>14</v>
      </c>
      <c r="F924" s="1" t="s">
        <v>15</v>
      </c>
      <c r="G924" s="1" t="s">
        <v>16</v>
      </c>
      <c r="H924" s="1" t="s">
        <v>39</v>
      </c>
      <c r="I924" s="1" t="s">
        <v>26</v>
      </c>
      <c r="J924">
        <v>30</v>
      </c>
      <c r="K924">
        <v>54</v>
      </c>
      <c r="L924" s="1" t="s">
        <v>44</v>
      </c>
    </row>
    <row r="925" spans="1:12" x14ac:dyDescent="0.3">
      <c r="A925" s="1" t="s">
        <v>2061</v>
      </c>
      <c r="B925" s="2">
        <v>46009</v>
      </c>
      <c r="C925" s="2">
        <v>46054</v>
      </c>
      <c r="D925" s="1" t="s">
        <v>37</v>
      </c>
      <c r="E925" s="1" t="s">
        <v>24</v>
      </c>
      <c r="F925" s="1" t="s">
        <v>15</v>
      </c>
      <c r="G925" s="1" t="s">
        <v>16</v>
      </c>
      <c r="H925" s="1" t="s">
        <v>39</v>
      </c>
      <c r="I925" s="1" t="s">
        <v>26</v>
      </c>
      <c r="J925">
        <v>30</v>
      </c>
      <c r="K925">
        <v>45</v>
      </c>
      <c r="L925" s="1" t="s">
        <v>44</v>
      </c>
    </row>
    <row r="926" spans="1:12" x14ac:dyDescent="0.3">
      <c r="A926" s="1" t="s">
        <v>1374</v>
      </c>
      <c r="B926" s="2">
        <v>46009</v>
      </c>
      <c r="C926" s="2">
        <v>46051</v>
      </c>
      <c r="D926" s="1" t="s">
        <v>37</v>
      </c>
      <c r="E926" s="1" t="s">
        <v>14</v>
      </c>
      <c r="F926" s="1" t="s">
        <v>38</v>
      </c>
      <c r="G926" s="1" t="s">
        <v>16</v>
      </c>
      <c r="H926" s="1" t="s">
        <v>49</v>
      </c>
      <c r="I926" s="1" t="s">
        <v>41</v>
      </c>
      <c r="J926">
        <v>30</v>
      </c>
      <c r="K926">
        <v>42</v>
      </c>
      <c r="L926" s="1" t="s">
        <v>21</v>
      </c>
    </row>
    <row r="927" spans="1:12" x14ac:dyDescent="0.3">
      <c r="A927" s="1" t="s">
        <v>277</v>
      </c>
      <c r="B927" s="2">
        <v>46009</v>
      </c>
      <c r="C927" s="2">
        <v>46038</v>
      </c>
      <c r="D927" s="1" t="s">
        <v>37</v>
      </c>
      <c r="E927" s="1" t="s">
        <v>24</v>
      </c>
      <c r="F927" s="1" t="s">
        <v>15</v>
      </c>
      <c r="G927" s="1" t="s">
        <v>16</v>
      </c>
      <c r="H927" s="1" t="s">
        <v>49</v>
      </c>
      <c r="I927" s="1" t="s">
        <v>41</v>
      </c>
      <c r="J927">
        <v>30</v>
      </c>
      <c r="K927">
        <v>29</v>
      </c>
      <c r="L927" s="1" t="s">
        <v>21</v>
      </c>
    </row>
    <row r="928" spans="1:12" x14ac:dyDescent="0.3">
      <c r="A928" s="1" t="s">
        <v>1717</v>
      </c>
      <c r="B928" s="2">
        <v>46009</v>
      </c>
      <c r="C928" s="2">
        <v>46035</v>
      </c>
      <c r="D928" s="1" t="s">
        <v>37</v>
      </c>
      <c r="E928" s="1" t="s">
        <v>24</v>
      </c>
      <c r="F928" s="1" t="s">
        <v>15</v>
      </c>
      <c r="G928" s="1" t="s">
        <v>16</v>
      </c>
      <c r="H928" s="1" t="s">
        <v>49</v>
      </c>
      <c r="I928" s="1" t="s">
        <v>41</v>
      </c>
      <c r="J928">
        <v>45</v>
      </c>
      <c r="K928">
        <v>26</v>
      </c>
      <c r="L928" s="1" t="s">
        <v>19</v>
      </c>
    </row>
    <row r="929" spans="1:12" x14ac:dyDescent="0.3">
      <c r="A929" s="1" t="s">
        <v>218</v>
      </c>
      <c r="B929" s="2">
        <v>46009</v>
      </c>
      <c r="C929" s="2">
        <v>46019</v>
      </c>
      <c r="D929" s="1" t="s">
        <v>37</v>
      </c>
      <c r="E929" s="1" t="s">
        <v>14</v>
      </c>
      <c r="F929" s="1" t="s">
        <v>15</v>
      </c>
      <c r="G929" s="1" t="s">
        <v>16</v>
      </c>
      <c r="H929" s="1" t="s">
        <v>39</v>
      </c>
      <c r="I929" s="1" t="s">
        <v>18</v>
      </c>
      <c r="J929">
        <v>15</v>
      </c>
      <c r="K929">
        <v>10</v>
      </c>
      <c r="L929" s="1" t="s">
        <v>30</v>
      </c>
    </row>
    <row r="930" spans="1:12" x14ac:dyDescent="0.3">
      <c r="A930" s="1" t="s">
        <v>1792</v>
      </c>
      <c r="B930" s="2">
        <v>46009</v>
      </c>
      <c r="C930" s="2">
        <v>46036</v>
      </c>
      <c r="D930" s="1" t="s">
        <v>28</v>
      </c>
      <c r="E930" s="1" t="s">
        <v>14</v>
      </c>
      <c r="F930" s="1" t="s">
        <v>15</v>
      </c>
      <c r="G930" s="1" t="s">
        <v>53</v>
      </c>
      <c r="H930" s="1" t="s">
        <v>54</v>
      </c>
      <c r="I930" s="1" t="s">
        <v>18</v>
      </c>
      <c r="J930">
        <v>15</v>
      </c>
      <c r="K930">
        <v>27</v>
      </c>
      <c r="L930" s="1" t="s">
        <v>19</v>
      </c>
    </row>
    <row r="931" spans="1:12" x14ac:dyDescent="0.3">
      <c r="A931" s="1" t="s">
        <v>2173</v>
      </c>
      <c r="B931" s="2">
        <v>46009</v>
      </c>
      <c r="C931" s="2">
        <v>46056</v>
      </c>
      <c r="D931" s="1" t="s">
        <v>23</v>
      </c>
      <c r="E931" s="1" t="s">
        <v>24</v>
      </c>
      <c r="F931" s="1" t="s">
        <v>15</v>
      </c>
      <c r="G931" s="1" t="s">
        <v>16</v>
      </c>
      <c r="H931" s="1" t="s">
        <v>25</v>
      </c>
      <c r="I931" s="1" t="s">
        <v>26</v>
      </c>
      <c r="J931">
        <v>30</v>
      </c>
      <c r="K931">
        <v>47</v>
      </c>
      <c r="L931" s="1" t="s">
        <v>44</v>
      </c>
    </row>
    <row r="932" spans="1:12" x14ac:dyDescent="0.3">
      <c r="A932" s="1" t="s">
        <v>3011</v>
      </c>
      <c r="B932" s="2">
        <v>46009</v>
      </c>
      <c r="C932" s="2">
        <v>46031</v>
      </c>
      <c r="D932" s="1" t="s">
        <v>28</v>
      </c>
      <c r="E932" s="1" t="s">
        <v>14</v>
      </c>
      <c r="F932" s="1" t="s">
        <v>15</v>
      </c>
      <c r="G932" s="1" t="s">
        <v>16</v>
      </c>
      <c r="H932" s="1" t="s">
        <v>29</v>
      </c>
      <c r="I932" s="1" t="s">
        <v>26</v>
      </c>
      <c r="J932">
        <v>15</v>
      </c>
      <c r="K932">
        <v>22</v>
      </c>
      <c r="L932" s="1" t="s">
        <v>19</v>
      </c>
    </row>
    <row r="933" spans="1:12" x14ac:dyDescent="0.3">
      <c r="A933" s="1" t="s">
        <v>3027</v>
      </c>
      <c r="B933" s="2">
        <v>46009</v>
      </c>
      <c r="C933" s="2">
        <v>46054</v>
      </c>
      <c r="D933" s="1" t="s">
        <v>23</v>
      </c>
      <c r="E933" s="1" t="s">
        <v>24</v>
      </c>
      <c r="F933" s="1" t="s">
        <v>15</v>
      </c>
      <c r="G933" s="1" t="s">
        <v>53</v>
      </c>
      <c r="H933" s="1" t="s">
        <v>25</v>
      </c>
      <c r="I933" s="1" t="s">
        <v>18</v>
      </c>
      <c r="J933">
        <v>30</v>
      </c>
      <c r="K933">
        <v>45</v>
      </c>
      <c r="L933" s="1" t="s">
        <v>44</v>
      </c>
    </row>
    <row r="934" spans="1:12" x14ac:dyDescent="0.3">
      <c r="A934" s="1" t="s">
        <v>3135</v>
      </c>
      <c r="B934" s="2">
        <v>46009</v>
      </c>
      <c r="C934" s="2">
        <v>46051</v>
      </c>
      <c r="D934" s="1" t="s">
        <v>32</v>
      </c>
      <c r="E934" s="1" t="s">
        <v>24</v>
      </c>
      <c r="F934" s="1" t="s">
        <v>15</v>
      </c>
      <c r="G934" s="1" t="s">
        <v>16</v>
      </c>
      <c r="H934" s="1" t="s">
        <v>34</v>
      </c>
      <c r="I934" s="1" t="s">
        <v>26</v>
      </c>
      <c r="J934">
        <v>45</v>
      </c>
      <c r="K934">
        <v>42</v>
      </c>
      <c r="L934" s="1" t="s">
        <v>21</v>
      </c>
    </row>
    <row r="935" spans="1:12" x14ac:dyDescent="0.3">
      <c r="A935" s="1" t="s">
        <v>253</v>
      </c>
      <c r="B935" s="2">
        <v>46008</v>
      </c>
      <c r="C935" s="2">
        <v>46044</v>
      </c>
      <c r="D935" s="1" t="s">
        <v>13</v>
      </c>
      <c r="E935" s="1" t="s">
        <v>24</v>
      </c>
      <c r="F935" s="1" t="s">
        <v>15</v>
      </c>
      <c r="G935" s="1" t="s">
        <v>33</v>
      </c>
      <c r="H935" s="1" t="s">
        <v>17</v>
      </c>
      <c r="I935" s="1" t="s">
        <v>41</v>
      </c>
      <c r="J935">
        <v>30</v>
      </c>
      <c r="K935">
        <v>36</v>
      </c>
      <c r="L935" s="1" t="s">
        <v>21</v>
      </c>
    </row>
    <row r="936" spans="1:12" x14ac:dyDescent="0.3">
      <c r="A936" s="1" t="s">
        <v>472</v>
      </c>
      <c r="B936" s="2">
        <v>46008</v>
      </c>
      <c r="C936" s="2">
        <v>46018</v>
      </c>
      <c r="D936" s="1" t="s">
        <v>13</v>
      </c>
      <c r="E936" s="1" t="s">
        <v>24</v>
      </c>
      <c r="F936" s="1" t="s">
        <v>15</v>
      </c>
      <c r="G936" s="1" t="s">
        <v>16</v>
      </c>
      <c r="H936" s="1" t="s">
        <v>17</v>
      </c>
      <c r="I936" s="1" t="s">
        <v>41</v>
      </c>
      <c r="J936">
        <v>30</v>
      </c>
      <c r="K936">
        <v>10</v>
      </c>
      <c r="L936" s="1" t="s">
        <v>30</v>
      </c>
    </row>
    <row r="937" spans="1:12" x14ac:dyDescent="0.3">
      <c r="A937" s="1" t="s">
        <v>2983</v>
      </c>
      <c r="B937" s="2">
        <v>46008</v>
      </c>
      <c r="C937" s="2">
        <v>46016</v>
      </c>
      <c r="D937" s="1" t="s">
        <v>37</v>
      </c>
      <c r="E937" s="1" t="s">
        <v>24</v>
      </c>
      <c r="F937" s="1" t="s">
        <v>15</v>
      </c>
      <c r="G937" s="1" t="s">
        <v>16</v>
      </c>
      <c r="H937" s="1" t="s">
        <v>49</v>
      </c>
      <c r="I937" s="1" t="s">
        <v>26</v>
      </c>
      <c r="J937">
        <v>30</v>
      </c>
      <c r="K937">
        <v>8</v>
      </c>
      <c r="L937" s="1" t="s">
        <v>30</v>
      </c>
    </row>
    <row r="938" spans="1:12" x14ac:dyDescent="0.3">
      <c r="A938" s="1" t="s">
        <v>2097</v>
      </c>
      <c r="B938" s="2">
        <v>46008</v>
      </c>
      <c r="C938" s="2">
        <v>46010</v>
      </c>
      <c r="D938" s="1" t="s">
        <v>28</v>
      </c>
      <c r="E938" s="1" t="s">
        <v>14</v>
      </c>
      <c r="F938" s="1" t="s">
        <v>15</v>
      </c>
      <c r="G938" s="1" t="s">
        <v>33</v>
      </c>
      <c r="H938" s="1" t="s">
        <v>29</v>
      </c>
      <c r="I938" s="1" t="s">
        <v>41</v>
      </c>
      <c r="J938">
        <v>15</v>
      </c>
      <c r="K938">
        <v>2</v>
      </c>
      <c r="L938" s="1" t="s">
        <v>30</v>
      </c>
    </row>
    <row r="939" spans="1:12" x14ac:dyDescent="0.3">
      <c r="A939" s="1" t="s">
        <v>2337</v>
      </c>
      <c r="B939" s="2">
        <v>46008</v>
      </c>
      <c r="C939" s="2">
        <v>46044</v>
      </c>
      <c r="D939" s="1" t="s">
        <v>32</v>
      </c>
      <c r="E939" s="1" t="s">
        <v>24</v>
      </c>
      <c r="F939" s="1" t="s">
        <v>38</v>
      </c>
      <c r="G939" s="1" t="s">
        <v>53</v>
      </c>
      <c r="H939" s="1" t="s">
        <v>71</v>
      </c>
      <c r="I939" s="1" t="s">
        <v>18</v>
      </c>
      <c r="J939">
        <v>30</v>
      </c>
      <c r="K939">
        <v>36</v>
      </c>
      <c r="L939" s="1" t="s">
        <v>21</v>
      </c>
    </row>
    <row r="940" spans="1:12" x14ac:dyDescent="0.3">
      <c r="A940" s="1" t="s">
        <v>2395</v>
      </c>
      <c r="B940" s="2">
        <v>46008</v>
      </c>
      <c r="C940" s="2">
        <v>46034</v>
      </c>
      <c r="D940" s="1" t="s">
        <v>13</v>
      </c>
      <c r="E940" s="1" t="s">
        <v>24</v>
      </c>
      <c r="F940" s="1" t="s">
        <v>15</v>
      </c>
      <c r="G940" s="1" t="s">
        <v>16</v>
      </c>
      <c r="H940" s="1" t="s">
        <v>17</v>
      </c>
      <c r="I940" s="1" t="s">
        <v>26</v>
      </c>
      <c r="J940">
        <v>30</v>
      </c>
      <c r="K940">
        <v>26</v>
      </c>
      <c r="L940" s="1" t="s">
        <v>19</v>
      </c>
    </row>
    <row r="941" spans="1:12" x14ac:dyDescent="0.3">
      <c r="A941" s="1" t="s">
        <v>1239</v>
      </c>
      <c r="B941" s="2">
        <v>46007</v>
      </c>
      <c r="C941" s="2">
        <v>46053</v>
      </c>
      <c r="D941" s="1" t="s">
        <v>37</v>
      </c>
      <c r="E941" s="1" t="s">
        <v>14</v>
      </c>
      <c r="F941" s="1" t="s">
        <v>15</v>
      </c>
      <c r="G941" s="1" t="s">
        <v>16</v>
      </c>
      <c r="H941" s="1" t="s">
        <v>39</v>
      </c>
      <c r="I941" s="1" t="s">
        <v>41</v>
      </c>
      <c r="J941">
        <v>15</v>
      </c>
      <c r="K941">
        <v>46</v>
      </c>
      <c r="L941" s="1" t="s">
        <v>44</v>
      </c>
    </row>
    <row r="942" spans="1:12" x14ac:dyDescent="0.3">
      <c r="A942" s="1" t="s">
        <v>3193</v>
      </c>
      <c r="B942" s="2">
        <v>46007</v>
      </c>
      <c r="C942" s="2">
        <v>46049</v>
      </c>
      <c r="D942" s="1" t="s">
        <v>37</v>
      </c>
      <c r="E942" s="1" t="s">
        <v>14</v>
      </c>
      <c r="F942" s="1" t="s">
        <v>15</v>
      </c>
      <c r="G942" s="1" t="s">
        <v>53</v>
      </c>
      <c r="H942" s="1" t="s">
        <v>49</v>
      </c>
      <c r="I942" s="1" t="s">
        <v>18</v>
      </c>
      <c r="J942">
        <v>15</v>
      </c>
      <c r="K942">
        <v>42</v>
      </c>
      <c r="L942" s="1" t="s">
        <v>21</v>
      </c>
    </row>
    <row r="943" spans="1:12" x14ac:dyDescent="0.3">
      <c r="A943" s="1" t="s">
        <v>1564</v>
      </c>
      <c r="B943" s="2">
        <v>46007</v>
      </c>
      <c r="C943" s="2">
        <v>46022</v>
      </c>
      <c r="D943" s="1" t="s">
        <v>37</v>
      </c>
      <c r="E943" s="1" t="s">
        <v>14</v>
      </c>
      <c r="F943" s="1" t="s">
        <v>15</v>
      </c>
      <c r="G943" s="1" t="s">
        <v>16</v>
      </c>
      <c r="H943" s="1" t="s">
        <v>39</v>
      </c>
      <c r="I943" s="1" t="s">
        <v>26</v>
      </c>
      <c r="J943">
        <v>15</v>
      </c>
      <c r="K943">
        <v>15</v>
      </c>
      <c r="L943" s="1" t="s">
        <v>19</v>
      </c>
    </row>
    <row r="944" spans="1:12" x14ac:dyDescent="0.3">
      <c r="A944" s="1" t="s">
        <v>1318</v>
      </c>
      <c r="B944" s="2">
        <v>46007</v>
      </c>
      <c r="C944" s="2">
        <v>46040</v>
      </c>
      <c r="D944" s="1" t="s">
        <v>13</v>
      </c>
      <c r="E944" s="1" t="s">
        <v>14</v>
      </c>
      <c r="F944" s="1" t="s">
        <v>15</v>
      </c>
      <c r="G944" s="1" t="s">
        <v>16</v>
      </c>
      <c r="H944" s="1" t="s">
        <v>17</v>
      </c>
      <c r="I944" s="1" t="s">
        <v>18</v>
      </c>
      <c r="J944">
        <v>15</v>
      </c>
      <c r="K944">
        <v>33</v>
      </c>
      <c r="L944" s="1" t="s">
        <v>21</v>
      </c>
    </row>
    <row r="945" spans="1:12" x14ac:dyDescent="0.3">
      <c r="A945" s="1" t="s">
        <v>583</v>
      </c>
      <c r="B945" s="2">
        <v>46006</v>
      </c>
      <c r="C945" s="2">
        <v>46045</v>
      </c>
      <c r="D945" s="1" t="s">
        <v>23</v>
      </c>
      <c r="E945" s="1" t="s">
        <v>24</v>
      </c>
      <c r="F945" s="1" t="s">
        <v>15</v>
      </c>
      <c r="G945" s="1" t="s">
        <v>16</v>
      </c>
      <c r="H945" s="1" t="s">
        <v>25</v>
      </c>
      <c r="I945" s="1" t="s">
        <v>18</v>
      </c>
      <c r="J945">
        <v>30</v>
      </c>
      <c r="K945">
        <v>39</v>
      </c>
      <c r="L945" s="1" t="s">
        <v>21</v>
      </c>
    </row>
    <row r="946" spans="1:12" x14ac:dyDescent="0.3">
      <c r="A946" s="1" t="s">
        <v>934</v>
      </c>
      <c r="B946" s="2">
        <v>46006</v>
      </c>
      <c r="C946" s="2">
        <v>46033</v>
      </c>
      <c r="D946" s="1" t="s">
        <v>32</v>
      </c>
      <c r="E946" s="1" t="s">
        <v>14</v>
      </c>
      <c r="F946" s="1" t="s">
        <v>15</v>
      </c>
      <c r="G946" s="1" t="s">
        <v>16</v>
      </c>
      <c r="H946" s="1" t="s">
        <v>34</v>
      </c>
      <c r="I946" s="1" t="s">
        <v>26</v>
      </c>
      <c r="J946">
        <v>15</v>
      </c>
      <c r="K946">
        <v>27</v>
      </c>
      <c r="L946" s="1" t="s">
        <v>19</v>
      </c>
    </row>
    <row r="947" spans="1:12" x14ac:dyDescent="0.3">
      <c r="A947" s="1" t="s">
        <v>2287</v>
      </c>
      <c r="B947" s="2">
        <v>46006</v>
      </c>
      <c r="C947" s="2">
        <v>46058</v>
      </c>
      <c r="D947" s="1" t="s">
        <v>37</v>
      </c>
      <c r="E947" s="1" t="s">
        <v>24</v>
      </c>
      <c r="F947" s="1" t="s">
        <v>15</v>
      </c>
      <c r="G947" s="1" t="s">
        <v>16</v>
      </c>
      <c r="H947" s="1" t="s">
        <v>39</v>
      </c>
      <c r="I947" s="1" t="s">
        <v>26</v>
      </c>
      <c r="J947">
        <v>30</v>
      </c>
      <c r="K947">
        <v>52</v>
      </c>
      <c r="L947" s="1" t="s">
        <v>44</v>
      </c>
    </row>
    <row r="948" spans="1:12" x14ac:dyDescent="0.3">
      <c r="A948" s="1" t="s">
        <v>948</v>
      </c>
      <c r="B948" s="2">
        <v>46006</v>
      </c>
      <c r="C948" s="2">
        <v>46027</v>
      </c>
      <c r="D948" s="1" t="s">
        <v>37</v>
      </c>
      <c r="E948" s="1" t="s">
        <v>14</v>
      </c>
      <c r="F948" s="1" t="s">
        <v>15</v>
      </c>
      <c r="G948" s="1" t="s">
        <v>33</v>
      </c>
      <c r="H948" s="1" t="s">
        <v>49</v>
      </c>
      <c r="I948" s="1" t="s">
        <v>41</v>
      </c>
      <c r="J948">
        <v>15</v>
      </c>
      <c r="K948">
        <v>21</v>
      </c>
      <c r="L948" s="1" t="s">
        <v>19</v>
      </c>
    </row>
    <row r="949" spans="1:12" x14ac:dyDescent="0.3">
      <c r="A949" s="1" t="s">
        <v>2450</v>
      </c>
      <c r="B949" s="2">
        <v>46006</v>
      </c>
      <c r="C949" s="2">
        <v>46022</v>
      </c>
      <c r="D949" s="1" t="s">
        <v>37</v>
      </c>
      <c r="E949" s="1" t="s">
        <v>14</v>
      </c>
      <c r="F949" s="1" t="s">
        <v>15</v>
      </c>
      <c r="G949" s="1" t="s">
        <v>16</v>
      </c>
      <c r="H949" s="1" t="s">
        <v>49</v>
      </c>
      <c r="I949" s="1" t="s">
        <v>41</v>
      </c>
      <c r="J949">
        <v>15</v>
      </c>
      <c r="K949">
        <v>16</v>
      </c>
      <c r="L949" s="1" t="s">
        <v>19</v>
      </c>
    </row>
    <row r="950" spans="1:12" x14ac:dyDescent="0.3">
      <c r="A950" s="1" t="s">
        <v>1087</v>
      </c>
      <c r="B950" s="2">
        <v>46006</v>
      </c>
      <c r="C950" s="2">
        <v>46062</v>
      </c>
      <c r="D950" s="1" t="s">
        <v>32</v>
      </c>
      <c r="E950" s="1" t="s">
        <v>14</v>
      </c>
      <c r="F950" s="1" t="s">
        <v>15</v>
      </c>
      <c r="G950" s="1" t="s">
        <v>16</v>
      </c>
      <c r="H950" s="1" t="s">
        <v>34</v>
      </c>
      <c r="I950" s="1" t="s">
        <v>18</v>
      </c>
      <c r="J950">
        <v>15</v>
      </c>
      <c r="K950">
        <v>56</v>
      </c>
      <c r="L950" s="1" t="s">
        <v>44</v>
      </c>
    </row>
    <row r="951" spans="1:12" x14ac:dyDescent="0.3">
      <c r="A951" s="1" t="s">
        <v>1119</v>
      </c>
      <c r="B951" s="2">
        <v>46006</v>
      </c>
      <c r="C951" s="2">
        <v>46035</v>
      </c>
      <c r="D951" s="1" t="s">
        <v>28</v>
      </c>
      <c r="E951" s="1" t="s">
        <v>14</v>
      </c>
      <c r="F951" s="1" t="s">
        <v>15</v>
      </c>
      <c r="G951" s="1" t="s">
        <v>16</v>
      </c>
      <c r="H951" s="1" t="s">
        <v>54</v>
      </c>
      <c r="I951" s="1" t="s">
        <v>26</v>
      </c>
      <c r="J951">
        <v>15</v>
      </c>
      <c r="K951">
        <v>29</v>
      </c>
      <c r="L951" s="1" t="s">
        <v>21</v>
      </c>
    </row>
    <row r="952" spans="1:12" x14ac:dyDescent="0.3">
      <c r="A952" s="1" t="s">
        <v>1359</v>
      </c>
      <c r="B952" s="2">
        <v>46006</v>
      </c>
      <c r="C952" s="2">
        <v>46017</v>
      </c>
      <c r="D952" s="1" t="s">
        <v>23</v>
      </c>
      <c r="E952" s="1" t="s">
        <v>14</v>
      </c>
      <c r="F952" s="1" t="s">
        <v>15</v>
      </c>
      <c r="G952" s="1" t="s">
        <v>16</v>
      </c>
      <c r="H952" s="1" t="s">
        <v>25</v>
      </c>
      <c r="I952" s="1" t="s">
        <v>26</v>
      </c>
      <c r="J952">
        <v>15</v>
      </c>
      <c r="K952">
        <v>11</v>
      </c>
      <c r="L952" s="1" t="s">
        <v>30</v>
      </c>
    </row>
    <row r="953" spans="1:12" x14ac:dyDescent="0.3">
      <c r="A953" s="1" t="s">
        <v>1936</v>
      </c>
      <c r="B953" s="2">
        <v>46006</v>
      </c>
      <c r="C953" s="2">
        <v>46053</v>
      </c>
      <c r="D953" s="1" t="s">
        <v>28</v>
      </c>
      <c r="E953" s="1" t="s">
        <v>24</v>
      </c>
      <c r="F953" s="1" t="s">
        <v>15</v>
      </c>
      <c r="G953" s="1" t="s">
        <v>16</v>
      </c>
      <c r="H953" s="1" t="s">
        <v>54</v>
      </c>
      <c r="I953" s="1" t="s">
        <v>41</v>
      </c>
      <c r="J953">
        <v>30</v>
      </c>
      <c r="K953">
        <v>47</v>
      </c>
      <c r="L953" s="1" t="s">
        <v>44</v>
      </c>
    </row>
    <row r="954" spans="1:12" x14ac:dyDescent="0.3">
      <c r="A954" s="1" t="s">
        <v>3177</v>
      </c>
      <c r="B954" s="2">
        <v>46006</v>
      </c>
      <c r="C954" s="2">
        <v>46038</v>
      </c>
      <c r="D954" s="1" t="s">
        <v>32</v>
      </c>
      <c r="E954" s="1" t="s">
        <v>24</v>
      </c>
      <c r="F954" s="1" t="s">
        <v>15</v>
      </c>
      <c r="G954" s="1" t="s">
        <v>16</v>
      </c>
      <c r="H954" s="1" t="s">
        <v>34</v>
      </c>
      <c r="I954" s="1" t="s">
        <v>41</v>
      </c>
      <c r="J954">
        <v>45</v>
      </c>
      <c r="K954">
        <v>32</v>
      </c>
      <c r="L954" s="1" t="s">
        <v>21</v>
      </c>
    </row>
    <row r="955" spans="1:12" x14ac:dyDescent="0.3">
      <c r="A955" s="1" t="s">
        <v>1083</v>
      </c>
      <c r="B955" s="2">
        <v>46005</v>
      </c>
      <c r="C955" s="2">
        <v>46030</v>
      </c>
      <c r="D955" s="1" t="s">
        <v>37</v>
      </c>
      <c r="E955" s="1" t="s">
        <v>14</v>
      </c>
      <c r="F955" s="1" t="s">
        <v>15</v>
      </c>
      <c r="G955" s="1" t="s">
        <v>16</v>
      </c>
      <c r="H955" s="1" t="s">
        <v>49</v>
      </c>
      <c r="I955" s="1" t="s">
        <v>18</v>
      </c>
      <c r="J955">
        <v>30</v>
      </c>
      <c r="K955">
        <v>25</v>
      </c>
      <c r="L955" s="1" t="s">
        <v>19</v>
      </c>
    </row>
    <row r="956" spans="1:12" x14ac:dyDescent="0.3">
      <c r="A956" s="1" t="s">
        <v>2862</v>
      </c>
      <c r="B956" s="2">
        <v>46005</v>
      </c>
      <c r="C956" s="2">
        <v>46016</v>
      </c>
      <c r="D956" s="1" t="s">
        <v>37</v>
      </c>
      <c r="E956" s="1" t="s">
        <v>14</v>
      </c>
      <c r="F956" s="1" t="s">
        <v>15</v>
      </c>
      <c r="G956" s="1" t="s">
        <v>16</v>
      </c>
      <c r="H956" s="1" t="s">
        <v>49</v>
      </c>
      <c r="I956" s="1" t="s">
        <v>41</v>
      </c>
      <c r="J956">
        <v>30</v>
      </c>
      <c r="K956">
        <v>11</v>
      </c>
      <c r="L956" s="1" t="s">
        <v>30</v>
      </c>
    </row>
    <row r="957" spans="1:12" x14ac:dyDescent="0.3">
      <c r="A957" s="1" t="s">
        <v>1581</v>
      </c>
      <c r="B957" s="2">
        <v>46005</v>
      </c>
      <c r="C957" s="2">
        <v>46076</v>
      </c>
      <c r="D957" s="1" t="s">
        <v>28</v>
      </c>
      <c r="E957" s="1" t="s">
        <v>24</v>
      </c>
      <c r="F957" s="1" t="s">
        <v>38</v>
      </c>
      <c r="G957" s="1" t="s">
        <v>16</v>
      </c>
      <c r="H957" s="1" t="s">
        <v>29</v>
      </c>
      <c r="I957" s="1" t="s">
        <v>41</v>
      </c>
      <c r="J957">
        <v>45</v>
      </c>
      <c r="K957">
        <v>71</v>
      </c>
      <c r="L957" s="1" t="s">
        <v>80</v>
      </c>
    </row>
    <row r="958" spans="1:12" x14ac:dyDescent="0.3">
      <c r="A958" s="1" t="s">
        <v>1642</v>
      </c>
      <c r="B958" s="2">
        <v>46005</v>
      </c>
      <c r="C958" s="2">
        <v>46027</v>
      </c>
      <c r="D958" s="1" t="s">
        <v>28</v>
      </c>
      <c r="E958" s="1" t="s">
        <v>14</v>
      </c>
      <c r="F958" s="1" t="s">
        <v>15</v>
      </c>
      <c r="G958" s="1" t="s">
        <v>16</v>
      </c>
      <c r="H958" s="1" t="s">
        <v>29</v>
      </c>
      <c r="I958" s="1" t="s">
        <v>41</v>
      </c>
      <c r="J958">
        <v>15</v>
      </c>
      <c r="K958">
        <v>22</v>
      </c>
      <c r="L958" s="1" t="s">
        <v>19</v>
      </c>
    </row>
    <row r="959" spans="1:12" x14ac:dyDescent="0.3">
      <c r="A959" s="1" t="s">
        <v>2749</v>
      </c>
      <c r="B959" s="2">
        <v>46005</v>
      </c>
      <c r="C959" s="2">
        <v>46025</v>
      </c>
      <c r="D959" s="1" t="s">
        <v>28</v>
      </c>
      <c r="E959" s="1" t="s">
        <v>14</v>
      </c>
      <c r="F959" s="1" t="s">
        <v>38</v>
      </c>
      <c r="G959" s="1" t="s">
        <v>16</v>
      </c>
      <c r="H959" s="1" t="s">
        <v>54</v>
      </c>
      <c r="I959" s="1" t="s">
        <v>26</v>
      </c>
      <c r="J959">
        <v>15</v>
      </c>
      <c r="K959">
        <v>20</v>
      </c>
      <c r="L959" s="1" t="s">
        <v>19</v>
      </c>
    </row>
    <row r="960" spans="1:12" x14ac:dyDescent="0.3">
      <c r="A960" s="1" t="s">
        <v>2841</v>
      </c>
      <c r="B960" s="2">
        <v>46005</v>
      </c>
      <c r="C960" s="2">
        <v>46031</v>
      </c>
      <c r="D960" s="1" t="s">
        <v>13</v>
      </c>
      <c r="E960" s="1" t="s">
        <v>24</v>
      </c>
      <c r="F960" s="1" t="s">
        <v>15</v>
      </c>
      <c r="G960" s="1" t="s">
        <v>53</v>
      </c>
      <c r="H960" s="1" t="s">
        <v>47</v>
      </c>
      <c r="I960" s="1" t="s">
        <v>41</v>
      </c>
      <c r="J960">
        <v>45</v>
      </c>
      <c r="K960">
        <v>26</v>
      </c>
      <c r="L960" s="1" t="s">
        <v>19</v>
      </c>
    </row>
    <row r="961" spans="1:12" x14ac:dyDescent="0.3">
      <c r="A961" s="1" t="s">
        <v>3092</v>
      </c>
      <c r="B961" s="2">
        <v>46005</v>
      </c>
      <c r="C961" s="2">
        <v>46032</v>
      </c>
      <c r="D961" s="1" t="s">
        <v>28</v>
      </c>
      <c r="E961" s="1" t="s">
        <v>24</v>
      </c>
      <c r="F961" s="1" t="s">
        <v>15</v>
      </c>
      <c r="G961" s="1" t="s">
        <v>33</v>
      </c>
      <c r="H961" s="1" t="s">
        <v>54</v>
      </c>
      <c r="I961" s="1" t="s">
        <v>41</v>
      </c>
      <c r="J961">
        <v>30</v>
      </c>
      <c r="K961">
        <v>27</v>
      </c>
      <c r="L961" s="1" t="s">
        <v>19</v>
      </c>
    </row>
    <row r="962" spans="1:12" x14ac:dyDescent="0.3">
      <c r="A962" s="1" t="s">
        <v>3107</v>
      </c>
      <c r="B962" s="2">
        <v>46005</v>
      </c>
      <c r="C962" s="2">
        <v>46073</v>
      </c>
      <c r="D962" s="1" t="s">
        <v>32</v>
      </c>
      <c r="E962" s="1" t="s">
        <v>14</v>
      </c>
      <c r="F962" s="1" t="s">
        <v>15</v>
      </c>
      <c r="G962" s="1" t="s">
        <v>16</v>
      </c>
      <c r="H962" s="1" t="s">
        <v>71</v>
      </c>
      <c r="I962" s="1" t="s">
        <v>26</v>
      </c>
      <c r="J962">
        <v>15</v>
      </c>
      <c r="K962">
        <v>68</v>
      </c>
      <c r="L962" s="1" t="s">
        <v>80</v>
      </c>
    </row>
    <row r="963" spans="1:12" x14ac:dyDescent="0.3">
      <c r="A963" s="1" t="s">
        <v>151</v>
      </c>
      <c r="B963" s="2">
        <v>46004</v>
      </c>
      <c r="C963" s="2">
        <v>46026</v>
      </c>
      <c r="D963" s="1" t="s">
        <v>23</v>
      </c>
      <c r="E963" s="1" t="s">
        <v>24</v>
      </c>
      <c r="F963" s="1" t="s">
        <v>15</v>
      </c>
      <c r="G963" s="1" t="s">
        <v>16</v>
      </c>
      <c r="H963" s="1" t="s">
        <v>43</v>
      </c>
      <c r="I963" s="1" t="s">
        <v>26</v>
      </c>
      <c r="J963">
        <v>30</v>
      </c>
      <c r="K963">
        <v>22</v>
      </c>
      <c r="L963" s="1" t="s">
        <v>19</v>
      </c>
    </row>
    <row r="964" spans="1:12" x14ac:dyDescent="0.3">
      <c r="A964" s="1" t="s">
        <v>264</v>
      </c>
      <c r="B964" s="2">
        <v>46004</v>
      </c>
      <c r="C964" s="2">
        <v>46006</v>
      </c>
      <c r="D964" s="1" t="s">
        <v>28</v>
      </c>
      <c r="E964" s="1" t="s">
        <v>14</v>
      </c>
      <c r="F964" s="1" t="s">
        <v>15</v>
      </c>
      <c r="G964" s="1" t="s">
        <v>53</v>
      </c>
      <c r="H964" s="1" t="s">
        <v>54</v>
      </c>
      <c r="I964" s="1" t="s">
        <v>41</v>
      </c>
      <c r="J964">
        <v>15</v>
      </c>
      <c r="K964">
        <v>2</v>
      </c>
      <c r="L964" s="1" t="s">
        <v>30</v>
      </c>
    </row>
    <row r="965" spans="1:12" x14ac:dyDescent="0.3">
      <c r="A965" s="1" t="s">
        <v>1106</v>
      </c>
      <c r="B965" s="2">
        <v>46004</v>
      </c>
      <c r="C965" s="2">
        <v>46042</v>
      </c>
      <c r="D965" s="1" t="s">
        <v>28</v>
      </c>
      <c r="E965" s="1" t="s">
        <v>14</v>
      </c>
      <c r="F965" s="1" t="s">
        <v>38</v>
      </c>
      <c r="G965" s="1" t="s">
        <v>16</v>
      </c>
      <c r="H965" s="1" t="s">
        <v>54</v>
      </c>
      <c r="I965" s="1" t="s">
        <v>41</v>
      </c>
      <c r="J965">
        <v>30</v>
      </c>
      <c r="K965">
        <v>38</v>
      </c>
      <c r="L965" s="1" t="s">
        <v>21</v>
      </c>
    </row>
    <row r="966" spans="1:12" x14ac:dyDescent="0.3">
      <c r="A966" s="1" t="s">
        <v>2197</v>
      </c>
      <c r="B966" s="2">
        <v>46004</v>
      </c>
      <c r="C966" s="2">
        <v>46024</v>
      </c>
      <c r="D966" s="1" t="s">
        <v>23</v>
      </c>
      <c r="E966" s="1" t="s">
        <v>24</v>
      </c>
      <c r="F966" s="1" t="s">
        <v>15</v>
      </c>
      <c r="G966" s="1" t="s">
        <v>16</v>
      </c>
      <c r="H966" s="1" t="s">
        <v>25</v>
      </c>
      <c r="I966" s="1" t="s">
        <v>26</v>
      </c>
      <c r="J966">
        <v>30</v>
      </c>
      <c r="K966">
        <v>20</v>
      </c>
      <c r="L966" s="1" t="s">
        <v>19</v>
      </c>
    </row>
    <row r="967" spans="1:12" x14ac:dyDescent="0.3">
      <c r="A967" s="1" t="s">
        <v>2816</v>
      </c>
      <c r="B967" s="2">
        <v>46004</v>
      </c>
      <c r="C967" s="2">
        <v>46057</v>
      </c>
      <c r="D967" s="1" t="s">
        <v>13</v>
      </c>
      <c r="E967" s="1" t="s">
        <v>14</v>
      </c>
      <c r="F967" s="1" t="s">
        <v>38</v>
      </c>
      <c r="G967" s="1" t="s">
        <v>33</v>
      </c>
      <c r="H967" s="1" t="s">
        <v>47</v>
      </c>
      <c r="I967" s="1" t="s">
        <v>26</v>
      </c>
      <c r="J967">
        <v>15</v>
      </c>
      <c r="K967">
        <v>53</v>
      </c>
      <c r="L967" s="1" t="s">
        <v>44</v>
      </c>
    </row>
    <row r="968" spans="1:12" x14ac:dyDescent="0.3">
      <c r="A968" s="1" t="s">
        <v>2884</v>
      </c>
      <c r="B968" s="2">
        <v>46004</v>
      </c>
      <c r="C968" s="2">
        <v>46030</v>
      </c>
      <c r="D968" s="1" t="s">
        <v>28</v>
      </c>
      <c r="E968" s="1" t="s">
        <v>24</v>
      </c>
      <c r="F968" s="1" t="s">
        <v>15</v>
      </c>
      <c r="G968" s="1" t="s">
        <v>53</v>
      </c>
      <c r="H968" s="1" t="s">
        <v>54</v>
      </c>
      <c r="I968" s="1" t="s">
        <v>18</v>
      </c>
      <c r="J968">
        <v>30</v>
      </c>
      <c r="K968">
        <v>26</v>
      </c>
      <c r="L968" s="1" t="s">
        <v>19</v>
      </c>
    </row>
    <row r="969" spans="1:12" x14ac:dyDescent="0.3">
      <c r="A969" s="1" t="s">
        <v>3047</v>
      </c>
      <c r="B969" s="2">
        <v>46004</v>
      </c>
      <c r="C969" s="2">
        <v>46048</v>
      </c>
      <c r="D969" s="1" t="s">
        <v>13</v>
      </c>
      <c r="E969" s="1" t="s">
        <v>24</v>
      </c>
      <c r="F969" s="1" t="s">
        <v>15</v>
      </c>
      <c r="G969" s="1" t="s">
        <v>16</v>
      </c>
      <c r="H969" s="1" t="s">
        <v>17</v>
      </c>
      <c r="I969" s="1" t="s">
        <v>18</v>
      </c>
      <c r="J969">
        <v>30</v>
      </c>
      <c r="K969">
        <v>44</v>
      </c>
      <c r="L969" s="1" t="s">
        <v>44</v>
      </c>
    </row>
    <row r="970" spans="1:12" x14ac:dyDescent="0.3">
      <c r="A970" s="1" t="s">
        <v>3110</v>
      </c>
      <c r="B970" s="2">
        <v>46004</v>
      </c>
      <c r="C970" s="2">
        <v>46053</v>
      </c>
      <c r="D970" s="1" t="s">
        <v>13</v>
      </c>
      <c r="E970" s="1" t="s">
        <v>14</v>
      </c>
      <c r="F970" s="1" t="s">
        <v>15</v>
      </c>
      <c r="G970" s="1" t="s">
        <v>16</v>
      </c>
      <c r="H970" s="1" t="s">
        <v>47</v>
      </c>
      <c r="I970" s="1" t="s">
        <v>41</v>
      </c>
      <c r="J970">
        <v>15</v>
      </c>
      <c r="K970">
        <v>49</v>
      </c>
      <c r="L970" s="1" t="s">
        <v>44</v>
      </c>
    </row>
    <row r="971" spans="1:12" x14ac:dyDescent="0.3">
      <c r="A971" s="1" t="s">
        <v>3147</v>
      </c>
      <c r="B971" s="2">
        <v>46003</v>
      </c>
      <c r="C971" s="2">
        <v>46083</v>
      </c>
      <c r="D971" s="1" t="s">
        <v>37</v>
      </c>
      <c r="E971" s="1" t="s">
        <v>14</v>
      </c>
      <c r="F971" s="1" t="s">
        <v>15</v>
      </c>
      <c r="G971" s="1" t="s">
        <v>16</v>
      </c>
      <c r="H971" s="1" t="s">
        <v>49</v>
      </c>
      <c r="I971" s="1" t="s">
        <v>26</v>
      </c>
      <c r="J971">
        <v>15</v>
      </c>
      <c r="K971">
        <v>80</v>
      </c>
      <c r="L971" s="1" t="s">
        <v>80</v>
      </c>
    </row>
    <row r="972" spans="1:12" x14ac:dyDescent="0.3">
      <c r="A972" s="1" t="s">
        <v>1637</v>
      </c>
      <c r="B972" s="2">
        <v>46003</v>
      </c>
      <c r="C972" s="2">
        <v>46027</v>
      </c>
      <c r="D972" s="1" t="s">
        <v>37</v>
      </c>
      <c r="E972" s="1" t="s">
        <v>14</v>
      </c>
      <c r="F972" s="1" t="s">
        <v>15</v>
      </c>
      <c r="G972" s="1" t="s">
        <v>16</v>
      </c>
      <c r="H972" s="1" t="s">
        <v>39</v>
      </c>
      <c r="I972" s="1" t="s">
        <v>26</v>
      </c>
      <c r="J972">
        <v>15</v>
      </c>
      <c r="K972">
        <v>24</v>
      </c>
      <c r="L972" s="1" t="s">
        <v>19</v>
      </c>
    </row>
    <row r="973" spans="1:12" x14ac:dyDescent="0.3">
      <c r="A973" s="1" t="s">
        <v>1024</v>
      </c>
      <c r="B973" s="2">
        <v>46003</v>
      </c>
      <c r="C973" s="2">
        <v>46045</v>
      </c>
      <c r="D973" s="1" t="s">
        <v>13</v>
      </c>
      <c r="E973" s="1" t="s">
        <v>14</v>
      </c>
      <c r="F973" s="1" t="s">
        <v>15</v>
      </c>
      <c r="G973" s="1" t="s">
        <v>16</v>
      </c>
      <c r="H973" s="1" t="s">
        <v>17</v>
      </c>
      <c r="I973" s="1" t="s">
        <v>41</v>
      </c>
      <c r="J973">
        <v>30</v>
      </c>
      <c r="K973">
        <v>42</v>
      </c>
      <c r="L973" s="1" t="s">
        <v>21</v>
      </c>
    </row>
    <row r="974" spans="1:12" x14ac:dyDescent="0.3">
      <c r="A974" s="1" t="s">
        <v>1236</v>
      </c>
      <c r="B974" s="2">
        <v>46003</v>
      </c>
      <c r="C974" s="2">
        <v>46040</v>
      </c>
      <c r="D974" s="1" t="s">
        <v>23</v>
      </c>
      <c r="E974" s="1" t="s">
        <v>14</v>
      </c>
      <c r="F974" s="1" t="s">
        <v>15</v>
      </c>
      <c r="G974" s="1" t="s">
        <v>16</v>
      </c>
      <c r="H974" s="1" t="s">
        <v>25</v>
      </c>
      <c r="I974" s="1" t="s">
        <v>41</v>
      </c>
      <c r="J974">
        <v>15</v>
      </c>
      <c r="K974">
        <v>37</v>
      </c>
      <c r="L974" s="1" t="s">
        <v>21</v>
      </c>
    </row>
    <row r="975" spans="1:12" x14ac:dyDescent="0.3">
      <c r="A975" s="1" t="s">
        <v>1390</v>
      </c>
      <c r="B975" s="2">
        <v>46003</v>
      </c>
      <c r="C975" s="2">
        <v>46038</v>
      </c>
      <c r="D975" s="1" t="s">
        <v>23</v>
      </c>
      <c r="E975" s="1" t="s">
        <v>14</v>
      </c>
      <c r="F975" s="1" t="s">
        <v>15</v>
      </c>
      <c r="G975" s="1" t="s">
        <v>16</v>
      </c>
      <c r="H975" s="1" t="s">
        <v>43</v>
      </c>
      <c r="I975" s="1" t="s">
        <v>26</v>
      </c>
      <c r="J975">
        <v>30</v>
      </c>
      <c r="K975">
        <v>35</v>
      </c>
      <c r="L975" s="1" t="s">
        <v>21</v>
      </c>
    </row>
    <row r="976" spans="1:12" x14ac:dyDescent="0.3">
      <c r="A976" s="1" t="s">
        <v>2162</v>
      </c>
      <c r="B976" s="2">
        <v>46003</v>
      </c>
      <c r="C976" s="2">
        <v>46039</v>
      </c>
      <c r="D976" s="1" t="s">
        <v>13</v>
      </c>
      <c r="E976" s="1" t="s">
        <v>14</v>
      </c>
      <c r="F976" s="1" t="s">
        <v>15</v>
      </c>
      <c r="G976" s="1" t="s">
        <v>16</v>
      </c>
      <c r="H976" s="1" t="s">
        <v>17</v>
      </c>
      <c r="I976" s="1" t="s">
        <v>26</v>
      </c>
      <c r="J976">
        <v>15</v>
      </c>
      <c r="K976">
        <v>36</v>
      </c>
      <c r="L976" s="1" t="s">
        <v>21</v>
      </c>
    </row>
    <row r="977" spans="1:12" x14ac:dyDescent="0.3">
      <c r="A977" s="1" t="s">
        <v>2183</v>
      </c>
      <c r="B977" s="2">
        <v>46003</v>
      </c>
      <c r="C977" s="2">
        <v>46037</v>
      </c>
      <c r="D977" s="1" t="s">
        <v>23</v>
      </c>
      <c r="E977" s="1" t="s">
        <v>24</v>
      </c>
      <c r="F977" s="1" t="s">
        <v>15</v>
      </c>
      <c r="G977" s="1" t="s">
        <v>16</v>
      </c>
      <c r="H977" s="1" t="s">
        <v>25</v>
      </c>
      <c r="I977" s="1" t="s">
        <v>26</v>
      </c>
      <c r="J977">
        <v>30</v>
      </c>
      <c r="K977">
        <v>34</v>
      </c>
      <c r="L977" s="1" t="s">
        <v>21</v>
      </c>
    </row>
    <row r="978" spans="1:12" x14ac:dyDescent="0.3">
      <c r="A978" s="1" t="s">
        <v>84</v>
      </c>
      <c r="B978" s="2">
        <v>46002</v>
      </c>
      <c r="C978" s="2">
        <v>46059</v>
      </c>
      <c r="D978" s="1" t="s">
        <v>13</v>
      </c>
      <c r="E978" s="1" t="s">
        <v>24</v>
      </c>
      <c r="F978" s="1" t="s">
        <v>15</v>
      </c>
      <c r="G978" s="1" t="s">
        <v>16</v>
      </c>
      <c r="H978" s="1" t="s">
        <v>17</v>
      </c>
      <c r="I978" s="1" t="s">
        <v>26</v>
      </c>
      <c r="J978">
        <v>30</v>
      </c>
      <c r="K978">
        <v>57</v>
      </c>
      <c r="L978" s="1" t="s">
        <v>80</v>
      </c>
    </row>
    <row r="979" spans="1:12" x14ac:dyDescent="0.3">
      <c r="A979" s="1" t="s">
        <v>127</v>
      </c>
      <c r="B979" s="2">
        <v>46002</v>
      </c>
      <c r="C979" s="2">
        <v>46037</v>
      </c>
      <c r="D979" s="1" t="s">
        <v>13</v>
      </c>
      <c r="E979" s="1" t="s">
        <v>24</v>
      </c>
      <c r="F979" s="1" t="s">
        <v>15</v>
      </c>
      <c r="G979" s="1" t="s">
        <v>16</v>
      </c>
      <c r="H979" s="1" t="s">
        <v>17</v>
      </c>
      <c r="I979" s="1" t="s">
        <v>26</v>
      </c>
      <c r="J979">
        <v>30</v>
      </c>
      <c r="K979">
        <v>35</v>
      </c>
      <c r="L979" s="1" t="s">
        <v>21</v>
      </c>
    </row>
    <row r="980" spans="1:12" x14ac:dyDescent="0.3">
      <c r="A980" s="1" t="s">
        <v>245</v>
      </c>
      <c r="B980" s="2">
        <v>46002</v>
      </c>
      <c r="C980" s="2">
        <v>46017</v>
      </c>
      <c r="D980" s="1" t="s">
        <v>28</v>
      </c>
      <c r="E980" s="1" t="s">
        <v>14</v>
      </c>
      <c r="F980" s="1" t="s">
        <v>15</v>
      </c>
      <c r="G980" s="1" t="s">
        <v>16</v>
      </c>
      <c r="H980" s="1" t="s">
        <v>54</v>
      </c>
      <c r="I980" s="1" t="s">
        <v>26</v>
      </c>
      <c r="J980">
        <v>15</v>
      </c>
      <c r="K980">
        <v>15</v>
      </c>
      <c r="L980" s="1" t="s">
        <v>19</v>
      </c>
    </row>
    <row r="981" spans="1:12" x14ac:dyDescent="0.3">
      <c r="A981" s="1" t="s">
        <v>908</v>
      </c>
      <c r="B981" s="2">
        <v>46002</v>
      </c>
      <c r="C981" s="2">
        <v>46057</v>
      </c>
      <c r="D981" s="1" t="s">
        <v>37</v>
      </c>
      <c r="E981" s="1" t="s">
        <v>14</v>
      </c>
      <c r="F981" s="1" t="s">
        <v>15</v>
      </c>
      <c r="G981" s="1" t="s">
        <v>16</v>
      </c>
      <c r="H981" s="1" t="s">
        <v>49</v>
      </c>
      <c r="I981" s="1" t="s">
        <v>41</v>
      </c>
      <c r="J981">
        <v>15</v>
      </c>
      <c r="K981">
        <v>55</v>
      </c>
      <c r="L981" s="1" t="s">
        <v>44</v>
      </c>
    </row>
    <row r="982" spans="1:12" x14ac:dyDescent="0.3">
      <c r="A982" s="1" t="s">
        <v>2417</v>
      </c>
      <c r="B982" s="2">
        <v>46002</v>
      </c>
      <c r="C982" s="2">
        <v>46044</v>
      </c>
      <c r="D982" s="1" t="s">
        <v>37</v>
      </c>
      <c r="E982" s="1" t="s">
        <v>14</v>
      </c>
      <c r="F982" s="1" t="s">
        <v>15</v>
      </c>
      <c r="G982" s="1" t="s">
        <v>16</v>
      </c>
      <c r="H982" s="1" t="s">
        <v>39</v>
      </c>
      <c r="I982" s="1" t="s">
        <v>26</v>
      </c>
      <c r="J982">
        <v>15</v>
      </c>
      <c r="K982">
        <v>42</v>
      </c>
      <c r="L982" s="1" t="s">
        <v>21</v>
      </c>
    </row>
    <row r="983" spans="1:12" x14ac:dyDescent="0.3">
      <c r="A983" s="1" t="s">
        <v>974</v>
      </c>
      <c r="B983" s="2">
        <v>46002</v>
      </c>
      <c r="C983" s="2">
        <v>46024</v>
      </c>
      <c r="D983" s="1" t="s">
        <v>37</v>
      </c>
      <c r="E983" s="1" t="s">
        <v>24</v>
      </c>
      <c r="F983" s="1" t="s">
        <v>15</v>
      </c>
      <c r="G983" s="1" t="s">
        <v>16</v>
      </c>
      <c r="H983" s="1" t="s">
        <v>39</v>
      </c>
      <c r="I983" s="1" t="s">
        <v>18</v>
      </c>
      <c r="J983">
        <v>45</v>
      </c>
      <c r="K983">
        <v>22</v>
      </c>
      <c r="L983" s="1" t="s">
        <v>19</v>
      </c>
    </row>
    <row r="984" spans="1:12" x14ac:dyDescent="0.3">
      <c r="A984" s="1" t="s">
        <v>1345</v>
      </c>
      <c r="B984" s="2">
        <v>46002</v>
      </c>
      <c r="C984" s="2">
        <v>46022</v>
      </c>
      <c r="D984" s="1" t="s">
        <v>23</v>
      </c>
      <c r="E984" s="1" t="s">
        <v>14</v>
      </c>
      <c r="F984" s="1" t="s">
        <v>15</v>
      </c>
      <c r="G984" s="1" t="s">
        <v>16</v>
      </c>
      <c r="H984" s="1" t="s">
        <v>25</v>
      </c>
      <c r="I984" s="1" t="s">
        <v>26</v>
      </c>
      <c r="J984">
        <v>15</v>
      </c>
      <c r="K984">
        <v>20</v>
      </c>
      <c r="L984" s="1" t="s">
        <v>19</v>
      </c>
    </row>
    <row r="985" spans="1:12" x14ac:dyDescent="0.3">
      <c r="A985" s="1" t="s">
        <v>1514</v>
      </c>
      <c r="B985" s="2">
        <v>46002</v>
      </c>
      <c r="C985" s="2">
        <v>46047</v>
      </c>
      <c r="D985" s="1" t="s">
        <v>32</v>
      </c>
      <c r="E985" s="1" t="s">
        <v>24</v>
      </c>
      <c r="F985" s="1" t="s">
        <v>15</v>
      </c>
      <c r="G985" s="1" t="s">
        <v>16</v>
      </c>
      <c r="H985" s="1" t="s">
        <v>34</v>
      </c>
      <c r="I985" s="1" t="s">
        <v>18</v>
      </c>
      <c r="J985">
        <v>30</v>
      </c>
      <c r="K985">
        <v>45</v>
      </c>
      <c r="L985" s="1" t="s">
        <v>44</v>
      </c>
    </row>
    <row r="986" spans="1:12" x14ac:dyDescent="0.3">
      <c r="A986" s="1" t="s">
        <v>1775</v>
      </c>
      <c r="B986" s="2">
        <v>46002</v>
      </c>
      <c r="C986" s="2">
        <v>46028</v>
      </c>
      <c r="D986" s="1" t="s">
        <v>32</v>
      </c>
      <c r="E986" s="1" t="s">
        <v>24</v>
      </c>
      <c r="F986" s="1" t="s">
        <v>15</v>
      </c>
      <c r="G986" s="1" t="s">
        <v>16</v>
      </c>
      <c r="H986" s="1" t="s">
        <v>34</v>
      </c>
      <c r="I986" s="1" t="s">
        <v>18</v>
      </c>
      <c r="J986">
        <v>30</v>
      </c>
      <c r="K986">
        <v>26</v>
      </c>
      <c r="L986" s="1" t="s">
        <v>19</v>
      </c>
    </row>
    <row r="987" spans="1:12" x14ac:dyDescent="0.3">
      <c r="A987" s="1" t="s">
        <v>2223</v>
      </c>
      <c r="B987" s="2">
        <v>46002</v>
      </c>
      <c r="C987" s="2">
        <v>46008</v>
      </c>
      <c r="D987" s="1" t="s">
        <v>28</v>
      </c>
      <c r="E987" s="1" t="s">
        <v>24</v>
      </c>
      <c r="F987" s="1" t="s">
        <v>15</v>
      </c>
      <c r="G987" s="1" t="s">
        <v>16</v>
      </c>
      <c r="H987" s="1" t="s">
        <v>29</v>
      </c>
      <c r="I987" s="1" t="s">
        <v>18</v>
      </c>
      <c r="J987">
        <v>30</v>
      </c>
      <c r="K987">
        <v>6</v>
      </c>
      <c r="L987" s="1" t="s">
        <v>30</v>
      </c>
    </row>
    <row r="988" spans="1:12" x14ac:dyDescent="0.3">
      <c r="A988" s="1" t="s">
        <v>2253</v>
      </c>
      <c r="B988" s="2">
        <v>46002</v>
      </c>
      <c r="C988" s="2">
        <v>46029</v>
      </c>
      <c r="D988" s="1" t="s">
        <v>23</v>
      </c>
      <c r="E988" s="1" t="s">
        <v>14</v>
      </c>
      <c r="F988" s="1" t="s">
        <v>15</v>
      </c>
      <c r="G988" s="1" t="s">
        <v>16</v>
      </c>
      <c r="H988" s="1" t="s">
        <v>43</v>
      </c>
      <c r="I988" s="1" t="s">
        <v>26</v>
      </c>
      <c r="J988">
        <v>15</v>
      </c>
      <c r="K988">
        <v>27</v>
      </c>
      <c r="L988" s="1" t="s">
        <v>19</v>
      </c>
    </row>
    <row r="989" spans="1:12" x14ac:dyDescent="0.3">
      <c r="A989" s="1" t="s">
        <v>2543</v>
      </c>
      <c r="B989" s="2">
        <v>46002</v>
      </c>
      <c r="C989" s="2">
        <v>46041</v>
      </c>
      <c r="D989" s="1" t="s">
        <v>28</v>
      </c>
      <c r="E989" s="1" t="s">
        <v>24</v>
      </c>
      <c r="F989" s="1" t="s">
        <v>15</v>
      </c>
      <c r="G989" s="1" t="s">
        <v>53</v>
      </c>
      <c r="H989" s="1" t="s">
        <v>54</v>
      </c>
      <c r="I989" s="1" t="s">
        <v>18</v>
      </c>
      <c r="J989">
        <v>30</v>
      </c>
      <c r="K989">
        <v>39</v>
      </c>
      <c r="L989" s="1" t="s">
        <v>21</v>
      </c>
    </row>
    <row r="990" spans="1:12" x14ac:dyDescent="0.3">
      <c r="A990" s="1" t="s">
        <v>216</v>
      </c>
      <c r="B990" s="2">
        <v>46001</v>
      </c>
      <c r="C990" s="2">
        <v>46026</v>
      </c>
      <c r="D990" s="1" t="s">
        <v>28</v>
      </c>
      <c r="E990" s="1" t="s">
        <v>14</v>
      </c>
      <c r="F990" s="1" t="s">
        <v>15</v>
      </c>
      <c r="G990" s="1" t="s">
        <v>16</v>
      </c>
      <c r="H990" s="1" t="s">
        <v>54</v>
      </c>
      <c r="I990" s="1" t="s">
        <v>18</v>
      </c>
      <c r="J990">
        <v>30</v>
      </c>
      <c r="K990">
        <v>25</v>
      </c>
      <c r="L990" s="1" t="s">
        <v>19</v>
      </c>
    </row>
    <row r="991" spans="1:12" x14ac:dyDescent="0.3">
      <c r="A991" s="1" t="s">
        <v>225</v>
      </c>
      <c r="B991" s="2">
        <v>46001</v>
      </c>
      <c r="C991" s="2">
        <v>46012</v>
      </c>
      <c r="D991" s="1" t="s">
        <v>23</v>
      </c>
      <c r="E991" s="1" t="s">
        <v>24</v>
      </c>
      <c r="F991" s="1" t="s">
        <v>15</v>
      </c>
      <c r="G991" s="1" t="s">
        <v>16</v>
      </c>
      <c r="H991" s="1" t="s">
        <v>43</v>
      </c>
      <c r="I991" s="1" t="s">
        <v>41</v>
      </c>
      <c r="J991">
        <v>30</v>
      </c>
      <c r="K991">
        <v>11</v>
      </c>
      <c r="L991" s="1" t="s">
        <v>30</v>
      </c>
    </row>
    <row r="992" spans="1:12" x14ac:dyDescent="0.3">
      <c r="A992" s="1" t="s">
        <v>40</v>
      </c>
      <c r="B992" s="2">
        <v>46001</v>
      </c>
      <c r="C992" s="2">
        <v>46038</v>
      </c>
      <c r="D992" s="1" t="s">
        <v>37</v>
      </c>
      <c r="E992" s="1" t="s">
        <v>14</v>
      </c>
      <c r="F992" s="1" t="s">
        <v>15</v>
      </c>
      <c r="G992" s="1" t="s">
        <v>16</v>
      </c>
      <c r="H992" s="1" t="s">
        <v>39</v>
      </c>
      <c r="I992" s="1" t="s">
        <v>41</v>
      </c>
      <c r="J992">
        <v>15</v>
      </c>
      <c r="K992">
        <v>37</v>
      </c>
      <c r="L992" s="1" t="s">
        <v>21</v>
      </c>
    </row>
    <row r="993" spans="1:12" x14ac:dyDescent="0.3">
      <c r="A993" s="1" t="s">
        <v>917</v>
      </c>
      <c r="B993" s="2">
        <v>46001</v>
      </c>
      <c r="C993" s="2">
        <v>46031</v>
      </c>
      <c r="D993" s="1" t="s">
        <v>37</v>
      </c>
      <c r="E993" s="1" t="s">
        <v>24</v>
      </c>
      <c r="F993" s="1" t="s">
        <v>38</v>
      </c>
      <c r="G993" s="1" t="s">
        <v>53</v>
      </c>
      <c r="H993" s="1" t="s">
        <v>39</v>
      </c>
      <c r="I993" s="1" t="s">
        <v>41</v>
      </c>
      <c r="J993">
        <v>30</v>
      </c>
      <c r="K993">
        <v>30</v>
      </c>
      <c r="L993" s="1" t="s">
        <v>21</v>
      </c>
    </row>
    <row r="994" spans="1:12" x14ac:dyDescent="0.3">
      <c r="A994" s="1" t="s">
        <v>2117</v>
      </c>
      <c r="B994" s="2">
        <v>46001</v>
      </c>
      <c r="C994" s="2">
        <v>46032</v>
      </c>
      <c r="D994" s="1" t="s">
        <v>23</v>
      </c>
      <c r="E994" s="1" t="s">
        <v>24</v>
      </c>
      <c r="F994" s="1" t="s">
        <v>15</v>
      </c>
      <c r="G994" s="1" t="s">
        <v>16</v>
      </c>
      <c r="H994" s="1" t="s">
        <v>25</v>
      </c>
      <c r="I994" s="1" t="s">
        <v>18</v>
      </c>
      <c r="J994">
        <v>45</v>
      </c>
      <c r="K994">
        <v>31</v>
      </c>
      <c r="L994" s="1" t="s">
        <v>21</v>
      </c>
    </row>
    <row r="995" spans="1:12" x14ac:dyDescent="0.3">
      <c r="A995" s="1" t="s">
        <v>464</v>
      </c>
      <c r="B995" s="2">
        <v>46000</v>
      </c>
      <c r="C995" s="2">
        <v>46024</v>
      </c>
      <c r="D995" s="1" t="s">
        <v>23</v>
      </c>
      <c r="E995" s="1" t="s">
        <v>24</v>
      </c>
      <c r="F995" s="1" t="s">
        <v>15</v>
      </c>
      <c r="G995" s="1" t="s">
        <v>16</v>
      </c>
      <c r="H995" s="1" t="s">
        <v>43</v>
      </c>
      <c r="I995" s="1" t="s">
        <v>18</v>
      </c>
      <c r="J995">
        <v>30</v>
      </c>
      <c r="K995">
        <v>24</v>
      </c>
      <c r="L995" s="1" t="s">
        <v>19</v>
      </c>
    </row>
    <row r="996" spans="1:12" x14ac:dyDescent="0.3">
      <c r="A996" s="1" t="s">
        <v>708</v>
      </c>
      <c r="B996" s="2">
        <v>46000</v>
      </c>
      <c r="C996" s="2">
        <v>46039</v>
      </c>
      <c r="D996" s="1" t="s">
        <v>28</v>
      </c>
      <c r="E996" s="1" t="s">
        <v>14</v>
      </c>
      <c r="F996" s="1" t="s">
        <v>15</v>
      </c>
      <c r="G996" s="1" t="s">
        <v>16</v>
      </c>
      <c r="H996" s="1" t="s">
        <v>29</v>
      </c>
      <c r="I996" s="1" t="s">
        <v>26</v>
      </c>
      <c r="J996">
        <v>15</v>
      </c>
      <c r="K996">
        <v>39</v>
      </c>
      <c r="L996" s="1" t="s">
        <v>21</v>
      </c>
    </row>
    <row r="997" spans="1:12" x14ac:dyDescent="0.3">
      <c r="A997" s="1" t="s">
        <v>1656</v>
      </c>
      <c r="B997" s="2">
        <v>46000</v>
      </c>
      <c r="C997" s="2">
        <v>46035</v>
      </c>
      <c r="D997" s="1" t="s">
        <v>32</v>
      </c>
      <c r="E997" s="1" t="s">
        <v>24</v>
      </c>
      <c r="F997" s="1" t="s">
        <v>38</v>
      </c>
      <c r="G997" s="1" t="s">
        <v>53</v>
      </c>
      <c r="H997" s="1" t="s">
        <v>71</v>
      </c>
      <c r="I997" s="1" t="s">
        <v>26</v>
      </c>
      <c r="J997">
        <v>45</v>
      </c>
      <c r="K997">
        <v>35</v>
      </c>
      <c r="L997" s="1" t="s">
        <v>21</v>
      </c>
    </row>
    <row r="998" spans="1:12" x14ac:dyDescent="0.3">
      <c r="A998" s="1" t="s">
        <v>983</v>
      </c>
      <c r="B998" s="2">
        <v>45999</v>
      </c>
      <c r="C998" s="2">
        <v>46043</v>
      </c>
      <c r="D998" s="1" t="s">
        <v>13</v>
      </c>
      <c r="E998" s="1" t="s">
        <v>14</v>
      </c>
      <c r="F998" s="1" t="s">
        <v>38</v>
      </c>
      <c r="G998" s="1" t="s">
        <v>16</v>
      </c>
      <c r="H998" s="1" t="s">
        <v>47</v>
      </c>
      <c r="I998" s="1" t="s">
        <v>41</v>
      </c>
      <c r="J998">
        <v>30</v>
      </c>
      <c r="K998">
        <v>44</v>
      </c>
      <c r="L998" s="1" t="s">
        <v>44</v>
      </c>
    </row>
    <row r="999" spans="1:12" x14ac:dyDescent="0.3">
      <c r="A999" s="1" t="s">
        <v>2760</v>
      </c>
      <c r="B999" s="2">
        <v>45999</v>
      </c>
      <c r="C999" s="2">
        <v>46029</v>
      </c>
      <c r="D999" s="1" t="s">
        <v>37</v>
      </c>
      <c r="E999" s="1" t="s">
        <v>14</v>
      </c>
      <c r="F999" s="1" t="s">
        <v>15</v>
      </c>
      <c r="G999" s="1" t="s">
        <v>33</v>
      </c>
      <c r="H999" s="1" t="s">
        <v>39</v>
      </c>
      <c r="I999" s="1" t="s">
        <v>26</v>
      </c>
      <c r="J999">
        <v>15</v>
      </c>
      <c r="K999">
        <v>30</v>
      </c>
      <c r="L999" s="1" t="s">
        <v>21</v>
      </c>
    </row>
    <row r="1000" spans="1:12" x14ac:dyDescent="0.3">
      <c r="A1000" s="1" t="s">
        <v>2559</v>
      </c>
      <c r="B1000" s="2">
        <v>45999</v>
      </c>
      <c r="C1000" s="2">
        <v>46001</v>
      </c>
      <c r="D1000" s="1" t="s">
        <v>37</v>
      </c>
      <c r="E1000" s="1" t="s">
        <v>14</v>
      </c>
      <c r="F1000" s="1" t="s">
        <v>15</v>
      </c>
      <c r="G1000" s="1" t="s">
        <v>16</v>
      </c>
      <c r="H1000" s="1" t="s">
        <v>49</v>
      </c>
      <c r="I1000" s="1" t="s">
        <v>26</v>
      </c>
      <c r="J1000">
        <v>30</v>
      </c>
      <c r="K1000">
        <v>2</v>
      </c>
      <c r="L1000" s="1" t="s">
        <v>30</v>
      </c>
    </row>
    <row r="1001" spans="1:12" x14ac:dyDescent="0.3">
      <c r="A1001" s="1" t="s">
        <v>1225</v>
      </c>
      <c r="B1001" s="2">
        <v>45999</v>
      </c>
      <c r="C1001" s="2">
        <v>46019</v>
      </c>
      <c r="D1001" s="1" t="s">
        <v>32</v>
      </c>
      <c r="E1001" s="1" t="s">
        <v>14</v>
      </c>
      <c r="F1001" s="1" t="s">
        <v>15</v>
      </c>
      <c r="G1001" s="1" t="s">
        <v>53</v>
      </c>
      <c r="H1001" s="1" t="s">
        <v>34</v>
      </c>
      <c r="I1001" s="1" t="s">
        <v>18</v>
      </c>
      <c r="J1001">
        <v>30</v>
      </c>
      <c r="K1001">
        <v>20</v>
      </c>
      <c r="L1001" s="1" t="s">
        <v>19</v>
      </c>
    </row>
    <row r="1002" spans="1:12" x14ac:dyDescent="0.3">
      <c r="A1002" s="1" t="s">
        <v>629</v>
      </c>
      <c r="B1002" s="2">
        <v>45998</v>
      </c>
      <c r="C1002" s="2">
        <v>46016</v>
      </c>
      <c r="D1002" s="1" t="s">
        <v>23</v>
      </c>
      <c r="E1002" s="1" t="s">
        <v>24</v>
      </c>
      <c r="F1002" s="1" t="s">
        <v>15</v>
      </c>
      <c r="G1002" s="1" t="s">
        <v>16</v>
      </c>
      <c r="H1002" s="1" t="s">
        <v>25</v>
      </c>
      <c r="I1002" s="1" t="s">
        <v>41</v>
      </c>
      <c r="J1002">
        <v>30</v>
      </c>
      <c r="K1002">
        <v>18</v>
      </c>
      <c r="L1002" s="1" t="s">
        <v>19</v>
      </c>
    </row>
    <row r="1003" spans="1:12" x14ac:dyDescent="0.3">
      <c r="A1003" s="1" t="s">
        <v>1104</v>
      </c>
      <c r="B1003" s="2">
        <v>45998</v>
      </c>
      <c r="C1003" s="2">
        <v>46020</v>
      </c>
      <c r="D1003" s="1" t="s">
        <v>37</v>
      </c>
      <c r="E1003" s="1" t="s">
        <v>24</v>
      </c>
      <c r="F1003" s="1" t="s">
        <v>15</v>
      </c>
      <c r="G1003" s="1" t="s">
        <v>53</v>
      </c>
      <c r="H1003" s="1" t="s">
        <v>39</v>
      </c>
      <c r="I1003" s="1" t="s">
        <v>26</v>
      </c>
      <c r="J1003">
        <v>30</v>
      </c>
      <c r="K1003">
        <v>22</v>
      </c>
      <c r="L1003" s="1" t="s">
        <v>19</v>
      </c>
    </row>
    <row r="1004" spans="1:12" x14ac:dyDescent="0.3">
      <c r="A1004" s="1" t="s">
        <v>1191</v>
      </c>
      <c r="B1004" s="2">
        <v>45998</v>
      </c>
      <c r="C1004" s="2">
        <v>46038</v>
      </c>
      <c r="D1004" s="1" t="s">
        <v>23</v>
      </c>
      <c r="E1004" s="1" t="s">
        <v>14</v>
      </c>
      <c r="F1004" s="1" t="s">
        <v>15</v>
      </c>
      <c r="G1004" s="1" t="s">
        <v>16</v>
      </c>
      <c r="H1004" s="1" t="s">
        <v>25</v>
      </c>
      <c r="I1004" s="1" t="s">
        <v>41</v>
      </c>
      <c r="J1004">
        <v>30</v>
      </c>
      <c r="K1004">
        <v>40</v>
      </c>
      <c r="L1004" s="1" t="s">
        <v>21</v>
      </c>
    </row>
    <row r="1005" spans="1:12" x14ac:dyDescent="0.3">
      <c r="A1005" s="1" t="s">
        <v>1589</v>
      </c>
      <c r="B1005" s="2">
        <v>45998</v>
      </c>
      <c r="C1005" s="2">
        <v>46046</v>
      </c>
      <c r="D1005" s="1" t="s">
        <v>23</v>
      </c>
      <c r="E1005" s="1" t="s">
        <v>14</v>
      </c>
      <c r="F1005" s="1" t="s">
        <v>15</v>
      </c>
      <c r="G1005" s="1" t="s">
        <v>53</v>
      </c>
      <c r="H1005" s="1" t="s">
        <v>43</v>
      </c>
      <c r="I1005" s="1" t="s">
        <v>26</v>
      </c>
      <c r="J1005">
        <v>15</v>
      </c>
      <c r="K1005">
        <v>48</v>
      </c>
      <c r="L1005" s="1" t="s">
        <v>44</v>
      </c>
    </row>
    <row r="1006" spans="1:12" x14ac:dyDescent="0.3">
      <c r="A1006" s="1" t="s">
        <v>116</v>
      </c>
      <c r="B1006" s="2">
        <v>45997</v>
      </c>
      <c r="C1006" s="2">
        <v>46037</v>
      </c>
      <c r="D1006" s="1" t="s">
        <v>13</v>
      </c>
      <c r="E1006" s="1" t="s">
        <v>14</v>
      </c>
      <c r="F1006" s="1" t="s">
        <v>15</v>
      </c>
      <c r="G1006" s="1" t="s">
        <v>16</v>
      </c>
      <c r="H1006" s="1" t="s">
        <v>47</v>
      </c>
      <c r="I1006" s="1" t="s">
        <v>18</v>
      </c>
      <c r="J1006">
        <v>15</v>
      </c>
      <c r="K1006">
        <v>40</v>
      </c>
      <c r="L1006" s="1" t="s">
        <v>21</v>
      </c>
    </row>
    <row r="1007" spans="1:12" x14ac:dyDescent="0.3">
      <c r="A1007" s="1" t="s">
        <v>657</v>
      </c>
      <c r="B1007" s="2">
        <v>45997</v>
      </c>
      <c r="C1007" s="2">
        <v>46038</v>
      </c>
      <c r="D1007" s="1" t="s">
        <v>13</v>
      </c>
      <c r="E1007" s="1" t="s">
        <v>24</v>
      </c>
      <c r="F1007" s="1" t="s">
        <v>15</v>
      </c>
      <c r="G1007" s="1" t="s">
        <v>16</v>
      </c>
      <c r="H1007" s="1" t="s">
        <v>17</v>
      </c>
      <c r="I1007" s="1" t="s">
        <v>41</v>
      </c>
      <c r="J1007">
        <v>30</v>
      </c>
      <c r="K1007">
        <v>41</v>
      </c>
      <c r="L1007" s="1" t="s">
        <v>21</v>
      </c>
    </row>
    <row r="1008" spans="1:12" x14ac:dyDescent="0.3">
      <c r="A1008" s="1" t="s">
        <v>678</v>
      </c>
      <c r="B1008" s="2">
        <v>45997</v>
      </c>
      <c r="C1008" s="2">
        <v>45999</v>
      </c>
      <c r="D1008" s="1" t="s">
        <v>13</v>
      </c>
      <c r="E1008" s="1" t="s">
        <v>14</v>
      </c>
      <c r="F1008" s="1" t="s">
        <v>15</v>
      </c>
      <c r="G1008" s="1" t="s">
        <v>53</v>
      </c>
      <c r="H1008" s="1" t="s">
        <v>47</v>
      </c>
      <c r="I1008" s="1" t="s">
        <v>41</v>
      </c>
      <c r="J1008">
        <v>15</v>
      </c>
      <c r="K1008">
        <v>2</v>
      </c>
      <c r="L1008" s="1" t="s">
        <v>30</v>
      </c>
    </row>
    <row r="1009" spans="1:12" x14ac:dyDescent="0.3">
      <c r="A1009" s="1" t="s">
        <v>830</v>
      </c>
      <c r="B1009" s="2">
        <v>45997</v>
      </c>
      <c r="C1009" s="2">
        <v>46019</v>
      </c>
      <c r="D1009" s="1" t="s">
        <v>32</v>
      </c>
      <c r="E1009" s="1" t="s">
        <v>14</v>
      </c>
      <c r="F1009" s="1" t="s">
        <v>15</v>
      </c>
      <c r="G1009" s="1" t="s">
        <v>16</v>
      </c>
      <c r="H1009" s="1" t="s">
        <v>71</v>
      </c>
      <c r="I1009" s="1" t="s">
        <v>18</v>
      </c>
      <c r="J1009">
        <v>30</v>
      </c>
      <c r="K1009">
        <v>22</v>
      </c>
      <c r="L1009" s="1" t="s">
        <v>19</v>
      </c>
    </row>
    <row r="1010" spans="1:12" x14ac:dyDescent="0.3">
      <c r="A1010" s="1" t="s">
        <v>855</v>
      </c>
      <c r="B1010" s="2">
        <v>45997</v>
      </c>
      <c r="C1010" s="2">
        <v>46029</v>
      </c>
      <c r="D1010" s="1" t="s">
        <v>28</v>
      </c>
      <c r="E1010" s="1" t="s">
        <v>14</v>
      </c>
      <c r="F1010" s="1" t="s">
        <v>15</v>
      </c>
      <c r="G1010" s="1" t="s">
        <v>16</v>
      </c>
      <c r="H1010" s="1" t="s">
        <v>54</v>
      </c>
      <c r="I1010" s="1" t="s">
        <v>18</v>
      </c>
      <c r="J1010">
        <v>15</v>
      </c>
      <c r="K1010">
        <v>32</v>
      </c>
      <c r="L1010" s="1" t="s">
        <v>21</v>
      </c>
    </row>
    <row r="1011" spans="1:12" x14ac:dyDescent="0.3">
      <c r="A1011" s="1" t="s">
        <v>1822</v>
      </c>
      <c r="B1011" s="2">
        <v>45997</v>
      </c>
      <c r="C1011" s="2">
        <v>46002</v>
      </c>
      <c r="D1011" s="1" t="s">
        <v>37</v>
      </c>
      <c r="E1011" s="1" t="s">
        <v>14</v>
      </c>
      <c r="F1011" s="1" t="s">
        <v>15</v>
      </c>
      <c r="G1011" s="1" t="s">
        <v>16</v>
      </c>
      <c r="H1011" s="1" t="s">
        <v>39</v>
      </c>
      <c r="I1011" s="1" t="s">
        <v>26</v>
      </c>
      <c r="J1011">
        <v>30</v>
      </c>
      <c r="K1011">
        <v>5</v>
      </c>
      <c r="L1011" s="1" t="s">
        <v>30</v>
      </c>
    </row>
    <row r="1012" spans="1:12" x14ac:dyDescent="0.3">
      <c r="A1012" s="1" t="s">
        <v>2178</v>
      </c>
      <c r="B1012" s="2">
        <v>45997</v>
      </c>
      <c r="C1012" s="2">
        <v>46017</v>
      </c>
      <c r="D1012" s="1" t="s">
        <v>32</v>
      </c>
      <c r="E1012" s="1" t="s">
        <v>14</v>
      </c>
      <c r="F1012" s="1" t="s">
        <v>15</v>
      </c>
      <c r="G1012" s="1" t="s">
        <v>16</v>
      </c>
      <c r="H1012" s="1" t="s">
        <v>71</v>
      </c>
      <c r="I1012" s="1" t="s">
        <v>18</v>
      </c>
      <c r="J1012">
        <v>15</v>
      </c>
      <c r="K1012">
        <v>20</v>
      </c>
      <c r="L1012" s="1" t="s">
        <v>19</v>
      </c>
    </row>
    <row r="1013" spans="1:12" x14ac:dyDescent="0.3">
      <c r="A1013" s="1" t="s">
        <v>2298</v>
      </c>
      <c r="B1013" s="2">
        <v>45997</v>
      </c>
      <c r="C1013" s="2">
        <v>46018</v>
      </c>
      <c r="D1013" s="1" t="s">
        <v>28</v>
      </c>
      <c r="E1013" s="1" t="s">
        <v>24</v>
      </c>
      <c r="F1013" s="1" t="s">
        <v>38</v>
      </c>
      <c r="G1013" s="1" t="s">
        <v>16</v>
      </c>
      <c r="H1013" s="1" t="s">
        <v>29</v>
      </c>
      <c r="I1013" s="1" t="s">
        <v>26</v>
      </c>
      <c r="J1013">
        <v>30</v>
      </c>
      <c r="K1013">
        <v>21</v>
      </c>
      <c r="L1013" s="1" t="s">
        <v>19</v>
      </c>
    </row>
    <row r="1014" spans="1:12" x14ac:dyDescent="0.3">
      <c r="A1014" s="1" t="s">
        <v>101</v>
      </c>
      <c r="B1014" s="2">
        <v>45996</v>
      </c>
      <c r="C1014" s="2">
        <v>46017</v>
      </c>
      <c r="D1014" s="1" t="s">
        <v>32</v>
      </c>
      <c r="E1014" s="1" t="s">
        <v>24</v>
      </c>
      <c r="F1014" s="1" t="s">
        <v>15</v>
      </c>
      <c r="G1014" s="1" t="s">
        <v>53</v>
      </c>
      <c r="H1014" s="1" t="s">
        <v>34</v>
      </c>
      <c r="I1014" s="1" t="s">
        <v>41</v>
      </c>
      <c r="J1014">
        <v>30</v>
      </c>
      <c r="K1014">
        <v>21</v>
      </c>
      <c r="L1014" s="1" t="s">
        <v>19</v>
      </c>
    </row>
    <row r="1015" spans="1:12" x14ac:dyDescent="0.3">
      <c r="A1015" s="1" t="s">
        <v>139</v>
      </c>
      <c r="B1015" s="2">
        <v>45996</v>
      </c>
      <c r="C1015" s="2">
        <v>45999</v>
      </c>
      <c r="D1015" s="1" t="s">
        <v>28</v>
      </c>
      <c r="E1015" s="1" t="s">
        <v>14</v>
      </c>
      <c r="F1015" s="1" t="s">
        <v>15</v>
      </c>
      <c r="G1015" s="1" t="s">
        <v>16</v>
      </c>
      <c r="H1015" s="1" t="s">
        <v>54</v>
      </c>
      <c r="I1015" s="1" t="s">
        <v>26</v>
      </c>
      <c r="J1015">
        <v>15</v>
      </c>
      <c r="K1015">
        <v>3</v>
      </c>
      <c r="L1015" s="1" t="s">
        <v>30</v>
      </c>
    </row>
    <row r="1016" spans="1:12" x14ac:dyDescent="0.3">
      <c r="A1016" s="1" t="s">
        <v>232</v>
      </c>
      <c r="B1016" s="2">
        <v>45996</v>
      </c>
      <c r="C1016" s="2">
        <v>46017</v>
      </c>
      <c r="D1016" s="1" t="s">
        <v>13</v>
      </c>
      <c r="E1016" s="1" t="s">
        <v>14</v>
      </c>
      <c r="F1016" s="1" t="s">
        <v>15</v>
      </c>
      <c r="G1016" s="1" t="s">
        <v>16</v>
      </c>
      <c r="H1016" s="1" t="s">
        <v>17</v>
      </c>
      <c r="I1016" s="1" t="s">
        <v>18</v>
      </c>
      <c r="J1016">
        <v>15</v>
      </c>
      <c r="K1016">
        <v>21</v>
      </c>
      <c r="L1016" s="1" t="s">
        <v>19</v>
      </c>
    </row>
    <row r="1017" spans="1:12" x14ac:dyDescent="0.3">
      <c r="A1017" s="1" t="s">
        <v>2015</v>
      </c>
      <c r="B1017" s="2">
        <v>45996</v>
      </c>
      <c r="C1017" s="2">
        <v>46054</v>
      </c>
      <c r="D1017" s="1" t="s">
        <v>37</v>
      </c>
      <c r="E1017" s="1" t="s">
        <v>24</v>
      </c>
      <c r="F1017" s="1" t="s">
        <v>15</v>
      </c>
      <c r="G1017" s="1" t="s">
        <v>16</v>
      </c>
      <c r="H1017" s="1" t="s">
        <v>49</v>
      </c>
      <c r="I1017" s="1" t="s">
        <v>26</v>
      </c>
      <c r="J1017">
        <v>45</v>
      </c>
      <c r="K1017">
        <v>58</v>
      </c>
      <c r="L1017" s="1" t="s">
        <v>80</v>
      </c>
    </row>
    <row r="1018" spans="1:12" x14ac:dyDescent="0.3">
      <c r="A1018" s="1" t="s">
        <v>2309</v>
      </c>
      <c r="B1018" s="2">
        <v>45996</v>
      </c>
      <c r="C1018" s="2">
        <v>46046</v>
      </c>
      <c r="D1018" s="1" t="s">
        <v>37</v>
      </c>
      <c r="E1018" s="1" t="s">
        <v>24</v>
      </c>
      <c r="F1018" s="1" t="s">
        <v>15</v>
      </c>
      <c r="G1018" s="1" t="s">
        <v>16</v>
      </c>
      <c r="H1018" s="1" t="s">
        <v>49</v>
      </c>
      <c r="I1018" s="1" t="s">
        <v>26</v>
      </c>
      <c r="J1018">
        <v>30</v>
      </c>
      <c r="K1018">
        <v>50</v>
      </c>
      <c r="L1018" s="1" t="s">
        <v>44</v>
      </c>
    </row>
    <row r="1019" spans="1:12" x14ac:dyDescent="0.3">
      <c r="A1019" s="1" t="s">
        <v>1745</v>
      </c>
      <c r="B1019" s="2">
        <v>45996</v>
      </c>
      <c r="C1019" s="2">
        <v>46036</v>
      </c>
      <c r="D1019" s="1" t="s">
        <v>37</v>
      </c>
      <c r="E1019" s="1" t="s">
        <v>24</v>
      </c>
      <c r="F1019" s="1" t="s">
        <v>15</v>
      </c>
      <c r="G1019" s="1" t="s">
        <v>53</v>
      </c>
      <c r="H1019" s="1" t="s">
        <v>39</v>
      </c>
      <c r="I1019" s="1" t="s">
        <v>41</v>
      </c>
      <c r="J1019">
        <v>45</v>
      </c>
      <c r="K1019">
        <v>40</v>
      </c>
      <c r="L1019" s="1" t="s">
        <v>21</v>
      </c>
    </row>
    <row r="1020" spans="1:12" x14ac:dyDescent="0.3">
      <c r="A1020" s="1" t="s">
        <v>3234</v>
      </c>
      <c r="B1020" s="2">
        <v>45996</v>
      </c>
      <c r="C1020" s="2">
        <v>46035</v>
      </c>
      <c r="D1020" s="1" t="s">
        <v>37</v>
      </c>
      <c r="E1020" s="1" t="s">
        <v>24</v>
      </c>
      <c r="F1020" s="1" t="s">
        <v>38</v>
      </c>
      <c r="G1020" s="1" t="s">
        <v>16</v>
      </c>
      <c r="H1020" s="1" t="s">
        <v>39</v>
      </c>
      <c r="I1020" s="1" t="s">
        <v>18</v>
      </c>
      <c r="J1020">
        <v>30</v>
      </c>
      <c r="K1020">
        <v>39</v>
      </c>
      <c r="L1020" s="1" t="s">
        <v>21</v>
      </c>
    </row>
    <row r="1021" spans="1:12" x14ac:dyDescent="0.3">
      <c r="A1021" s="1" t="s">
        <v>1552</v>
      </c>
      <c r="B1021" s="2">
        <v>45996</v>
      </c>
      <c r="C1021" s="2">
        <v>46015</v>
      </c>
      <c r="D1021" s="1" t="s">
        <v>23</v>
      </c>
      <c r="E1021" s="1" t="s">
        <v>14</v>
      </c>
      <c r="F1021" s="1" t="s">
        <v>15</v>
      </c>
      <c r="G1021" s="1" t="s">
        <v>16</v>
      </c>
      <c r="H1021" s="1" t="s">
        <v>43</v>
      </c>
      <c r="I1021" s="1" t="s">
        <v>26</v>
      </c>
      <c r="J1021">
        <v>15</v>
      </c>
      <c r="K1021">
        <v>19</v>
      </c>
      <c r="L1021" s="1" t="s">
        <v>19</v>
      </c>
    </row>
    <row r="1022" spans="1:12" x14ac:dyDescent="0.3">
      <c r="A1022" s="1" t="s">
        <v>1738</v>
      </c>
      <c r="B1022" s="2">
        <v>45996</v>
      </c>
      <c r="C1022" s="2">
        <v>46037</v>
      </c>
      <c r="D1022" s="1" t="s">
        <v>32</v>
      </c>
      <c r="E1022" s="1" t="s">
        <v>14</v>
      </c>
      <c r="F1022" s="1" t="s">
        <v>38</v>
      </c>
      <c r="G1022" s="1" t="s">
        <v>16</v>
      </c>
      <c r="H1022" s="1" t="s">
        <v>34</v>
      </c>
      <c r="I1022" s="1" t="s">
        <v>26</v>
      </c>
      <c r="J1022">
        <v>30</v>
      </c>
      <c r="K1022">
        <v>41</v>
      </c>
      <c r="L1022" s="1" t="s">
        <v>21</v>
      </c>
    </row>
    <row r="1023" spans="1:12" x14ac:dyDescent="0.3">
      <c r="A1023" s="1" t="s">
        <v>753</v>
      </c>
      <c r="B1023" s="2">
        <v>45995</v>
      </c>
      <c r="C1023" s="2">
        <v>46037</v>
      </c>
      <c r="D1023" s="1" t="s">
        <v>28</v>
      </c>
      <c r="E1023" s="1" t="s">
        <v>24</v>
      </c>
      <c r="F1023" s="1" t="s">
        <v>38</v>
      </c>
      <c r="G1023" s="1" t="s">
        <v>16</v>
      </c>
      <c r="H1023" s="1" t="s">
        <v>29</v>
      </c>
      <c r="I1023" s="1" t="s">
        <v>18</v>
      </c>
      <c r="J1023">
        <v>30</v>
      </c>
      <c r="K1023">
        <v>42</v>
      </c>
      <c r="L1023" s="1" t="s">
        <v>21</v>
      </c>
    </row>
    <row r="1024" spans="1:12" x14ac:dyDescent="0.3">
      <c r="A1024" s="1" t="s">
        <v>869</v>
      </c>
      <c r="B1024" s="2">
        <v>45995</v>
      </c>
      <c r="C1024" s="2">
        <v>46001</v>
      </c>
      <c r="D1024" s="1" t="s">
        <v>28</v>
      </c>
      <c r="E1024" s="1" t="s">
        <v>14</v>
      </c>
      <c r="F1024" s="1" t="s">
        <v>15</v>
      </c>
      <c r="G1024" s="1" t="s">
        <v>16</v>
      </c>
      <c r="H1024" s="1" t="s">
        <v>54</v>
      </c>
      <c r="I1024" s="1" t="s">
        <v>18</v>
      </c>
      <c r="J1024">
        <v>15</v>
      </c>
      <c r="K1024">
        <v>6</v>
      </c>
      <c r="L1024" s="1" t="s">
        <v>30</v>
      </c>
    </row>
    <row r="1025" spans="1:12" x14ac:dyDescent="0.3">
      <c r="A1025" s="1" t="s">
        <v>592</v>
      </c>
      <c r="B1025" s="2">
        <v>45995</v>
      </c>
      <c r="C1025" s="2">
        <v>46033</v>
      </c>
      <c r="D1025" s="1" t="s">
        <v>37</v>
      </c>
      <c r="E1025" s="1" t="s">
        <v>14</v>
      </c>
      <c r="F1025" s="1" t="s">
        <v>15</v>
      </c>
      <c r="G1025" s="1" t="s">
        <v>16</v>
      </c>
      <c r="H1025" s="1" t="s">
        <v>39</v>
      </c>
      <c r="I1025" s="1" t="s">
        <v>26</v>
      </c>
      <c r="J1025">
        <v>15</v>
      </c>
      <c r="K1025">
        <v>38</v>
      </c>
      <c r="L1025" s="1" t="s">
        <v>21</v>
      </c>
    </row>
    <row r="1026" spans="1:12" x14ac:dyDescent="0.3">
      <c r="A1026" s="1" t="s">
        <v>1369</v>
      </c>
      <c r="B1026" s="2">
        <v>45995</v>
      </c>
      <c r="C1026" s="2">
        <v>46039</v>
      </c>
      <c r="D1026" s="1" t="s">
        <v>23</v>
      </c>
      <c r="E1026" s="1" t="s">
        <v>14</v>
      </c>
      <c r="F1026" s="1" t="s">
        <v>15</v>
      </c>
      <c r="G1026" s="1" t="s">
        <v>16</v>
      </c>
      <c r="H1026" s="1" t="s">
        <v>25</v>
      </c>
      <c r="I1026" s="1" t="s">
        <v>26</v>
      </c>
      <c r="J1026">
        <v>15</v>
      </c>
      <c r="K1026">
        <v>44</v>
      </c>
      <c r="L1026" s="1" t="s">
        <v>44</v>
      </c>
    </row>
    <row r="1027" spans="1:12" x14ac:dyDescent="0.3">
      <c r="A1027" s="1" t="s">
        <v>2327</v>
      </c>
      <c r="B1027" s="2">
        <v>45995</v>
      </c>
      <c r="C1027" s="2">
        <v>46031</v>
      </c>
      <c r="D1027" s="1" t="s">
        <v>28</v>
      </c>
      <c r="E1027" s="1" t="s">
        <v>24</v>
      </c>
      <c r="F1027" s="1" t="s">
        <v>15</v>
      </c>
      <c r="G1027" s="1" t="s">
        <v>16</v>
      </c>
      <c r="H1027" s="1" t="s">
        <v>54</v>
      </c>
      <c r="I1027" s="1" t="s">
        <v>26</v>
      </c>
      <c r="J1027">
        <v>30</v>
      </c>
      <c r="K1027">
        <v>36</v>
      </c>
      <c r="L1027" s="1" t="s">
        <v>21</v>
      </c>
    </row>
    <row r="1028" spans="1:12" x14ac:dyDescent="0.3">
      <c r="A1028" s="1" t="s">
        <v>2510</v>
      </c>
      <c r="B1028" s="2">
        <v>45995</v>
      </c>
      <c r="C1028" s="2">
        <v>46041</v>
      </c>
      <c r="D1028" s="1" t="s">
        <v>28</v>
      </c>
      <c r="E1028" s="1" t="s">
        <v>14</v>
      </c>
      <c r="F1028" s="1" t="s">
        <v>38</v>
      </c>
      <c r="G1028" s="1" t="s">
        <v>33</v>
      </c>
      <c r="H1028" s="1" t="s">
        <v>54</v>
      </c>
      <c r="I1028" s="1" t="s">
        <v>41</v>
      </c>
      <c r="J1028">
        <v>30</v>
      </c>
      <c r="K1028">
        <v>46</v>
      </c>
      <c r="L1028" s="1" t="s">
        <v>44</v>
      </c>
    </row>
    <row r="1029" spans="1:12" x14ac:dyDescent="0.3">
      <c r="A1029" s="1" t="s">
        <v>2674</v>
      </c>
      <c r="B1029" s="2">
        <v>45995</v>
      </c>
      <c r="C1029" s="2">
        <v>46044</v>
      </c>
      <c r="D1029" s="1" t="s">
        <v>28</v>
      </c>
      <c r="E1029" s="1" t="s">
        <v>14</v>
      </c>
      <c r="F1029" s="1" t="s">
        <v>15</v>
      </c>
      <c r="G1029" s="1" t="s">
        <v>16</v>
      </c>
      <c r="H1029" s="1" t="s">
        <v>29</v>
      </c>
      <c r="I1029" s="1" t="s">
        <v>26</v>
      </c>
      <c r="J1029">
        <v>30</v>
      </c>
      <c r="K1029">
        <v>49</v>
      </c>
      <c r="L1029" s="1" t="s">
        <v>44</v>
      </c>
    </row>
    <row r="1030" spans="1:12" x14ac:dyDescent="0.3">
      <c r="A1030" s="1" t="s">
        <v>90</v>
      </c>
      <c r="B1030" s="2">
        <v>45994</v>
      </c>
      <c r="C1030" s="2">
        <v>46025</v>
      </c>
      <c r="D1030" s="1" t="s">
        <v>23</v>
      </c>
      <c r="E1030" s="1" t="s">
        <v>24</v>
      </c>
      <c r="F1030" s="1" t="s">
        <v>15</v>
      </c>
      <c r="G1030" s="1" t="s">
        <v>53</v>
      </c>
      <c r="H1030" s="1" t="s">
        <v>25</v>
      </c>
      <c r="I1030" s="1" t="s">
        <v>41</v>
      </c>
      <c r="J1030">
        <v>30</v>
      </c>
      <c r="K1030">
        <v>31</v>
      </c>
      <c r="L1030" s="1" t="s">
        <v>21</v>
      </c>
    </row>
    <row r="1031" spans="1:12" x14ac:dyDescent="0.3">
      <c r="A1031" s="1" t="s">
        <v>458</v>
      </c>
      <c r="B1031" s="2">
        <v>45994</v>
      </c>
      <c r="C1031" s="2">
        <v>46042</v>
      </c>
      <c r="D1031" s="1" t="s">
        <v>32</v>
      </c>
      <c r="E1031" s="1" t="s">
        <v>14</v>
      </c>
      <c r="F1031" s="1" t="s">
        <v>15</v>
      </c>
      <c r="G1031" s="1" t="s">
        <v>33</v>
      </c>
      <c r="H1031" s="1" t="s">
        <v>34</v>
      </c>
      <c r="I1031" s="1" t="s">
        <v>18</v>
      </c>
      <c r="J1031">
        <v>15</v>
      </c>
      <c r="K1031">
        <v>48</v>
      </c>
      <c r="L1031" s="1" t="s">
        <v>44</v>
      </c>
    </row>
    <row r="1032" spans="1:12" x14ac:dyDescent="0.3">
      <c r="A1032" s="1" t="s">
        <v>298</v>
      </c>
      <c r="B1032" s="2">
        <v>45994</v>
      </c>
      <c r="C1032" s="2">
        <v>46040</v>
      </c>
      <c r="D1032" s="1" t="s">
        <v>37</v>
      </c>
      <c r="E1032" s="1" t="s">
        <v>24</v>
      </c>
      <c r="F1032" s="1" t="s">
        <v>15</v>
      </c>
      <c r="G1032" s="1" t="s">
        <v>16</v>
      </c>
      <c r="H1032" s="1" t="s">
        <v>39</v>
      </c>
      <c r="I1032" s="1" t="s">
        <v>41</v>
      </c>
      <c r="J1032">
        <v>45</v>
      </c>
      <c r="K1032">
        <v>46</v>
      </c>
      <c r="L1032" s="1" t="s">
        <v>44</v>
      </c>
    </row>
    <row r="1033" spans="1:12" x14ac:dyDescent="0.3">
      <c r="A1033" s="1" t="s">
        <v>1340</v>
      </c>
      <c r="B1033" s="2">
        <v>45994</v>
      </c>
      <c r="C1033" s="2">
        <v>46031</v>
      </c>
      <c r="D1033" s="1" t="s">
        <v>37</v>
      </c>
      <c r="E1033" s="1" t="s">
        <v>24</v>
      </c>
      <c r="F1033" s="1" t="s">
        <v>15</v>
      </c>
      <c r="G1033" s="1" t="s">
        <v>33</v>
      </c>
      <c r="H1033" s="1" t="s">
        <v>39</v>
      </c>
      <c r="I1033" s="1" t="s">
        <v>26</v>
      </c>
      <c r="J1033">
        <v>30</v>
      </c>
      <c r="K1033">
        <v>37</v>
      </c>
      <c r="L1033" s="1" t="s">
        <v>21</v>
      </c>
    </row>
    <row r="1034" spans="1:12" x14ac:dyDescent="0.3">
      <c r="A1034" s="1" t="s">
        <v>1710</v>
      </c>
      <c r="B1034" s="2">
        <v>45994</v>
      </c>
      <c r="C1034" s="2">
        <v>46027</v>
      </c>
      <c r="D1034" s="1" t="s">
        <v>37</v>
      </c>
      <c r="E1034" s="1" t="s">
        <v>14</v>
      </c>
      <c r="F1034" s="1" t="s">
        <v>15</v>
      </c>
      <c r="G1034" s="1" t="s">
        <v>16</v>
      </c>
      <c r="H1034" s="1" t="s">
        <v>49</v>
      </c>
      <c r="I1034" s="1" t="s">
        <v>18</v>
      </c>
      <c r="J1034">
        <v>30</v>
      </c>
      <c r="K1034">
        <v>33</v>
      </c>
      <c r="L1034" s="1" t="s">
        <v>21</v>
      </c>
    </row>
    <row r="1035" spans="1:12" x14ac:dyDescent="0.3">
      <c r="A1035" s="1" t="s">
        <v>2076</v>
      </c>
      <c r="B1035" s="2">
        <v>45994</v>
      </c>
      <c r="C1035" s="2">
        <v>46037</v>
      </c>
      <c r="D1035" s="1" t="s">
        <v>32</v>
      </c>
      <c r="E1035" s="1" t="s">
        <v>24</v>
      </c>
      <c r="F1035" s="1" t="s">
        <v>15</v>
      </c>
      <c r="G1035" s="1" t="s">
        <v>16</v>
      </c>
      <c r="H1035" s="1" t="s">
        <v>34</v>
      </c>
      <c r="I1035" s="1" t="s">
        <v>41</v>
      </c>
      <c r="J1035">
        <v>30</v>
      </c>
      <c r="K1035">
        <v>43</v>
      </c>
      <c r="L1035" s="1" t="s">
        <v>44</v>
      </c>
    </row>
    <row r="1036" spans="1:12" x14ac:dyDescent="0.3">
      <c r="A1036" s="1" t="s">
        <v>2480</v>
      </c>
      <c r="B1036" s="2">
        <v>45994</v>
      </c>
      <c r="C1036" s="2">
        <v>46024</v>
      </c>
      <c r="D1036" s="1" t="s">
        <v>23</v>
      </c>
      <c r="E1036" s="1" t="s">
        <v>24</v>
      </c>
      <c r="F1036" s="1" t="s">
        <v>15</v>
      </c>
      <c r="G1036" s="1" t="s">
        <v>16</v>
      </c>
      <c r="H1036" s="1" t="s">
        <v>43</v>
      </c>
      <c r="I1036" s="1" t="s">
        <v>26</v>
      </c>
      <c r="J1036">
        <v>30</v>
      </c>
      <c r="K1036">
        <v>30</v>
      </c>
      <c r="L1036" s="1" t="s">
        <v>21</v>
      </c>
    </row>
    <row r="1037" spans="1:12" x14ac:dyDescent="0.3">
      <c r="A1037" s="1" t="s">
        <v>1113</v>
      </c>
      <c r="B1037" s="2">
        <v>45993</v>
      </c>
      <c r="C1037" s="2">
        <v>46029</v>
      </c>
      <c r="D1037" s="1" t="s">
        <v>13</v>
      </c>
      <c r="E1037" s="1" t="s">
        <v>24</v>
      </c>
      <c r="F1037" s="1" t="s">
        <v>38</v>
      </c>
      <c r="G1037" s="1" t="s">
        <v>16</v>
      </c>
      <c r="H1037" s="1" t="s">
        <v>17</v>
      </c>
      <c r="I1037" s="1" t="s">
        <v>26</v>
      </c>
      <c r="J1037">
        <v>30</v>
      </c>
      <c r="K1037">
        <v>36</v>
      </c>
      <c r="L1037" s="1" t="s">
        <v>21</v>
      </c>
    </row>
    <row r="1038" spans="1:12" x14ac:dyDescent="0.3">
      <c r="A1038" s="1" t="s">
        <v>1316</v>
      </c>
      <c r="B1038" s="2">
        <v>45993</v>
      </c>
      <c r="C1038" s="2">
        <v>46010</v>
      </c>
      <c r="D1038" s="1" t="s">
        <v>32</v>
      </c>
      <c r="E1038" s="1" t="s">
        <v>14</v>
      </c>
      <c r="F1038" s="1" t="s">
        <v>15</v>
      </c>
      <c r="G1038" s="1" t="s">
        <v>16</v>
      </c>
      <c r="H1038" s="1" t="s">
        <v>34</v>
      </c>
      <c r="I1038" s="1" t="s">
        <v>18</v>
      </c>
      <c r="J1038">
        <v>15</v>
      </c>
      <c r="K1038">
        <v>17</v>
      </c>
      <c r="L1038" s="1" t="s">
        <v>19</v>
      </c>
    </row>
    <row r="1039" spans="1:12" x14ac:dyDescent="0.3">
      <c r="A1039" s="1" t="s">
        <v>1371</v>
      </c>
      <c r="B1039" s="2">
        <v>45993</v>
      </c>
      <c r="C1039" s="2">
        <v>46020</v>
      </c>
      <c r="D1039" s="1" t="s">
        <v>13</v>
      </c>
      <c r="E1039" s="1" t="s">
        <v>14</v>
      </c>
      <c r="F1039" s="1" t="s">
        <v>15</v>
      </c>
      <c r="G1039" s="1" t="s">
        <v>33</v>
      </c>
      <c r="H1039" s="1" t="s">
        <v>17</v>
      </c>
      <c r="I1039" s="1" t="s">
        <v>26</v>
      </c>
      <c r="J1039">
        <v>15</v>
      </c>
      <c r="K1039">
        <v>27</v>
      </c>
      <c r="L1039" s="1" t="s">
        <v>19</v>
      </c>
    </row>
    <row r="1040" spans="1:12" x14ac:dyDescent="0.3">
      <c r="A1040" s="1" t="s">
        <v>1466</v>
      </c>
      <c r="B1040" s="2">
        <v>45993</v>
      </c>
      <c r="C1040" s="2">
        <v>46032</v>
      </c>
      <c r="D1040" s="1" t="s">
        <v>28</v>
      </c>
      <c r="E1040" s="1" t="s">
        <v>14</v>
      </c>
      <c r="F1040" s="1" t="s">
        <v>15</v>
      </c>
      <c r="G1040" s="1" t="s">
        <v>16</v>
      </c>
      <c r="H1040" s="1" t="s">
        <v>29</v>
      </c>
      <c r="I1040" s="1" t="s">
        <v>41</v>
      </c>
      <c r="J1040">
        <v>15</v>
      </c>
      <c r="K1040">
        <v>39</v>
      </c>
      <c r="L1040" s="1" t="s">
        <v>21</v>
      </c>
    </row>
    <row r="1041" spans="1:12" x14ac:dyDescent="0.3">
      <c r="A1041" s="1" t="s">
        <v>1855</v>
      </c>
      <c r="B1041" s="2">
        <v>45993</v>
      </c>
      <c r="C1041" s="2">
        <v>46001</v>
      </c>
      <c r="D1041" s="1" t="s">
        <v>28</v>
      </c>
      <c r="E1041" s="1" t="s">
        <v>14</v>
      </c>
      <c r="F1041" s="1" t="s">
        <v>15</v>
      </c>
      <c r="G1041" s="1" t="s">
        <v>16</v>
      </c>
      <c r="H1041" s="1" t="s">
        <v>54</v>
      </c>
      <c r="I1041" s="1" t="s">
        <v>41</v>
      </c>
      <c r="J1041">
        <v>30</v>
      </c>
      <c r="K1041">
        <v>8</v>
      </c>
      <c r="L1041" s="1" t="s">
        <v>30</v>
      </c>
    </row>
    <row r="1042" spans="1:12" x14ac:dyDescent="0.3">
      <c r="A1042" s="1" t="s">
        <v>2154</v>
      </c>
      <c r="B1042" s="2">
        <v>45993</v>
      </c>
      <c r="C1042" s="2">
        <v>46037</v>
      </c>
      <c r="D1042" s="1" t="s">
        <v>23</v>
      </c>
      <c r="E1042" s="1" t="s">
        <v>24</v>
      </c>
      <c r="F1042" s="1" t="s">
        <v>38</v>
      </c>
      <c r="G1042" s="1" t="s">
        <v>16</v>
      </c>
      <c r="H1042" s="1" t="s">
        <v>43</v>
      </c>
      <c r="I1042" s="1" t="s">
        <v>26</v>
      </c>
      <c r="J1042">
        <v>30</v>
      </c>
      <c r="K1042">
        <v>44</v>
      </c>
      <c r="L1042" s="1" t="s">
        <v>44</v>
      </c>
    </row>
    <row r="1043" spans="1:12" x14ac:dyDescent="0.3">
      <c r="A1043" s="1" t="s">
        <v>2859</v>
      </c>
      <c r="B1043" s="2">
        <v>45993</v>
      </c>
      <c r="C1043" s="2">
        <v>46000</v>
      </c>
      <c r="D1043" s="1" t="s">
        <v>13</v>
      </c>
      <c r="E1043" s="1" t="s">
        <v>14</v>
      </c>
      <c r="F1043" s="1" t="s">
        <v>15</v>
      </c>
      <c r="G1043" s="1" t="s">
        <v>16</v>
      </c>
      <c r="H1043" s="1" t="s">
        <v>47</v>
      </c>
      <c r="I1043" s="1" t="s">
        <v>41</v>
      </c>
      <c r="J1043">
        <v>15</v>
      </c>
      <c r="K1043">
        <v>7</v>
      </c>
      <c r="L1043" s="1" t="s">
        <v>30</v>
      </c>
    </row>
    <row r="1044" spans="1:12" x14ac:dyDescent="0.3">
      <c r="A1044" s="1" t="s">
        <v>353</v>
      </c>
      <c r="B1044" s="2">
        <v>45992</v>
      </c>
      <c r="C1044" s="2">
        <v>46016</v>
      </c>
      <c r="D1044" s="1" t="s">
        <v>28</v>
      </c>
      <c r="E1044" s="1" t="s">
        <v>14</v>
      </c>
      <c r="F1044" s="1" t="s">
        <v>15</v>
      </c>
      <c r="G1044" s="1" t="s">
        <v>16</v>
      </c>
      <c r="H1044" s="1" t="s">
        <v>54</v>
      </c>
      <c r="I1044" s="1" t="s">
        <v>26</v>
      </c>
      <c r="J1044">
        <v>15</v>
      </c>
      <c r="K1044">
        <v>24</v>
      </c>
      <c r="L1044" s="1" t="s">
        <v>19</v>
      </c>
    </row>
    <row r="1045" spans="1:12" x14ac:dyDescent="0.3">
      <c r="A1045" s="1" t="s">
        <v>683</v>
      </c>
      <c r="B1045" s="2">
        <v>45992</v>
      </c>
      <c r="C1045" s="2">
        <v>46017</v>
      </c>
      <c r="D1045" s="1" t="s">
        <v>23</v>
      </c>
      <c r="E1045" s="1" t="s">
        <v>14</v>
      </c>
      <c r="F1045" s="1" t="s">
        <v>38</v>
      </c>
      <c r="G1045" s="1" t="s">
        <v>16</v>
      </c>
      <c r="H1045" s="1" t="s">
        <v>25</v>
      </c>
      <c r="I1045" s="1" t="s">
        <v>26</v>
      </c>
      <c r="J1045">
        <v>15</v>
      </c>
      <c r="K1045">
        <v>25</v>
      </c>
      <c r="L1045" s="1" t="s">
        <v>19</v>
      </c>
    </row>
    <row r="1046" spans="1:12" x14ac:dyDescent="0.3">
      <c r="A1046" s="1" t="s">
        <v>778</v>
      </c>
      <c r="B1046" s="2">
        <v>45992</v>
      </c>
      <c r="C1046" s="2">
        <v>46043</v>
      </c>
      <c r="D1046" s="1" t="s">
        <v>32</v>
      </c>
      <c r="E1046" s="1" t="s">
        <v>14</v>
      </c>
      <c r="F1046" s="1" t="s">
        <v>15</v>
      </c>
      <c r="G1046" s="1" t="s">
        <v>16</v>
      </c>
      <c r="H1046" s="1" t="s">
        <v>34</v>
      </c>
      <c r="I1046" s="1" t="s">
        <v>18</v>
      </c>
      <c r="J1046">
        <v>30</v>
      </c>
      <c r="K1046">
        <v>51</v>
      </c>
      <c r="L1046" s="1" t="s">
        <v>44</v>
      </c>
    </row>
    <row r="1047" spans="1:12" x14ac:dyDescent="0.3">
      <c r="A1047" s="1" t="s">
        <v>324</v>
      </c>
      <c r="B1047" s="2">
        <v>45992</v>
      </c>
      <c r="C1047" s="2">
        <v>46042</v>
      </c>
      <c r="D1047" s="1" t="s">
        <v>37</v>
      </c>
      <c r="E1047" s="1" t="s">
        <v>24</v>
      </c>
      <c r="F1047" s="1" t="s">
        <v>38</v>
      </c>
      <c r="G1047" s="1" t="s">
        <v>16</v>
      </c>
      <c r="H1047" s="1" t="s">
        <v>49</v>
      </c>
      <c r="I1047" s="1" t="s">
        <v>26</v>
      </c>
      <c r="J1047">
        <v>30</v>
      </c>
      <c r="K1047">
        <v>50</v>
      </c>
      <c r="L1047" s="1" t="s">
        <v>44</v>
      </c>
    </row>
    <row r="1048" spans="1:12" x14ac:dyDescent="0.3">
      <c r="A1048" s="1" t="s">
        <v>2322</v>
      </c>
      <c r="B1048" s="2">
        <v>45992</v>
      </c>
      <c r="C1048" s="2">
        <v>46023</v>
      </c>
      <c r="D1048" s="1" t="s">
        <v>37</v>
      </c>
      <c r="E1048" s="1" t="s">
        <v>14</v>
      </c>
      <c r="F1048" s="1" t="s">
        <v>38</v>
      </c>
      <c r="G1048" s="1" t="s">
        <v>16</v>
      </c>
      <c r="H1048" s="1" t="s">
        <v>39</v>
      </c>
      <c r="I1048" s="1" t="s">
        <v>26</v>
      </c>
      <c r="J1048">
        <v>15</v>
      </c>
      <c r="K1048">
        <v>31</v>
      </c>
      <c r="L1048" s="1" t="s">
        <v>21</v>
      </c>
    </row>
    <row r="1049" spans="1:12" x14ac:dyDescent="0.3">
      <c r="A1049" s="1" t="s">
        <v>3044</v>
      </c>
      <c r="B1049" s="2">
        <v>45992</v>
      </c>
      <c r="C1049" s="2">
        <v>46013</v>
      </c>
      <c r="D1049" s="1" t="s">
        <v>37</v>
      </c>
      <c r="E1049" s="1" t="s">
        <v>14</v>
      </c>
      <c r="F1049" s="1" t="s">
        <v>15</v>
      </c>
      <c r="G1049" s="1" t="s">
        <v>16</v>
      </c>
      <c r="H1049" s="1" t="s">
        <v>49</v>
      </c>
      <c r="I1049" s="1" t="s">
        <v>41</v>
      </c>
      <c r="J1049">
        <v>15</v>
      </c>
      <c r="K1049">
        <v>21</v>
      </c>
      <c r="L1049" s="1" t="s">
        <v>19</v>
      </c>
    </row>
    <row r="1050" spans="1:12" x14ac:dyDescent="0.3">
      <c r="A1050" s="1" t="s">
        <v>1348</v>
      </c>
      <c r="B1050" s="2">
        <v>45992</v>
      </c>
      <c r="C1050" s="2">
        <v>46004</v>
      </c>
      <c r="D1050" s="1" t="s">
        <v>32</v>
      </c>
      <c r="E1050" s="1" t="s">
        <v>14</v>
      </c>
      <c r="F1050" s="1" t="s">
        <v>15</v>
      </c>
      <c r="G1050" s="1" t="s">
        <v>16</v>
      </c>
      <c r="H1050" s="1" t="s">
        <v>34</v>
      </c>
      <c r="I1050" s="1" t="s">
        <v>26</v>
      </c>
      <c r="J1050">
        <v>15</v>
      </c>
      <c r="K1050">
        <v>12</v>
      </c>
      <c r="L1050" s="1" t="s">
        <v>30</v>
      </c>
    </row>
    <row r="1051" spans="1:12" x14ac:dyDescent="0.3">
      <c r="A1051" s="1" t="s">
        <v>1469</v>
      </c>
      <c r="B1051" s="2">
        <v>45992</v>
      </c>
      <c r="C1051" s="2">
        <v>46030</v>
      </c>
      <c r="D1051" s="1" t="s">
        <v>32</v>
      </c>
      <c r="E1051" s="1" t="s">
        <v>14</v>
      </c>
      <c r="F1051" s="1" t="s">
        <v>15</v>
      </c>
      <c r="G1051" s="1" t="s">
        <v>33</v>
      </c>
      <c r="H1051" s="1" t="s">
        <v>34</v>
      </c>
      <c r="I1051" s="1" t="s">
        <v>18</v>
      </c>
      <c r="J1051">
        <v>15</v>
      </c>
      <c r="K1051">
        <v>38</v>
      </c>
      <c r="L1051" s="1" t="s">
        <v>21</v>
      </c>
    </row>
    <row r="1052" spans="1:12" x14ac:dyDescent="0.3">
      <c r="A1052" s="1" t="s">
        <v>2701</v>
      </c>
      <c r="B1052" s="2">
        <v>45992</v>
      </c>
      <c r="C1052" s="2">
        <v>46057</v>
      </c>
      <c r="D1052" s="1" t="s">
        <v>28</v>
      </c>
      <c r="E1052" s="1" t="s">
        <v>24</v>
      </c>
      <c r="F1052" s="1" t="s">
        <v>38</v>
      </c>
      <c r="G1052" s="1" t="s">
        <v>16</v>
      </c>
      <c r="H1052" s="1" t="s">
        <v>29</v>
      </c>
      <c r="I1052" s="1" t="s">
        <v>26</v>
      </c>
      <c r="J1052">
        <v>45</v>
      </c>
      <c r="K1052">
        <v>65</v>
      </c>
      <c r="L1052" s="1" t="s">
        <v>80</v>
      </c>
    </row>
    <row r="1053" spans="1:12" x14ac:dyDescent="0.3">
      <c r="A1053" s="1" t="s">
        <v>2974</v>
      </c>
      <c r="B1053" s="2">
        <v>45992</v>
      </c>
      <c r="C1053" s="2">
        <v>46010</v>
      </c>
      <c r="D1053" s="1" t="s">
        <v>23</v>
      </c>
      <c r="E1053" s="1" t="s">
        <v>14</v>
      </c>
      <c r="F1053" s="1" t="s">
        <v>15</v>
      </c>
      <c r="G1053" s="1" t="s">
        <v>16</v>
      </c>
      <c r="H1053" s="1" t="s">
        <v>43</v>
      </c>
      <c r="I1053" s="1" t="s">
        <v>18</v>
      </c>
      <c r="J1053">
        <v>30</v>
      </c>
      <c r="K1053">
        <v>18</v>
      </c>
      <c r="L1053" s="1" t="s">
        <v>19</v>
      </c>
    </row>
    <row r="1054" spans="1:12" x14ac:dyDescent="0.3">
      <c r="A1054" s="1" t="s">
        <v>3235</v>
      </c>
      <c r="B1054" s="2">
        <v>45992</v>
      </c>
      <c r="C1054" s="2">
        <v>46036</v>
      </c>
      <c r="D1054" s="1" t="s">
        <v>28</v>
      </c>
      <c r="E1054" s="1" t="s">
        <v>24</v>
      </c>
      <c r="F1054" s="1" t="s">
        <v>15</v>
      </c>
      <c r="G1054" s="1" t="s">
        <v>16</v>
      </c>
      <c r="H1054" s="1" t="s">
        <v>29</v>
      </c>
      <c r="I1054" s="1" t="s">
        <v>26</v>
      </c>
      <c r="J1054">
        <v>30</v>
      </c>
      <c r="K1054">
        <v>44</v>
      </c>
      <c r="L1054" s="1" t="s">
        <v>44</v>
      </c>
    </row>
    <row r="1055" spans="1:12" x14ac:dyDescent="0.3">
      <c r="A1055" s="1" t="s">
        <v>121</v>
      </c>
      <c r="B1055" s="2">
        <v>45991</v>
      </c>
      <c r="C1055" s="2">
        <v>46022</v>
      </c>
      <c r="D1055" s="1" t="s">
        <v>13</v>
      </c>
      <c r="E1055" s="1" t="s">
        <v>24</v>
      </c>
      <c r="F1055" s="1" t="s">
        <v>38</v>
      </c>
      <c r="G1055" s="1" t="s">
        <v>33</v>
      </c>
      <c r="H1055" s="1" t="s">
        <v>17</v>
      </c>
      <c r="I1055" s="1" t="s">
        <v>26</v>
      </c>
      <c r="J1055">
        <v>45</v>
      </c>
      <c r="K1055">
        <v>31</v>
      </c>
      <c r="L1055" s="1" t="s">
        <v>21</v>
      </c>
    </row>
    <row r="1056" spans="1:12" x14ac:dyDescent="0.3">
      <c r="A1056" s="1" t="s">
        <v>163</v>
      </c>
      <c r="B1056" s="2">
        <v>45991</v>
      </c>
      <c r="C1056" s="2">
        <v>46007</v>
      </c>
      <c r="D1056" s="1" t="s">
        <v>32</v>
      </c>
      <c r="E1056" s="1" t="s">
        <v>24</v>
      </c>
      <c r="F1056" s="1" t="s">
        <v>38</v>
      </c>
      <c r="G1056" s="1" t="s">
        <v>16</v>
      </c>
      <c r="H1056" s="1" t="s">
        <v>34</v>
      </c>
      <c r="I1056" s="1" t="s">
        <v>26</v>
      </c>
      <c r="J1056">
        <v>30</v>
      </c>
      <c r="K1056">
        <v>16</v>
      </c>
      <c r="L1056" s="1" t="s">
        <v>19</v>
      </c>
    </row>
    <row r="1057" spans="1:12" x14ac:dyDescent="0.3">
      <c r="A1057" s="1" t="s">
        <v>901</v>
      </c>
      <c r="B1057" s="2">
        <v>45991</v>
      </c>
      <c r="C1057" s="2">
        <v>46037</v>
      </c>
      <c r="D1057" s="1" t="s">
        <v>32</v>
      </c>
      <c r="E1057" s="1" t="s">
        <v>24</v>
      </c>
      <c r="F1057" s="1" t="s">
        <v>15</v>
      </c>
      <c r="G1057" s="1" t="s">
        <v>16</v>
      </c>
      <c r="H1057" s="1" t="s">
        <v>71</v>
      </c>
      <c r="I1057" s="1" t="s">
        <v>26</v>
      </c>
      <c r="J1057">
        <v>45</v>
      </c>
      <c r="K1057">
        <v>46</v>
      </c>
      <c r="L1057" s="1" t="s">
        <v>44</v>
      </c>
    </row>
    <row r="1058" spans="1:12" x14ac:dyDescent="0.3">
      <c r="A1058" s="1" t="s">
        <v>1091</v>
      </c>
      <c r="B1058" s="2">
        <v>45991</v>
      </c>
      <c r="C1058" s="2">
        <v>46040</v>
      </c>
      <c r="D1058" s="1" t="s">
        <v>37</v>
      </c>
      <c r="E1058" s="1" t="s">
        <v>24</v>
      </c>
      <c r="F1058" s="1" t="s">
        <v>15</v>
      </c>
      <c r="G1058" s="1" t="s">
        <v>16</v>
      </c>
      <c r="H1058" s="1" t="s">
        <v>49</v>
      </c>
      <c r="I1058" s="1" t="s">
        <v>26</v>
      </c>
      <c r="J1058">
        <v>45</v>
      </c>
      <c r="K1058">
        <v>49</v>
      </c>
      <c r="L1058" s="1" t="s">
        <v>44</v>
      </c>
    </row>
    <row r="1059" spans="1:12" x14ac:dyDescent="0.3">
      <c r="A1059" s="1" t="s">
        <v>1174</v>
      </c>
      <c r="B1059" s="2">
        <v>45991</v>
      </c>
      <c r="C1059" s="2">
        <v>46007</v>
      </c>
      <c r="D1059" s="1" t="s">
        <v>37</v>
      </c>
      <c r="E1059" s="1" t="s">
        <v>14</v>
      </c>
      <c r="F1059" s="1" t="s">
        <v>15</v>
      </c>
      <c r="G1059" s="1" t="s">
        <v>16</v>
      </c>
      <c r="H1059" s="1" t="s">
        <v>39</v>
      </c>
      <c r="I1059" s="1" t="s">
        <v>26</v>
      </c>
      <c r="J1059">
        <v>15</v>
      </c>
      <c r="K1059">
        <v>16</v>
      </c>
      <c r="L1059" s="1" t="s">
        <v>19</v>
      </c>
    </row>
    <row r="1060" spans="1:12" x14ac:dyDescent="0.3">
      <c r="A1060" s="1" t="s">
        <v>1655</v>
      </c>
      <c r="B1060" s="2">
        <v>45991</v>
      </c>
      <c r="C1060" s="2">
        <v>46043</v>
      </c>
      <c r="D1060" s="1" t="s">
        <v>13</v>
      </c>
      <c r="E1060" s="1" t="s">
        <v>14</v>
      </c>
      <c r="F1060" s="1" t="s">
        <v>15</v>
      </c>
      <c r="G1060" s="1" t="s">
        <v>16</v>
      </c>
      <c r="H1060" s="1" t="s">
        <v>17</v>
      </c>
      <c r="I1060" s="1" t="s">
        <v>18</v>
      </c>
      <c r="J1060">
        <v>15</v>
      </c>
      <c r="K1060">
        <v>52</v>
      </c>
      <c r="L1060" s="1" t="s">
        <v>44</v>
      </c>
    </row>
    <row r="1061" spans="1:12" x14ac:dyDescent="0.3">
      <c r="A1061" s="1" t="s">
        <v>2144</v>
      </c>
      <c r="B1061" s="2">
        <v>45991</v>
      </c>
      <c r="C1061" s="2">
        <v>46033</v>
      </c>
      <c r="D1061" s="1" t="s">
        <v>32</v>
      </c>
      <c r="E1061" s="1" t="s">
        <v>14</v>
      </c>
      <c r="F1061" s="1" t="s">
        <v>38</v>
      </c>
      <c r="G1061" s="1" t="s">
        <v>16</v>
      </c>
      <c r="H1061" s="1" t="s">
        <v>34</v>
      </c>
      <c r="I1061" s="1" t="s">
        <v>41</v>
      </c>
      <c r="J1061">
        <v>30</v>
      </c>
      <c r="K1061">
        <v>42</v>
      </c>
      <c r="L1061" s="1" t="s">
        <v>21</v>
      </c>
    </row>
    <row r="1062" spans="1:12" x14ac:dyDescent="0.3">
      <c r="A1062" s="1" t="s">
        <v>2658</v>
      </c>
      <c r="B1062" s="2">
        <v>45991</v>
      </c>
      <c r="C1062" s="2">
        <v>46016</v>
      </c>
      <c r="D1062" s="1" t="s">
        <v>23</v>
      </c>
      <c r="E1062" s="1" t="s">
        <v>24</v>
      </c>
      <c r="F1062" s="1" t="s">
        <v>15</v>
      </c>
      <c r="G1062" s="1" t="s">
        <v>16</v>
      </c>
      <c r="H1062" s="1" t="s">
        <v>25</v>
      </c>
      <c r="I1062" s="1" t="s">
        <v>26</v>
      </c>
      <c r="J1062">
        <v>30</v>
      </c>
      <c r="K1062">
        <v>25</v>
      </c>
      <c r="L1062" s="1" t="s">
        <v>19</v>
      </c>
    </row>
    <row r="1063" spans="1:12" x14ac:dyDescent="0.3">
      <c r="A1063" s="1" t="s">
        <v>2764</v>
      </c>
      <c r="B1063" s="2">
        <v>45991</v>
      </c>
      <c r="C1063" s="2">
        <v>45993</v>
      </c>
      <c r="D1063" s="1" t="s">
        <v>28</v>
      </c>
      <c r="E1063" s="1" t="s">
        <v>14</v>
      </c>
      <c r="F1063" s="1" t="s">
        <v>15</v>
      </c>
      <c r="G1063" s="1" t="s">
        <v>53</v>
      </c>
      <c r="H1063" s="1" t="s">
        <v>29</v>
      </c>
      <c r="I1063" s="1" t="s">
        <v>26</v>
      </c>
      <c r="J1063">
        <v>15</v>
      </c>
      <c r="K1063">
        <v>2</v>
      </c>
      <c r="L1063" s="1" t="s">
        <v>30</v>
      </c>
    </row>
    <row r="1064" spans="1:12" x14ac:dyDescent="0.3">
      <c r="A1064" s="1" t="s">
        <v>3201</v>
      </c>
      <c r="B1064" s="2">
        <v>45991</v>
      </c>
      <c r="C1064" s="2">
        <v>46031</v>
      </c>
      <c r="D1064" s="1" t="s">
        <v>28</v>
      </c>
      <c r="E1064" s="1" t="s">
        <v>14</v>
      </c>
      <c r="F1064" s="1" t="s">
        <v>15</v>
      </c>
      <c r="G1064" s="1" t="s">
        <v>16</v>
      </c>
      <c r="H1064" s="1" t="s">
        <v>54</v>
      </c>
      <c r="I1064" s="1" t="s">
        <v>26</v>
      </c>
      <c r="J1064">
        <v>15</v>
      </c>
      <c r="K1064">
        <v>40</v>
      </c>
      <c r="L1064" s="1" t="s">
        <v>21</v>
      </c>
    </row>
    <row r="1065" spans="1:12" x14ac:dyDescent="0.3">
      <c r="A1065" s="1" t="s">
        <v>149</v>
      </c>
      <c r="B1065" s="2">
        <v>45990</v>
      </c>
      <c r="C1065" s="2">
        <v>46025</v>
      </c>
      <c r="D1065" s="1" t="s">
        <v>13</v>
      </c>
      <c r="E1065" s="1" t="s">
        <v>14</v>
      </c>
      <c r="F1065" s="1" t="s">
        <v>15</v>
      </c>
      <c r="G1065" s="1" t="s">
        <v>16</v>
      </c>
      <c r="H1065" s="1" t="s">
        <v>47</v>
      </c>
      <c r="I1065" s="1" t="s">
        <v>41</v>
      </c>
      <c r="J1065">
        <v>15</v>
      </c>
      <c r="K1065">
        <v>35</v>
      </c>
      <c r="L1065" s="1" t="s">
        <v>21</v>
      </c>
    </row>
    <row r="1066" spans="1:12" x14ac:dyDescent="0.3">
      <c r="A1066" s="1" t="s">
        <v>861</v>
      </c>
      <c r="B1066" s="2">
        <v>45990</v>
      </c>
      <c r="C1066" s="2">
        <v>46025</v>
      </c>
      <c r="D1066" s="1" t="s">
        <v>23</v>
      </c>
      <c r="E1066" s="1" t="s">
        <v>24</v>
      </c>
      <c r="F1066" s="1" t="s">
        <v>15</v>
      </c>
      <c r="G1066" s="1" t="s">
        <v>16</v>
      </c>
      <c r="H1066" s="1" t="s">
        <v>25</v>
      </c>
      <c r="I1066" s="1" t="s">
        <v>41</v>
      </c>
      <c r="J1066">
        <v>30</v>
      </c>
      <c r="K1066">
        <v>35</v>
      </c>
      <c r="L1066" s="1" t="s">
        <v>21</v>
      </c>
    </row>
    <row r="1067" spans="1:12" x14ac:dyDescent="0.3">
      <c r="A1067" s="1" t="s">
        <v>864</v>
      </c>
      <c r="B1067" s="2">
        <v>45990</v>
      </c>
      <c r="C1067" s="2">
        <v>46039</v>
      </c>
      <c r="D1067" s="1" t="s">
        <v>23</v>
      </c>
      <c r="E1067" s="1" t="s">
        <v>24</v>
      </c>
      <c r="F1067" s="1" t="s">
        <v>15</v>
      </c>
      <c r="G1067" s="1" t="s">
        <v>53</v>
      </c>
      <c r="H1067" s="1" t="s">
        <v>25</v>
      </c>
      <c r="I1067" s="1" t="s">
        <v>26</v>
      </c>
      <c r="J1067">
        <v>45</v>
      </c>
      <c r="K1067">
        <v>49</v>
      </c>
      <c r="L1067" s="1" t="s">
        <v>44</v>
      </c>
    </row>
    <row r="1068" spans="1:12" x14ac:dyDescent="0.3">
      <c r="A1068" s="1" t="s">
        <v>352</v>
      </c>
      <c r="B1068" s="2">
        <v>45990</v>
      </c>
      <c r="C1068" s="2">
        <v>46040</v>
      </c>
      <c r="D1068" s="1" t="s">
        <v>37</v>
      </c>
      <c r="E1068" s="1" t="s">
        <v>14</v>
      </c>
      <c r="F1068" s="1" t="s">
        <v>15</v>
      </c>
      <c r="G1068" s="1" t="s">
        <v>16</v>
      </c>
      <c r="H1068" s="1" t="s">
        <v>49</v>
      </c>
      <c r="I1068" s="1" t="s">
        <v>26</v>
      </c>
      <c r="J1068">
        <v>15</v>
      </c>
      <c r="K1068">
        <v>50</v>
      </c>
      <c r="L1068" s="1" t="s">
        <v>44</v>
      </c>
    </row>
    <row r="1069" spans="1:12" x14ac:dyDescent="0.3">
      <c r="A1069" s="1" t="s">
        <v>2605</v>
      </c>
      <c r="B1069" s="2">
        <v>45990</v>
      </c>
      <c r="C1069" s="2">
        <v>46007</v>
      </c>
      <c r="D1069" s="1" t="s">
        <v>37</v>
      </c>
      <c r="E1069" s="1" t="s">
        <v>14</v>
      </c>
      <c r="F1069" s="1" t="s">
        <v>15</v>
      </c>
      <c r="G1069" s="1" t="s">
        <v>16</v>
      </c>
      <c r="H1069" s="1" t="s">
        <v>39</v>
      </c>
      <c r="I1069" s="1" t="s">
        <v>18</v>
      </c>
      <c r="J1069">
        <v>15</v>
      </c>
      <c r="K1069">
        <v>17</v>
      </c>
      <c r="L1069" s="1" t="s">
        <v>19</v>
      </c>
    </row>
    <row r="1070" spans="1:12" x14ac:dyDescent="0.3">
      <c r="A1070" s="1" t="s">
        <v>2126</v>
      </c>
      <c r="B1070" s="2">
        <v>45990</v>
      </c>
      <c r="C1070" s="2">
        <v>46013</v>
      </c>
      <c r="D1070" s="1" t="s">
        <v>23</v>
      </c>
      <c r="E1070" s="1" t="s">
        <v>14</v>
      </c>
      <c r="F1070" s="1" t="s">
        <v>15</v>
      </c>
      <c r="G1070" s="1" t="s">
        <v>16</v>
      </c>
      <c r="H1070" s="1" t="s">
        <v>25</v>
      </c>
      <c r="I1070" s="1" t="s">
        <v>41</v>
      </c>
      <c r="J1070">
        <v>15</v>
      </c>
      <c r="K1070">
        <v>23</v>
      </c>
      <c r="L1070" s="1" t="s">
        <v>19</v>
      </c>
    </row>
    <row r="1071" spans="1:12" x14ac:dyDescent="0.3">
      <c r="A1071" s="1" t="s">
        <v>278</v>
      </c>
      <c r="B1071" s="2">
        <v>45989</v>
      </c>
      <c r="C1071" s="2">
        <v>46018</v>
      </c>
      <c r="D1071" s="1" t="s">
        <v>23</v>
      </c>
      <c r="E1071" s="1" t="s">
        <v>24</v>
      </c>
      <c r="F1071" s="1" t="s">
        <v>15</v>
      </c>
      <c r="G1071" s="1" t="s">
        <v>16</v>
      </c>
      <c r="H1071" s="1" t="s">
        <v>25</v>
      </c>
      <c r="I1071" s="1" t="s">
        <v>26</v>
      </c>
      <c r="J1071">
        <v>30</v>
      </c>
      <c r="K1071">
        <v>29</v>
      </c>
      <c r="L1071" s="1" t="s">
        <v>21</v>
      </c>
    </row>
    <row r="1072" spans="1:12" x14ac:dyDescent="0.3">
      <c r="A1072" s="1" t="s">
        <v>488</v>
      </c>
      <c r="B1072" s="2">
        <v>45989</v>
      </c>
      <c r="C1072" s="2">
        <v>46044</v>
      </c>
      <c r="D1072" s="1" t="s">
        <v>23</v>
      </c>
      <c r="E1072" s="1" t="s">
        <v>24</v>
      </c>
      <c r="F1072" s="1" t="s">
        <v>15</v>
      </c>
      <c r="G1072" s="1" t="s">
        <v>16</v>
      </c>
      <c r="H1072" s="1" t="s">
        <v>25</v>
      </c>
      <c r="I1072" s="1" t="s">
        <v>26</v>
      </c>
      <c r="J1072">
        <v>30</v>
      </c>
      <c r="K1072">
        <v>55</v>
      </c>
      <c r="L1072" s="1" t="s">
        <v>44</v>
      </c>
    </row>
    <row r="1073" spans="1:12" x14ac:dyDescent="0.3">
      <c r="A1073" s="1" t="s">
        <v>521</v>
      </c>
      <c r="B1073" s="2">
        <v>45989</v>
      </c>
      <c r="C1073" s="2">
        <v>46006</v>
      </c>
      <c r="D1073" s="1" t="s">
        <v>28</v>
      </c>
      <c r="E1073" s="1" t="s">
        <v>14</v>
      </c>
      <c r="F1073" s="1" t="s">
        <v>38</v>
      </c>
      <c r="G1073" s="1" t="s">
        <v>16</v>
      </c>
      <c r="H1073" s="1" t="s">
        <v>54</v>
      </c>
      <c r="I1073" s="1" t="s">
        <v>26</v>
      </c>
      <c r="J1073">
        <v>15</v>
      </c>
      <c r="K1073">
        <v>17</v>
      </c>
      <c r="L1073" s="1" t="s">
        <v>19</v>
      </c>
    </row>
    <row r="1074" spans="1:12" x14ac:dyDescent="0.3">
      <c r="A1074" s="1" t="s">
        <v>1690</v>
      </c>
      <c r="B1074" s="2">
        <v>45989</v>
      </c>
      <c r="C1074" s="2">
        <v>46029</v>
      </c>
      <c r="D1074" s="1" t="s">
        <v>37</v>
      </c>
      <c r="E1074" s="1" t="s">
        <v>14</v>
      </c>
      <c r="F1074" s="1" t="s">
        <v>15</v>
      </c>
      <c r="G1074" s="1" t="s">
        <v>33</v>
      </c>
      <c r="H1074" s="1" t="s">
        <v>49</v>
      </c>
      <c r="I1074" s="1" t="s">
        <v>41</v>
      </c>
      <c r="J1074">
        <v>15</v>
      </c>
      <c r="K1074">
        <v>40</v>
      </c>
      <c r="L1074" s="1" t="s">
        <v>21</v>
      </c>
    </row>
    <row r="1075" spans="1:12" x14ac:dyDescent="0.3">
      <c r="A1075" s="1" t="s">
        <v>3042</v>
      </c>
      <c r="B1075" s="2">
        <v>45989</v>
      </c>
      <c r="C1075" s="2">
        <v>46001</v>
      </c>
      <c r="D1075" s="1" t="s">
        <v>37</v>
      </c>
      <c r="E1075" s="1" t="s">
        <v>14</v>
      </c>
      <c r="F1075" s="1" t="s">
        <v>15</v>
      </c>
      <c r="G1075" s="1" t="s">
        <v>16</v>
      </c>
      <c r="H1075" s="1" t="s">
        <v>39</v>
      </c>
      <c r="I1075" s="1" t="s">
        <v>41</v>
      </c>
      <c r="J1075">
        <v>15</v>
      </c>
      <c r="K1075">
        <v>12</v>
      </c>
      <c r="L1075" s="1" t="s">
        <v>30</v>
      </c>
    </row>
    <row r="1076" spans="1:12" x14ac:dyDescent="0.3">
      <c r="A1076" s="1" t="s">
        <v>203</v>
      </c>
      <c r="B1076" s="2">
        <v>45989</v>
      </c>
      <c r="C1076" s="2">
        <v>45998</v>
      </c>
      <c r="D1076" s="1" t="s">
        <v>37</v>
      </c>
      <c r="E1076" s="1" t="s">
        <v>24</v>
      </c>
      <c r="F1076" s="1" t="s">
        <v>38</v>
      </c>
      <c r="G1076" s="1" t="s">
        <v>53</v>
      </c>
      <c r="H1076" s="1" t="s">
        <v>39</v>
      </c>
      <c r="I1076" s="1" t="s">
        <v>26</v>
      </c>
      <c r="J1076">
        <v>45</v>
      </c>
      <c r="K1076">
        <v>9</v>
      </c>
      <c r="L1076" s="1" t="s">
        <v>30</v>
      </c>
    </row>
    <row r="1077" spans="1:12" x14ac:dyDescent="0.3">
      <c r="A1077" s="1" t="s">
        <v>2130</v>
      </c>
      <c r="B1077" s="2">
        <v>45989</v>
      </c>
      <c r="C1077" s="2">
        <v>46016</v>
      </c>
      <c r="D1077" s="1" t="s">
        <v>28</v>
      </c>
      <c r="E1077" s="1" t="s">
        <v>14</v>
      </c>
      <c r="F1077" s="1" t="s">
        <v>15</v>
      </c>
      <c r="G1077" s="1" t="s">
        <v>16</v>
      </c>
      <c r="H1077" s="1" t="s">
        <v>29</v>
      </c>
      <c r="I1077" s="1" t="s">
        <v>41</v>
      </c>
      <c r="J1077">
        <v>15</v>
      </c>
      <c r="K1077">
        <v>27</v>
      </c>
      <c r="L1077" s="1" t="s">
        <v>19</v>
      </c>
    </row>
    <row r="1078" spans="1:12" x14ac:dyDescent="0.3">
      <c r="A1078" s="1" t="s">
        <v>2284</v>
      </c>
      <c r="B1078" s="2">
        <v>45989</v>
      </c>
      <c r="C1078" s="2">
        <v>46010</v>
      </c>
      <c r="D1078" s="1" t="s">
        <v>32</v>
      </c>
      <c r="E1078" s="1" t="s">
        <v>24</v>
      </c>
      <c r="F1078" s="1" t="s">
        <v>15</v>
      </c>
      <c r="G1078" s="1" t="s">
        <v>16</v>
      </c>
      <c r="H1078" s="1" t="s">
        <v>71</v>
      </c>
      <c r="I1078" s="1" t="s">
        <v>41</v>
      </c>
      <c r="J1078">
        <v>30</v>
      </c>
      <c r="K1078">
        <v>21</v>
      </c>
      <c r="L1078" s="1" t="s">
        <v>19</v>
      </c>
    </row>
    <row r="1079" spans="1:12" x14ac:dyDescent="0.3">
      <c r="A1079" s="1" t="s">
        <v>2919</v>
      </c>
      <c r="B1079" s="2">
        <v>45989</v>
      </c>
      <c r="C1079" s="2">
        <v>46016</v>
      </c>
      <c r="D1079" s="1" t="s">
        <v>28</v>
      </c>
      <c r="E1079" s="1" t="s">
        <v>14</v>
      </c>
      <c r="F1079" s="1" t="s">
        <v>15</v>
      </c>
      <c r="G1079" s="1" t="s">
        <v>16</v>
      </c>
      <c r="H1079" s="1" t="s">
        <v>54</v>
      </c>
      <c r="I1079" s="1" t="s">
        <v>26</v>
      </c>
      <c r="J1079">
        <v>15</v>
      </c>
      <c r="K1079">
        <v>27</v>
      </c>
      <c r="L1079" s="1" t="s">
        <v>19</v>
      </c>
    </row>
    <row r="1080" spans="1:12" x14ac:dyDescent="0.3">
      <c r="A1080" s="1" t="s">
        <v>197</v>
      </c>
      <c r="B1080" s="2">
        <v>45988</v>
      </c>
      <c r="C1080" s="2">
        <v>46025</v>
      </c>
      <c r="D1080" s="1" t="s">
        <v>28</v>
      </c>
      <c r="E1080" s="1" t="s">
        <v>14</v>
      </c>
      <c r="F1080" s="1" t="s">
        <v>38</v>
      </c>
      <c r="G1080" s="1" t="s">
        <v>33</v>
      </c>
      <c r="H1080" s="1" t="s">
        <v>29</v>
      </c>
      <c r="I1080" s="1" t="s">
        <v>26</v>
      </c>
      <c r="J1080">
        <v>15</v>
      </c>
      <c r="K1080">
        <v>37</v>
      </c>
      <c r="L1080" s="1" t="s">
        <v>21</v>
      </c>
    </row>
    <row r="1081" spans="1:12" x14ac:dyDescent="0.3">
      <c r="A1081" s="1" t="s">
        <v>296</v>
      </c>
      <c r="B1081" s="2">
        <v>45988</v>
      </c>
      <c r="C1081" s="2">
        <v>46026</v>
      </c>
      <c r="D1081" s="1" t="s">
        <v>23</v>
      </c>
      <c r="E1081" s="1" t="s">
        <v>24</v>
      </c>
      <c r="F1081" s="1" t="s">
        <v>15</v>
      </c>
      <c r="G1081" s="1" t="s">
        <v>16</v>
      </c>
      <c r="H1081" s="1" t="s">
        <v>25</v>
      </c>
      <c r="I1081" s="1" t="s">
        <v>18</v>
      </c>
      <c r="J1081">
        <v>30</v>
      </c>
      <c r="K1081">
        <v>38</v>
      </c>
      <c r="L1081" s="1" t="s">
        <v>21</v>
      </c>
    </row>
    <row r="1082" spans="1:12" x14ac:dyDescent="0.3">
      <c r="A1082" s="1" t="s">
        <v>357</v>
      </c>
      <c r="B1082" s="2">
        <v>45988</v>
      </c>
      <c r="C1082" s="2">
        <v>45990</v>
      </c>
      <c r="D1082" s="1" t="s">
        <v>32</v>
      </c>
      <c r="E1082" s="1" t="s">
        <v>14</v>
      </c>
      <c r="F1082" s="1" t="s">
        <v>15</v>
      </c>
      <c r="G1082" s="1" t="s">
        <v>33</v>
      </c>
      <c r="H1082" s="1" t="s">
        <v>71</v>
      </c>
      <c r="I1082" s="1" t="s">
        <v>26</v>
      </c>
      <c r="J1082">
        <v>30</v>
      </c>
      <c r="K1082">
        <v>2</v>
      </c>
      <c r="L1082" s="1" t="s">
        <v>30</v>
      </c>
    </row>
    <row r="1083" spans="1:12" x14ac:dyDescent="0.3">
      <c r="A1083" s="1" t="s">
        <v>2064</v>
      </c>
      <c r="B1083" s="2">
        <v>45988</v>
      </c>
      <c r="C1083" s="2">
        <v>46059</v>
      </c>
      <c r="D1083" s="1" t="s">
        <v>37</v>
      </c>
      <c r="E1083" s="1" t="s">
        <v>24</v>
      </c>
      <c r="F1083" s="1" t="s">
        <v>15</v>
      </c>
      <c r="G1083" s="1" t="s">
        <v>16</v>
      </c>
      <c r="H1083" s="1" t="s">
        <v>49</v>
      </c>
      <c r="I1083" s="1" t="s">
        <v>26</v>
      </c>
      <c r="J1083">
        <v>30</v>
      </c>
      <c r="K1083">
        <v>71</v>
      </c>
      <c r="L1083" s="1" t="s">
        <v>80</v>
      </c>
    </row>
    <row r="1084" spans="1:12" x14ac:dyDescent="0.3">
      <c r="A1084" s="1" t="s">
        <v>2092</v>
      </c>
      <c r="B1084" s="2">
        <v>45988</v>
      </c>
      <c r="C1084" s="2">
        <v>46022</v>
      </c>
      <c r="D1084" s="1" t="s">
        <v>37</v>
      </c>
      <c r="E1084" s="1" t="s">
        <v>14</v>
      </c>
      <c r="F1084" s="1" t="s">
        <v>15</v>
      </c>
      <c r="G1084" s="1" t="s">
        <v>16</v>
      </c>
      <c r="H1084" s="1" t="s">
        <v>49</v>
      </c>
      <c r="I1084" s="1" t="s">
        <v>41</v>
      </c>
      <c r="J1084">
        <v>15</v>
      </c>
      <c r="K1084">
        <v>34</v>
      </c>
      <c r="L1084" s="1" t="s">
        <v>21</v>
      </c>
    </row>
    <row r="1085" spans="1:12" x14ac:dyDescent="0.3">
      <c r="A1085" s="1" t="s">
        <v>413</v>
      </c>
      <c r="B1085" s="2">
        <v>45988</v>
      </c>
      <c r="C1085" s="2">
        <v>46015</v>
      </c>
      <c r="D1085" s="1" t="s">
        <v>37</v>
      </c>
      <c r="E1085" s="1" t="s">
        <v>14</v>
      </c>
      <c r="F1085" s="1" t="s">
        <v>38</v>
      </c>
      <c r="G1085" s="1" t="s">
        <v>16</v>
      </c>
      <c r="H1085" s="1" t="s">
        <v>49</v>
      </c>
      <c r="I1085" s="1" t="s">
        <v>26</v>
      </c>
      <c r="J1085">
        <v>15</v>
      </c>
      <c r="K1085">
        <v>27</v>
      </c>
      <c r="L1085" s="1" t="s">
        <v>19</v>
      </c>
    </row>
    <row r="1086" spans="1:12" x14ac:dyDescent="0.3">
      <c r="A1086" s="1" t="s">
        <v>2001</v>
      </c>
      <c r="B1086" s="2">
        <v>45988</v>
      </c>
      <c r="C1086" s="2">
        <v>46023</v>
      </c>
      <c r="D1086" s="1" t="s">
        <v>23</v>
      </c>
      <c r="E1086" s="1" t="s">
        <v>14</v>
      </c>
      <c r="F1086" s="1" t="s">
        <v>15</v>
      </c>
      <c r="G1086" s="1" t="s">
        <v>16</v>
      </c>
      <c r="H1086" s="1" t="s">
        <v>25</v>
      </c>
      <c r="I1086" s="1" t="s">
        <v>26</v>
      </c>
      <c r="J1086">
        <v>15</v>
      </c>
      <c r="K1086">
        <v>35</v>
      </c>
      <c r="L1086" s="1" t="s">
        <v>21</v>
      </c>
    </row>
    <row r="1087" spans="1:12" x14ac:dyDescent="0.3">
      <c r="A1087" s="1" t="s">
        <v>2813</v>
      </c>
      <c r="B1087" s="2">
        <v>45988</v>
      </c>
      <c r="C1087" s="2">
        <v>46056</v>
      </c>
      <c r="D1087" s="1" t="s">
        <v>13</v>
      </c>
      <c r="E1087" s="1" t="s">
        <v>14</v>
      </c>
      <c r="F1087" s="1" t="s">
        <v>15</v>
      </c>
      <c r="G1087" s="1" t="s">
        <v>16</v>
      </c>
      <c r="H1087" s="1" t="s">
        <v>17</v>
      </c>
      <c r="I1087" s="1" t="s">
        <v>18</v>
      </c>
      <c r="J1087">
        <v>15</v>
      </c>
      <c r="K1087">
        <v>68</v>
      </c>
      <c r="L1087" s="1" t="s">
        <v>80</v>
      </c>
    </row>
    <row r="1088" spans="1:12" x14ac:dyDescent="0.3">
      <c r="A1088" s="1" t="s">
        <v>2939</v>
      </c>
      <c r="B1088" s="2">
        <v>45988</v>
      </c>
      <c r="C1088" s="2">
        <v>46011</v>
      </c>
      <c r="D1088" s="1" t="s">
        <v>32</v>
      </c>
      <c r="E1088" s="1" t="s">
        <v>14</v>
      </c>
      <c r="F1088" s="1" t="s">
        <v>15</v>
      </c>
      <c r="G1088" s="1" t="s">
        <v>16</v>
      </c>
      <c r="H1088" s="1" t="s">
        <v>34</v>
      </c>
      <c r="I1088" s="1" t="s">
        <v>26</v>
      </c>
      <c r="J1088">
        <v>15</v>
      </c>
      <c r="K1088">
        <v>23</v>
      </c>
      <c r="L1088" s="1" t="s">
        <v>19</v>
      </c>
    </row>
    <row r="1089" spans="1:12" x14ac:dyDescent="0.3">
      <c r="A1089" s="1" t="s">
        <v>772</v>
      </c>
      <c r="B1089" s="2">
        <v>45987</v>
      </c>
      <c r="C1089" s="2">
        <v>45993</v>
      </c>
      <c r="D1089" s="1" t="s">
        <v>28</v>
      </c>
      <c r="E1089" s="1" t="s">
        <v>14</v>
      </c>
      <c r="F1089" s="1" t="s">
        <v>38</v>
      </c>
      <c r="G1089" s="1" t="s">
        <v>33</v>
      </c>
      <c r="H1089" s="1" t="s">
        <v>29</v>
      </c>
      <c r="I1089" s="1" t="s">
        <v>18</v>
      </c>
      <c r="J1089">
        <v>15</v>
      </c>
      <c r="K1089">
        <v>6</v>
      </c>
      <c r="L1089" s="1" t="s">
        <v>30</v>
      </c>
    </row>
    <row r="1090" spans="1:12" x14ac:dyDescent="0.3">
      <c r="A1090" s="1" t="s">
        <v>1319</v>
      </c>
      <c r="B1090" s="2">
        <v>45987</v>
      </c>
      <c r="C1090" s="2">
        <v>46031</v>
      </c>
      <c r="D1090" s="1" t="s">
        <v>28</v>
      </c>
      <c r="E1090" s="1" t="s">
        <v>14</v>
      </c>
      <c r="F1090" s="1" t="s">
        <v>38</v>
      </c>
      <c r="G1090" s="1" t="s">
        <v>16</v>
      </c>
      <c r="H1090" s="1" t="s">
        <v>54</v>
      </c>
      <c r="I1090" s="1" t="s">
        <v>26</v>
      </c>
      <c r="J1090">
        <v>15</v>
      </c>
      <c r="K1090">
        <v>44</v>
      </c>
      <c r="L1090" s="1" t="s">
        <v>44</v>
      </c>
    </row>
    <row r="1091" spans="1:12" x14ac:dyDescent="0.3">
      <c r="A1091" s="1" t="s">
        <v>1639</v>
      </c>
      <c r="B1091" s="2">
        <v>45987</v>
      </c>
      <c r="C1091" s="2">
        <v>46070</v>
      </c>
      <c r="D1091" s="1" t="s">
        <v>23</v>
      </c>
      <c r="E1091" s="1" t="s">
        <v>24</v>
      </c>
      <c r="F1091" s="1" t="s">
        <v>15</v>
      </c>
      <c r="G1091" s="1" t="s">
        <v>16</v>
      </c>
      <c r="H1091" s="1" t="s">
        <v>43</v>
      </c>
      <c r="I1091" s="1" t="s">
        <v>18</v>
      </c>
      <c r="J1091">
        <v>30</v>
      </c>
      <c r="K1091">
        <v>83</v>
      </c>
      <c r="L1091" s="1" t="s">
        <v>80</v>
      </c>
    </row>
    <row r="1092" spans="1:12" x14ac:dyDescent="0.3">
      <c r="A1092" s="1" t="s">
        <v>1735</v>
      </c>
      <c r="B1092" s="2">
        <v>45987</v>
      </c>
      <c r="C1092" s="2">
        <v>45996</v>
      </c>
      <c r="D1092" s="1" t="s">
        <v>32</v>
      </c>
      <c r="E1092" s="1" t="s">
        <v>24</v>
      </c>
      <c r="F1092" s="1" t="s">
        <v>15</v>
      </c>
      <c r="G1092" s="1" t="s">
        <v>33</v>
      </c>
      <c r="H1092" s="1" t="s">
        <v>34</v>
      </c>
      <c r="I1092" s="1" t="s">
        <v>41</v>
      </c>
      <c r="J1092">
        <v>30</v>
      </c>
      <c r="K1092">
        <v>9</v>
      </c>
      <c r="L1092" s="1" t="s">
        <v>30</v>
      </c>
    </row>
    <row r="1093" spans="1:12" x14ac:dyDescent="0.3">
      <c r="A1093" s="1" t="s">
        <v>2023</v>
      </c>
      <c r="B1093" s="2">
        <v>45987</v>
      </c>
      <c r="C1093" s="2">
        <v>46025</v>
      </c>
      <c r="D1093" s="1" t="s">
        <v>23</v>
      </c>
      <c r="E1093" s="1" t="s">
        <v>14</v>
      </c>
      <c r="F1093" s="1" t="s">
        <v>15</v>
      </c>
      <c r="G1093" s="1" t="s">
        <v>53</v>
      </c>
      <c r="H1093" s="1" t="s">
        <v>25</v>
      </c>
      <c r="I1093" s="1" t="s">
        <v>26</v>
      </c>
      <c r="J1093">
        <v>30</v>
      </c>
      <c r="K1093">
        <v>38</v>
      </c>
      <c r="L1093" s="1" t="s">
        <v>21</v>
      </c>
    </row>
    <row r="1094" spans="1:12" x14ac:dyDescent="0.3">
      <c r="A1094" s="1" t="s">
        <v>2065</v>
      </c>
      <c r="B1094" s="2">
        <v>45987</v>
      </c>
      <c r="C1094" s="2">
        <v>46023</v>
      </c>
      <c r="D1094" s="1" t="s">
        <v>13</v>
      </c>
      <c r="E1094" s="1" t="s">
        <v>14</v>
      </c>
      <c r="F1094" s="1" t="s">
        <v>15</v>
      </c>
      <c r="G1094" s="1" t="s">
        <v>33</v>
      </c>
      <c r="H1094" s="1" t="s">
        <v>47</v>
      </c>
      <c r="I1094" s="1" t="s">
        <v>26</v>
      </c>
      <c r="J1094">
        <v>30</v>
      </c>
      <c r="K1094">
        <v>36</v>
      </c>
      <c r="L1094" s="1" t="s">
        <v>21</v>
      </c>
    </row>
    <row r="1095" spans="1:12" x14ac:dyDescent="0.3">
      <c r="A1095" s="1" t="s">
        <v>2237</v>
      </c>
      <c r="B1095" s="2">
        <v>45987</v>
      </c>
      <c r="C1095" s="2">
        <v>46017</v>
      </c>
      <c r="D1095" s="1" t="s">
        <v>13</v>
      </c>
      <c r="E1095" s="1" t="s">
        <v>14</v>
      </c>
      <c r="F1095" s="1" t="s">
        <v>15</v>
      </c>
      <c r="G1095" s="1" t="s">
        <v>16</v>
      </c>
      <c r="H1095" s="1" t="s">
        <v>47</v>
      </c>
      <c r="I1095" s="1" t="s">
        <v>41</v>
      </c>
      <c r="J1095">
        <v>15</v>
      </c>
      <c r="K1095">
        <v>30</v>
      </c>
      <c r="L1095" s="1" t="s">
        <v>21</v>
      </c>
    </row>
    <row r="1096" spans="1:12" x14ac:dyDescent="0.3">
      <c r="A1096" s="1" t="s">
        <v>2626</v>
      </c>
      <c r="B1096" s="2">
        <v>45987</v>
      </c>
      <c r="C1096" s="2">
        <v>46015</v>
      </c>
      <c r="D1096" s="1" t="s">
        <v>28</v>
      </c>
      <c r="E1096" s="1" t="s">
        <v>14</v>
      </c>
      <c r="F1096" s="1" t="s">
        <v>38</v>
      </c>
      <c r="G1096" s="1" t="s">
        <v>16</v>
      </c>
      <c r="H1096" s="1" t="s">
        <v>54</v>
      </c>
      <c r="I1096" s="1" t="s">
        <v>41</v>
      </c>
      <c r="J1096">
        <v>30</v>
      </c>
      <c r="K1096">
        <v>28</v>
      </c>
      <c r="L1096" s="1" t="s">
        <v>19</v>
      </c>
    </row>
    <row r="1097" spans="1:12" x14ac:dyDescent="0.3">
      <c r="A1097" s="1" t="s">
        <v>22</v>
      </c>
      <c r="B1097" s="2">
        <v>45986</v>
      </c>
      <c r="C1097" s="2">
        <v>46006</v>
      </c>
      <c r="D1097" s="1" t="s">
        <v>23</v>
      </c>
      <c r="E1097" s="1" t="s">
        <v>24</v>
      </c>
      <c r="F1097" s="1" t="s">
        <v>15</v>
      </c>
      <c r="G1097" s="1" t="s">
        <v>16</v>
      </c>
      <c r="H1097" s="1" t="s">
        <v>25</v>
      </c>
      <c r="I1097" s="1" t="s">
        <v>26</v>
      </c>
      <c r="J1097">
        <v>45</v>
      </c>
      <c r="K1097">
        <v>20</v>
      </c>
      <c r="L1097" s="1" t="s">
        <v>19</v>
      </c>
    </row>
    <row r="1098" spans="1:12" x14ac:dyDescent="0.3">
      <c r="A1098" s="1" t="s">
        <v>164</v>
      </c>
      <c r="B1098" s="2">
        <v>45986</v>
      </c>
      <c r="C1098" s="2">
        <v>46011</v>
      </c>
      <c r="D1098" s="1" t="s">
        <v>23</v>
      </c>
      <c r="E1098" s="1" t="s">
        <v>24</v>
      </c>
      <c r="F1098" s="1" t="s">
        <v>15</v>
      </c>
      <c r="G1098" s="1" t="s">
        <v>16</v>
      </c>
      <c r="H1098" s="1" t="s">
        <v>25</v>
      </c>
      <c r="I1098" s="1" t="s">
        <v>18</v>
      </c>
      <c r="J1098">
        <v>45</v>
      </c>
      <c r="K1098">
        <v>25</v>
      </c>
      <c r="L1098" s="1" t="s">
        <v>19</v>
      </c>
    </row>
    <row r="1099" spans="1:12" x14ac:dyDescent="0.3">
      <c r="A1099" s="1" t="s">
        <v>884</v>
      </c>
      <c r="B1099" s="2">
        <v>45986</v>
      </c>
      <c r="C1099" s="2">
        <v>46038</v>
      </c>
      <c r="D1099" s="1" t="s">
        <v>23</v>
      </c>
      <c r="E1099" s="1" t="s">
        <v>14</v>
      </c>
      <c r="F1099" s="1" t="s">
        <v>15</v>
      </c>
      <c r="G1099" s="1" t="s">
        <v>16</v>
      </c>
      <c r="H1099" s="1" t="s">
        <v>43</v>
      </c>
      <c r="I1099" s="1" t="s">
        <v>26</v>
      </c>
      <c r="J1099">
        <v>15</v>
      </c>
      <c r="K1099">
        <v>52</v>
      </c>
      <c r="L1099" s="1" t="s">
        <v>44</v>
      </c>
    </row>
    <row r="1100" spans="1:12" x14ac:dyDescent="0.3">
      <c r="A1100" s="1" t="s">
        <v>1266</v>
      </c>
      <c r="B1100" s="2">
        <v>45986</v>
      </c>
      <c r="C1100" s="2">
        <v>46040</v>
      </c>
      <c r="D1100" s="1" t="s">
        <v>23</v>
      </c>
      <c r="E1100" s="1" t="s">
        <v>24</v>
      </c>
      <c r="F1100" s="1" t="s">
        <v>15</v>
      </c>
      <c r="G1100" s="1" t="s">
        <v>53</v>
      </c>
      <c r="H1100" s="1" t="s">
        <v>43</v>
      </c>
      <c r="I1100" s="1" t="s">
        <v>26</v>
      </c>
      <c r="J1100">
        <v>30</v>
      </c>
      <c r="K1100">
        <v>54</v>
      </c>
      <c r="L1100" s="1" t="s">
        <v>44</v>
      </c>
    </row>
    <row r="1101" spans="1:12" x14ac:dyDescent="0.3">
      <c r="A1101" s="1" t="s">
        <v>2128</v>
      </c>
      <c r="B1101" s="2">
        <v>45986</v>
      </c>
      <c r="C1101" s="2">
        <v>45994</v>
      </c>
      <c r="D1101" s="1" t="s">
        <v>13</v>
      </c>
      <c r="E1101" s="1" t="s">
        <v>14</v>
      </c>
      <c r="F1101" s="1" t="s">
        <v>38</v>
      </c>
      <c r="G1101" s="1" t="s">
        <v>16</v>
      </c>
      <c r="H1101" s="1" t="s">
        <v>17</v>
      </c>
      <c r="I1101" s="1" t="s">
        <v>18</v>
      </c>
      <c r="J1101">
        <v>30</v>
      </c>
      <c r="K1101">
        <v>8</v>
      </c>
      <c r="L1101" s="1" t="s">
        <v>30</v>
      </c>
    </row>
    <row r="1102" spans="1:12" x14ac:dyDescent="0.3">
      <c r="A1102" s="1" t="s">
        <v>2438</v>
      </c>
      <c r="B1102" s="2">
        <v>45986</v>
      </c>
      <c r="C1102" s="2">
        <v>45988</v>
      </c>
      <c r="D1102" s="1" t="s">
        <v>13</v>
      </c>
      <c r="E1102" s="1" t="s">
        <v>14</v>
      </c>
      <c r="F1102" s="1" t="s">
        <v>15</v>
      </c>
      <c r="G1102" s="1" t="s">
        <v>53</v>
      </c>
      <c r="H1102" s="1" t="s">
        <v>17</v>
      </c>
      <c r="I1102" s="1" t="s">
        <v>26</v>
      </c>
      <c r="J1102">
        <v>15</v>
      </c>
      <c r="K1102">
        <v>2</v>
      </c>
      <c r="L1102" s="1" t="s">
        <v>30</v>
      </c>
    </row>
    <row r="1103" spans="1:12" x14ac:dyDescent="0.3">
      <c r="A1103" s="1" t="s">
        <v>2593</v>
      </c>
      <c r="B1103" s="2">
        <v>45986</v>
      </c>
      <c r="C1103" s="2">
        <v>46031</v>
      </c>
      <c r="D1103" s="1" t="s">
        <v>28</v>
      </c>
      <c r="E1103" s="1" t="s">
        <v>14</v>
      </c>
      <c r="F1103" s="1" t="s">
        <v>15</v>
      </c>
      <c r="G1103" s="1" t="s">
        <v>16</v>
      </c>
      <c r="H1103" s="1" t="s">
        <v>29</v>
      </c>
      <c r="I1103" s="1" t="s">
        <v>18</v>
      </c>
      <c r="J1103">
        <v>15</v>
      </c>
      <c r="K1103">
        <v>45</v>
      </c>
      <c r="L1103" s="1" t="s">
        <v>44</v>
      </c>
    </row>
    <row r="1104" spans="1:12" x14ac:dyDescent="0.3">
      <c r="A1104" s="1" t="s">
        <v>2661</v>
      </c>
      <c r="B1104" s="2">
        <v>45986</v>
      </c>
      <c r="C1104" s="2">
        <v>45988</v>
      </c>
      <c r="D1104" s="1" t="s">
        <v>13</v>
      </c>
      <c r="E1104" s="1" t="s">
        <v>14</v>
      </c>
      <c r="F1104" s="1" t="s">
        <v>15</v>
      </c>
      <c r="G1104" s="1" t="s">
        <v>16</v>
      </c>
      <c r="H1104" s="1" t="s">
        <v>17</v>
      </c>
      <c r="I1104" s="1" t="s">
        <v>26</v>
      </c>
      <c r="J1104">
        <v>15</v>
      </c>
      <c r="K1104">
        <v>2</v>
      </c>
      <c r="L1104" s="1" t="s">
        <v>30</v>
      </c>
    </row>
    <row r="1105" spans="1:12" x14ac:dyDescent="0.3">
      <c r="A1105" s="1" t="s">
        <v>813</v>
      </c>
      <c r="B1105" s="2">
        <v>45985</v>
      </c>
      <c r="C1105" s="2">
        <v>46003</v>
      </c>
      <c r="D1105" s="1" t="s">
        <v>28</v>
      </c>
      <c r="E1105" s="1" t="s">
        <v>14</v>
      </c>
      <c r="F1105" s="1" t="s">
        <v>15</v>
      </c>
      <c r="G1105" s="1" t="s">
        <v>16</v>
      </c>
      <c r="H1105" s="1" t="s">
        <v>29</v>
      </c>
      <c r="I1105" s="1" t="s">
        <v>26</v>
      </c>
      <c r="J1105">
        <v>15</v>
      </c>
      <c r="K1105">
        <v>18</v>
      </c>
      <c r="L1105" s="1" t="s">
        <v>19</v>
      </c>
    </row>
    <row r="1106" spans="1:12" x14ac:dyDescent="0.3">
      <c r="A1106" s="1" t="s">
        <v>1028</v>
      </c>
      <c r="B1106" s="2">
        <v>45985</v>
      </c>
      <c r="C1106" s="2">
        <v>46011</v>
      </c>
      <c r="D1106" s="1" t="s">
        <v>32</v>
      </c>
      <c r="E1106" s="1" t="s">
        <v>14</v>
      </c>
      <c r="F1106" s="1" t="s">
        <v>15</v>
      </c>
      <c r="G1106" s="1" t="s">
        <v>16</v>
      </c>
      <c r="H1106" s="1" t="s">
        <v>71</v>
      </c>
      <c r="I1106" s="1" t="s">
        <v>41</v>
      </c>
      <c r="J1106">
        <v>15</v>
      </c>
      <c r="K1106">
        <v>26</v>
      </c>
      <c r="L1106" s="1" t="s">
        <v>19</v>
      </c>
    </row>
    <row r="1107" spans="1:12" x14ac:dyDescent="0.3">
      <c r="A1107" s="1" t="s">
        <v>544</v>
      </c>
      <c r="B1107" s="2">
        <v>45985</v>
      </c>
      <c r="C1107" s="2">
        <v>46051</v>
      </c>
      <c r="D1107" s="1" t="s">
        <v>37</v>
      </c>
      <c r="E1107" s="1" t="s">
        <v>24</v>
      </c>
      <c r="F1107" s="1" t="s">
        <v>38</v>
      </c>
      <c r="G1107" s="1" t="s">
        <v>16</v>
      </c>
      <c r="H1107" s="1" t="s">
        <v>49</v>
      </c>
      <c r="I1107" s="1" t="s">
        <v>26</v>
      </c>
      <c r="J1107">
        <v>30</v>
      </c>
      <c r="K1107">
        <v>66</v>
      </c>
      <c r="L1107" s="1" t="s">
        <v>80</v>
      </c>
    </row>
    <row r="1108" spans="1:12" x14ac:dyDescent="0.3">
      <c r="A1108" s="1" t="s">
        <v>2422</v>
      </c>
      <c r="B1108" s="2">
        <v>45985</v>
      </c>
      <c r="C1108" s="2">
        <v>46046</v>
      </c>
      <c r="D1108" s="1" t="s">
        <v>37</v>
      </c>
      <c r="E1108" s="1" t="s">
        <v>24</v>
      </c>
      <c r="F1108" s="1" t="s">
        <v>15</v>
      </c>
      <c r="G1108" s="1" t="s">
        <v>16</v>
      </c>
      <c r="H1108" s="1" t="s">
        <v>49</v>
      </c>
      <c r="I1108" s="1" t="s">
        <v>26</v>
      </c>
      <c r="J1108">
        <v>30</v>
      </c>
      <c r="K1108">
        <v>61</v>
      </c>
      <c r="L1108" s="1" t="s">
        <v>80</v>
      </c>
    </row>
    <row r="1109" spans="1:12" x14ac:dyDescent="0.3">
      <c r="A1109" s="1" t="s">
        <v>694</v>
      </c>
      <c r="B1109" s="2">
        <v>45985</v>
      </c>
      <c r="C1109" s="2">
        <v>46037</v>
      </c>
      <c r="D1109" s="1" t="s">
        <v>37</v>
      </c>
      <c r="E1109" s="1" t="s">
        <v>24</v>
      </c>
      <c r="F1109" s="1" t="s">
        <v>38</v>
      </c>
      <c r="G1109" s="1" t="s">
        <v>16</v>
      </c>
      <c r="H1109" s="1" t="s">
        <v>39</v>
      </c>
      <c r="I1109" s="1" t="s">
        <v>41</v>
      </c>
      <c r="J1109">
        <v>30</v>
      </c>
      <c r="K1109">
        <v>52</v>
      </c>
      <c r="L1109" s="1" t="s">
        <v>44</v>
      </c>
    </row>
    <row r="1110" spans="1:12" x14ac:dyDescent="0.3">
      <c r="A1110" s="1" t="s">
        <v>1440</v>
      </c>
      <c r="B1110" s="2">
        <v>45985</v>
      </c>
      <c r="C1110" s="2">
        <v>46022</v>
      </c>
      <c r="D1110" s="1" t="s">
        <v>32</v>
      </c>
      <c r="E1110" s="1" t="s">
        <v>14</v>
      </c>
      <c r="F1110" s="1" t="s">
        <v>15</v>
      </c>
      <c r="G1110" s="1" t="s">
        <v>16</v>
      </c>
      <c r="H1110" s="1" t="s">
        <v>71</v>
      </c>
      <c r="I1110" s="1" t="s">
        <v>18</v>
      </c>
      <c r="J1110">
        <v>15</v>
      </c>
      <c r="K1110">
        <v>37</v>
      </c>
      <c r="L1110" s="1" t="s">
        <v>21</v>
      </c>
    </row>
    <row r="1111" spans="1:12" x14ac:dyDescent="0.3">
      <c r="A1111" s="1" t="s">
        <v>1480</v>
      </c>
      <c r="B1111" s="2">
        <v>45985</v>
      </c>
      <c r="C1111" s="2">
        <v>46061</v>
      </c>
      <c r="D1111" s="1" t="s">
        <v>28</v>
      </c>
      <c r="E1111" s="1" t="s">
        <v>14</v>
      </c>
      <c r="F1111" s="1" t="s">
        <v>15</v>
      </c>
      <c r="G1111" s="1" t="s">
        <v>16</v>
      </c>
      <c r="H1111" s="1" t="s">
        <v>54</v>
      </c>
      <c r="I1111" s="1" t="s">
        <v>26</v>
      </c>
      <c r="J1111">
        <v>15</v>
      </c>
      <c r="K1111">
        <v>76</v>
      </c>
      <c r="L1111" s="1" t="s">
        <v>80</v>
      </c>
    </row>
    <row r="1112" spans="1:12" x14ac:dyDescent="0.3">
      <c r="A1112" s="1" t="s">
        <v>1765</v>
      </c>
      <c r="B1112" s="2">
        <v>45985</v>
      </c>
      <c r="C1112" s="2">
        <v>46009</v>
      </c>
      <c r="D1112" s="1" t="s">
        <v>23</v>
      </c>
      <c r="E1112" s="1" t="s">
        <v>24</v>
      </c>
      <c r="F1112" s="1" t="s">
        <v>15</v>
      </c>
      <c r="G1112" s="1" t="s">
        <v>16</v>
      </c>
      <c r="H1112" s="1" t="s">
        <v>25</v>
      </c>
      <c r="I1112" s="1" t="s">
        <v>26</v>
      </c>
      <c r="J1112">
        <v>45</v>
      </c>
      <c r="K1112">
        <v>24</v>
      </c>
      <c r="L1112" s="1" t="s">
        <v>19</v>
      </c>
    </row>
    <row r="1113" spans="1:12" x14ac:dyDescent="0.3">
      <c r="A1113" s="1" t="s">
        <v>1854</v>
      </c>
      <c r="B1113" s="2">
        <v>45985</v>
      </c>
      <c r="C1113" s="2">
        <v>45992</v>
      </c>
      <c r="D1113" s="1" t="s">
        <v>28</v>
      </c>
      <c r="E1113" s="1" t="s">
        <v>14</v>
      </c>
      <c r="F1113" s="1" t="s">
        <v>38</v>
      </c>
      <c r="G1113" s="1" t="s">
        <v>16</v>
      </c>
      <c r="H1113" s="1" t="s">
        <v>29</v>
      </c>
      <c r="I1113" s="1" t="s">
        <v>26</v>
      </c>
      <c r="J1113">
        <v>30</v>
      </c>
      <c r="K1113">
        <v>7</v>
      </c>
      <c r="L1113" s="1" t="s">
        <v>30</v>
      </c>
    </row>
    <row r="1114" spans="1:12" x14ac:dyDescent="0.3">
      <c r="A1114" s="1" t="s">
        <v>2300</v>
      </c>
      <c r="B1114" s="2">
        <v>45985</v>
      </c>
      <c r="C1114" s="2">
        <v>46023</v>
      </c>
      <c r="D1114" s="1" t="s">
        <v>32</v>
      </c>
      <c r="E1114" s="1" t="s">
        <v>14</v>
      </c>
      <c r="F1114" s="1" t="s">
        <v>15</v>
      </c>
      <c r="G1114" s="1" t="s">
        <v>53</v>
      </c>
      <c r="H1114" s="1" t="s">
        <v>71</v>
      </c>
      <c r="I1114" s="1" t="s">
        <v>26</v>
      </c>
      <c r="J1114">
        <v>15</v>
      </c>
      <c r="K1114">
        <v>38</v>
      </c>
      <c r="L1114" s="1" t="s">
        <v>21</v>
      </c>
    </row>
    <row r="1115" spans="1:12" x14ac:dyDescent="0.3">
      <c r="A1115" s="1" t="s">
        <v>2366</v>
      </c>
      <c r="B1115" s="2">
        <v>45985</v>
      </c>
      <c r="C1115" s="2">
        <v>46042</v>
      </c>
      <c r="D1115" s="1" t="s">
        <v>13</v>
      </c>
      <c r="E1115" s="1" t="s">
        <v>24</v>
      </c>
      <c r="F1115" s="1" t="s">
        <v>15</v>
      </c>
      <c r="G1115" s="1" t="s">
        <v>16</v>
      </c>
      <c r="H1115" s="1" t="s">
        <v>17</v>
      </c>
      <c r="I1115" s="1" t="s">
        <v>26</v>
      </c>
      <c r="J1115">
        <v>30</v>
      </c>
      <c r="K1115">
        <v>57</v>
      </c>
      <c r="L1115" s="1" t="s">
        <v>80</v>
      </c>
    </row>
    <row r="1116" spans="1:12" x14ac:dyDescent="0.3">
      <c r="A1116" s="1" t="s">
        <v>2523</v>
      </c>
      <c r="B1116" s="2">
        <v>45985</v>
      </c>
      <c r="C1116" s="2">
        <v>46021</v>
      </c>
      <c r="D1116" s="1" t="s">
        <v>13</v>
      </c>
      <c r="E1116" s="1" t="s">
        <v>14</v>
      </c>
      <c r="F1116" s="1" t="s">
        <v>15</v>
      </c>
      <c r="G1116" s="1" t="s">
        <v>16</v>
      </c>
      <c r="H1116" s="1" t="s">
        <v>17</v>
      </c>
      <c r="I1116" s="1" t="s">
        <v>26</v>
      </c>
      <c r="J1116">
        <v>15</v>
      </c>
      <c r="K1116">
        <v>36</v>
      </c>
      <c r="L1116" s="1" t="s">
        <v>21</v>
      </c>
    </row>
    <row r="1117" spans="1:12" x14ac:dyDescent="0.3">
      <c r="A1117" s="1" t="s">
        <v>2796</v>
      </c>
      <c r="B1117" s="2">
        <v>45985</v>
      </c>
      <c r="C1117" s="2">
        <v>46024</v>
      </c>
      <c r="D1117" s="1" t="s">
        <v>32</v>
      </c>
      <c r="E1117" s="1" t="s">
        <v>24</v>
      </c>
      <c r="F1117" s="1" t="s">
        <v>15</v>
      </c>
      <c r="G1117" s="1" t="s">
        <v>53</v>
      </c>
      <c r="H1117" s="1" t="s">
        <v>34</v>
      </c>
      <c r="I1117" s="1" t="s">
        <v>26</v>
      </c>
      <c r="J1117">
        <v>30</v>
      </c>
      <c r="K1117">
        <v>39</v>
      </c>
      <c r="L1117" s="1" t="s">
        <v>21</v>
      </c>
    </row>
    <row r="1118" spans="1:12" x14ac:dyDescent="0.3">
      <c r="A1118" s="1" t="s">
        <v>2947</v>
      </c>
      <c r="B1118" s="2">
        <v>45985</v>
      </c>
      <c r="C1118" s="2">
        <v>46037</v>
      </c>
      <c r="D1118" s="1" t="s">
        <v>28</v>
      </c>
      <c r="E1118" s="1" t="s">
        <v>24</v>
      </c>
      <c r="F1118" s="1" t="s">
        <v>15</v>
      </c>
      <c r="G1118" s="1" t="s">
        <v>53</v>
      </c>
      <c r="H1118" s="1" t="s">
        <v>29</v>
      </c>
      <c r="I1118" s="1" t="s">
        <v>18</v>
      </c>
      <c r="J1118">
        <v>30</v>
      </c>
      <c r="K1118">
        <v>52</v>
      </c>
      <c r="L1118" s="1" t="s">
        <v>44</v>
      </c>
    </row>
    <row r="1119" spans="1:12" x14ac:dyDescent="0.3">
      <c r="A1119" s="1" t="s">
        <v>2972</v>
      </c>
      <c r="B1119" s="2">
        <v>45985</v>
      </c>
      <c r="C1119" s="2">
        <v>46014</v>
      </c>
      <c r="D1119" s="1" t="s">
        <v>13</v>
      </c>
      <c r="E1119" s="1" t="s">
        <v>14</v>
      </c>
      <c r="F1119" s="1" t="s">
        <v>38</v>
      </c>
      <c r="G1119" s="1" t="s">
        <v>16</v>
      </c>
      <c r="H1119" s="1" t="s">
        <v>47</v>
      </c>
      <c r="I1119" s="1" t="s">
        <v>18</v>
      </c>
      <c r="J1119">
        <v>30</v>
      </c>
      <c r="K1119">
        <v>29</v>
      </c>
      <c r="L1119" s="1" t="s">
        <v>21</v>
      </c>
    </row>
    <row r="1120" spans="1:12" x14ac:dyDescent="0.3">
      <c r="A1120" s="1" t="s">
        <v>285</v>
      </c>
      <c r="B1120" s="2">
        <v>45984</v>
      </c>
      <c r="C1120" s="2">
        <v>46011</v>
      </c>
      <c r="D1120" s="1" t="s">
        <v>13</v>
      </c>
      <c r="E1120" s="1" t="s">
        <v>14</v>
      </c>
      <c r="F1120" s="1" t="s">
        <v>15</v>
      </c>
      <c r="G1120" s="1" t="s">
        <v>16</v>
      </c>
      <c r="H1120" s="1" t="s">
        <v>17</v>
      </c>
      <c r="I1120" s="1" t="s">
        <v>41</v>
      </c>
      <c r="J1120">
        <v>15</v>
      </c>
      <c r="K1120">
        <v>27</v>
      </c>
      <c r="L1120" s="1" t="s">
        <v>19</v>
      </c>
    </row>
    <row r="1121" spans="1:12" x14ac:dyDescent="0.3">
      <c r="A1121" s="1" t="s">
        <v>866</v>
      </c>
      <c r="B1121" s="2">
        <v>45984</v>
      </c>
      <c r="C1121" s="2">
        <v>46009</v>
      </c>
      <c r="D1121" s="1" t="s">
        <v>23</v>
      </c>
      <c r="E1121" s="1" t="s">
        <v>14</v>
      </c>
      <c r="F1121" s="1" t="s">
        <v>15</v>
      </c>
      <c r="G1121" s="1" t="s">
        <v>16</v>
      </c>
      <c r="H1121" s="1" t="s">
        <v>25</v>
      </c>
      <c r="I1121" s="1" t="s">
        <v>41</v>
      </c>
      <c r="J1121">
        <v>15</v>
      </c>
      <c r="K1121">
        <v>25</v>
      </c>
      <c r="L1121" s="1" t="s">
        <v>19</v>
      </c>
    </row>
    <row r="1122" spans="1:12" x14ac:dyDescent="0.3">
      <c r="A1122" s="1" t="s">
        <v>976</v>
      </c>
      <c r="B1122" s="2">
        <v>45984</v>
      </c>
      <c r="C1122" s="2">
        <v>46005</v>
      </c>
      <c r="D1122" s="1" t="s">
        <v>23</v>
      </c>
      <c r="E1122" s="1" t="s">
        <v>14</v>
      </c>
      <c r="F1122" s="1" t="s">
        <v>15</v>
      </c>
      <c r="G1122" s="1" t="s">
        <v>16</v>
      </c>
      <c r="H1122" s="1" t="s">
        <v>43</v>
      </c>
      <c r="I1122" s="1" t="s">
        <v>18</v>
      </c>
      <c r="J1122">
        <v>30</v>
      </c>
      <c r="K1122">
        <v>21</v>
      </c>
      <c r="L1122" s="1" t="s">
        <v>19</v>
      </c>
    </row>
    <row r="1123" spans="1:12" x14ac:dyDescent="0.3">
      <c r="A1123" s="1" t="s">
        <v>1131</v>
      </c>
      <c r="B1123" s="2">
        <v>45984</v>
      </c>
      <c r="C1123" s="2">
        <v>46024</v>
      </c>
      <c r="D1123" s="1" t="s">
        <v>37</v>
      </c>
      <c r="E1123" s="1" t="s">
        <v>14</v>
      </c>
      <c r="F1123" s="1" t="s">
        <v>38</v>
      </c>
      <c r="G1123" s="1" t="s">
        <v>16</v>
      </c>
      <c r="H1123" s="1" t="s">
        <v>49</v>
      </c>
      <c r="I1123" s="1" t="s">
        <v>26</v>
      </c>
      <c r="J1123">
        <v>15</v>
      </c>
      <c r="K1123">
        <v>40</v>
      </c>
      <c r="L1123" s="1" t="s">
        <v>21</v>
      </c>
    </row>
    <row r="1124" spans="1:12" x14ac:dyDescent="0.3">
      <c r="A1124" s="1" t="s">
        <v>1172</v>
      </c>
      <c r="B1124" s="2">
        <v>45984</v>
      </c>
      <c r="C1124" s="2">
        <v>45986</v>
      </c>
      <c r="D1124" s="1" t="s">
        <v>37</v>
      </c>
      <c r="E1124" s="1" t="s">
        <v>24</v>
      </c>
      <c r="F1124" s="1" t="s">
        <v>15</v>
      </c>
      <c r="G1124" s="1" t="s">
        <v>16</v>
      </c>
      <c r="H1124" s="1" t="s">
        <v>39</v>
      </c>
      <c r="I1124" s="1" t="s">
        <v>18</v>
      </c>
      <c r="J1124">
        <v>30</v>
      </c>
      <c r="K1124">
        <v>2</v>
      </c>
      <c r="L1124" s="1" t="s">
        <v>30</v>
      </c>
    </row>
    <row r="1125" spans="1:12" x14ac:dyDescent="0.3">
      <c r="A1125" s="1" t="s">
        <v>1247</v>
      </c>
      <c r="B1125" s="2">
        <v>45984</v>
      </c>
      <c r="C1125" s="2">
        <v>46009</v>
      </c>
      <c r="D1125" s="1" t="s">
        <v>28</v>
      </c>
      <c r="E1125" s="1" t="s">
        <v>14</v>
      </c>
      <c r="F1125" s="1" t="s">
        <v>15</v>
      </c>
      <c r="G1125" s="1" t="s">
        <v>16</v>
      </c>
      <c r="H1125" s="1" t="s">
        <v>29</v>
      </c>
      <c r="I1125" s="1" t="s">
        <v>26</v>
      </c>
      <c r="J1125">
        <v>30</v>
      </c>
      <c r="K1125">
        <v>25</v>
      </c>
      <c r="L1125" s="1" t="s">
        <v>19</v>
      </c>
    </row>
    <row r="1126" spans="1:12" x14ac:dyDescent="0.3">
      <c r="A1126" s="1" t="s">
        <v>1263</v>
      </c>
      <c r="B1126" s="2">
        <v>45984</v>
      </c>
      <c r="C1126" s="2">
        <v>46046</v>
      </c>
      <c r="D1126" s="1" t="s">
        <v>32</v>
      </c>
      <c r="E1126" s="1" t="s">
        <v>14</v>
      </c>
      <c r="F1126" s="1" t="s">
        <v>15</v>
      </c>
      <c r="G1126" s="1" t="s">
        <v>16</v>
      </c>
      <c r="H1126" s="1" t="s">
        <v>71</v>
      </c>
      <c r="I1126" s="1" t="s">
        <v>26</v>
      </c>
      <c r="J1126">
        <v>30</v>
      </c>
      <c r="K1126">
        <v>62</v>
      </c>
      <c r="L1126" s="1" t="s">
        <v>80</v>
      </c>
    </row>
    <row r="1127" spans="1:12" x14ac:dyDescent="0.3">
      <c r="A1127" s="1" t="s">
        <v>1297</v>
      </c>
      <c r="B1127" s="2">
        <v>45984</v>
      </c>
      <c r="C1127" s="2">
        <v>46019</v>
      </c>
      <c r="D1127" s="1" t="s">
        <v>32</v>
      </c>
      <c r="E1127" s="1" t="s">
        <v>24</v>
      </c>
      <c r="F1127" s="1" t="s">
        <v>15</v>
      </c>
      <c r="G1127" s="1" t="s">
        <v>16</v>
      </c>
      <c r="H1127" s="1" t="s">
        <v>71</v>
      </c>
      <c r="I1127" s="1" t="s">
        <v>26</v>
      </c>
      <c r="J1127">
        <v>45</v>
      </c>
      <c r="K1127">
        <v>35</v>
      </c>
      <c r="L1127" s="1" t="s">
        <v>21</v>
      </c>
    </row>
    <row r="1128" spans="1:12" x14ac:dyDescent="0.3">
      <c r="A1128" s="1" t="s">
        <v>1929</v>
      </c>
      <c r="B1128" s="2">
        <v>45984</v>
      </c>
      <c r="C1128" s="2">
        <v>46011</v>
      </c>
      <c r="D1128" s="1" t="s">
        <v>13</v>
      </c>
      <c r="E1128" s="1" t="s">
        <v>24</v>
      </c>
      <c r="F1128" s="1" t="s">
        <v>15</v>
      </c>
      <c r="G1128" s="1" t="s">
        <v>16</v>
      </c>
      <c r="H1128" s="1" t="s">
        <v>17</v>
      </c>
      <c r="I1128" s="1" t="s">
        <v>26</v>
      </c>
      <c r="J1128">
        <v>30</v>
      </c>
      <c r="K1128">
        <v>27</v>
      </c>
      <c r="L1128" s="1" t="s">
        <v>19</v>
      </c>
    </row>
    <row r="1129" spans="1:12" x14ac:dyDescent="0.3">
      <c r="A1129" s="1" t="s">
        <v>2403</v>
      </c>
      <c r="B1129" s="2">
        <v>45984</v>
      </c>
      <c r="C1129" s="2">
        <v>46024</v>
      </c>
      <c r="D1129" s="1" t="s">
        <v>28</v>
      </c>
      <c r="E1129" s="1" t="s">
        <v>14</v>
      </c>
      <c r="F1129" s="1" t="s">
        <v>38</v>
      </c>
      <c r="G1129" s="1" t="s">
        <v>16</v>
      </c>
      <c r="H1129" s="1" t="s">
        <v>29</v>
      </c>
      <c r="I1129" s="1" t="s">
        <v>41</v>
      </c>
      <c r="J1129">
        <v>30</v>
      </c>
      <c r="K1129">
        <v>40</v>
      </c>
      <c r="L1129" s="1" t="s">
        <v>21</v>
      </c>
    </row>
    <row r="1130" spans="1:12" x14ac:dyDescent="0.3">
      <c r="A1130" s="1" t="s">
        <v>1026</v>
      </c>
      <c r="B1130" s="2">
        <v>45983</v>
      </c>
      <c r="C1130" s="2">
        <v>46032</v>
      </c>
      <c r="D1130" s="1" t="s">
        <v>23</v>
      </c>
      <c r="E1130" s="1" t="s">
        <v>14</v>
      </c>
      <c r="F1130" s="1" t="s">
        <v>15</v>
      </c>
      <c r="G1130" s="1" t="s">
        <v>16</v>
      </c>
      <c r="H1130" s="1" t="s">
        <v>43</v>
      </c>
      <c r="I1130" s="1" t="s">
        <v>26</v>
      </c>
      <c r="J1130">
        <v>15</v>
      </c>
      <c r="K1130">
        <v>49</v>
      </c>
      <c r="L1130" s="1" t="s">
        <v>44</v>
      </c>
    </row>
    <row r="1131" spans="1:12" x14ac:dyDescent="0.3">
      <c r="A1131" s="1" t="s">
        <v>2114</v>
      </c>
      <c r="B1131" s="2">
        <v>45983</v>
      </c>
      <c r="C1131" s="2">
        <v>46039</v>
      </c>
      <c r="D1131" s="1" t="s">
        <v>37</v>
      </c>
      <c r="E1131" s="1" t="s">
        <v>14</v>
      </c>
      <c r="F1131" s="1" t="s">
        <v>15</v>
      </c>
      <c r="G1131" s="1" t="s">
        <v>16</v>
      </c>
      <c r="H1131" s="1" t="s">
        <v>49</v>
      </c>
      <c r="I1131" s="1" t="s">
        <v>26</v>
      </c>
      <c r="J1131">
        <v>30</v>
      </c>
      <c r="K1131">
        <v>56</v>
      </c>
      <c r="L1131" s="1" t="s">
        <v>44</v>
      </c>
    </row>
    <row r="1132" spans="1:12" x14ac:dyDescent="0.3">
      <c r="A1132" s="1" t="s">
        <v>1759</v>
      </c>
      <c r="B1132" s="2">
        <v>45983</v>
      </c>
      <c r="C1132" s="2">
        <v>46035</v>
      </c>
      <c r="D1132" s="1" t="s">
        <v>37</v>
      </c>
      <c r="E1132" s="1" t="s">
        <v>24</v>
      </c>
      <c r="F1132" s="1" t="s">
        <v>15</v>
      </c>
      <c r="G1132" s="1" t="s">
        <v>16</v>
      </c>
      <c r="H1132" s="1" t="s">
        <v>39</v>
      </c>
      <c r="I1132" s="1" t="s">
        <v>26</v>
      </c>
      <c r="J1132">
        <v>30</v>
      </c>
      <c r="K1132">
        <v>52</v>
      </c>
      <c r="L1132" s="1" t="s">
        <v>44</v>
      </c>
    </row>
    <row r="1133" spans="1:12" x14ac:dyDescent="0.3">
      <c r="A1133" s="1" t="s">
        <v>2057</v>
      </c>
      <c r="B1133" s="2">
        <v>45983</v>
      </c>
      <c r="C1133" s="2">
        <v>46007</v>
      </c>
      <c r="D1133" s="1" t="s">
        <v>23</v>
      </c>
      <c r="E1133" s="1" t="s">
        <v>24</v>
      </c>
      <c r="F1133" s="1" t="s">
        <v>15</v>
      </c>
      <c r="G1133" s="1" t="s">
        <v>16</v>
      </c>
      <c r="H1133" s="1" t="s">
        <v>43</v>
      </c>
      <c r="I1133" s="1" t="s">
        <v>26</v>
      </c>
      <c r="J1133">
        <v>30</v>
      </c>
      <c r="K1133">
        <v>24</v>
      </c>
      <c r="L1133" s="1" t="s">
        <v>19</v>
      </c>
    </row>
    <row r="1134" spans="1:12" x14ac:dyDescent="0.3">
      <c r="A1134" s="1" t="s">
        <v>2490</v>
      </c>
      <c r="B1134" s="2">
        <v>45983</v>
      </c>
      <c r="C1134" s="2">
        <v>46026</v>
      </c>
      <c r="D1134" s="1" t="s">
        <v>13</v>
      </c>
      <c r="E1134" s="1" t="s">
        <v>14</v>
      </c>
      <c r="F1134" s="1" t="s">
        <v>38</v>
      </c>
      <c r="G1134" s="1" t="s">
        <v>53</v>
      </c>
      <c r="H1134" s="1" t="s">
        <v>47</v>
      </c>
      <c r="I1134" s="1" t="s">
        <v>26</v>
      </c>
      <c r="J1134">
        <v>30</v>
      </c>
      <c r="K1134">
        <v>43</v>
      </c>
      <c r="L1134" s="1" t="s">
        <v>44</v>
      </c>
    </row>
    <row r="1135" spans="1:12" x14ac:dyDescent="0.3">
      <c r="A1135" s="1" t="s">
        <v>3028</v>
      </c>
      <c r="B1135" s="2">
        <v>45983</v>
      </c>
      <c r="C1135" s="2">
        <v>46018</v>
      </c>
      <c r="D1135" s="1" t="s">
        <v>28</v>
      </c>
      <c r="E1135" s="1" t="s">
        <v>24</v>
      </c>
      <c r="F1135" s="1" t="s">
        <v>15</v>
      </c>
      <c r="G1135" s="1" t="s">
        <v>16</v>
      </c>
      <c r="H1135" s="1" t="s">
        <v>29</v>
      </c>
      <c r="I1135" s="1" t="s">
        <v>18</v>
      </c>
      <c r="J1135">
        <v>45</v>
      </c>
      <c r="K1135">
        <v>35</v>
      </c>
      <c r="L1135" s="1" t="s">
        <v>21</v>
      </c>
    </row>
    <row r="1136" spans="1:12" x14ac:dyDescent="0.3">
      <c r="A1136" s="1" t="s">
        <v>65</v>
      </c>
      <c r="B1136" s="2">
        <v>45982</v>
      </c>
      <c r="C1136" s="2">
        <v>45987</v>
      </c>
      <c r="D1136" s="1" t="s">
        <v>37</v>
      </c>
      <c r="E1136" s="1" t="s">
        <v>14</v>
      </c>
      <c r="F1136" s="1" t="s">
        <v>38</v>
      </c>
      <c r="G1136" s="1" t="s">
        <v>53</v>
      </c>
      <c r="H1136" s="1" t="s">
        <v>39</v>
      </c>
      <c r="I1136" s="1" t="s">
        <v>41</v>
      </c>
      <c r="J1136">
        <v>15</v>
      </c>
      <c r="K1136">
        <v>5</v>
      </c>
      <c r="L1136" s="1" t="s">
        <v>30</v>
      </c>
    </row>
    <row r="1137" spans="1:12" x14ac:dyDescent="0.3">
      <c r="A1137" s="1" t="s">
        <v>1757</v>
      </c>
      <c r="B1137" s="2">
        <v>45982</v>
      </c>
      <c r="C1137" s="2">
        <v>45984</v>
      </c>
      <c r="D1137" s="1" t="s">
        <v>28</v>
      </c>
      <c r="E1137" s="1" t="s">
        <v>24</v>
      </c>
      <c r="F1137" s="1" t="s">
        <v>15</v>
      </c>
      <c r="G1137" s="1" t="s">
        <v>53</v>
      </c>
      <c r="H1137" s="1" t="s">
        <v>29</v>
      </c>
      <c r="I1137" s="1" t="s">
        <v>26</v>
      </c>
      <c r="J1137">
        <v>30</v>
      </c>
      <c r="K1137">
        <v>2</v>
      </c>
      <c r="L1137" s="1" t="s">
        <v>30</v>
      </c>
    </row>
    <row r="1138" spans="1:12" x14ac:dyDescent="0.3">
      <c r="A1138" s="1" t="s">
        <v>2226</v>
      </c>
      <c r="B1138" s="2">
        <v>45982</v>
      </c>
      <c r="C1138" s="2">
        <v>46028</v>
      </c>
      <c r="D1138" s="1" t="s">
        <v>23</v>
      </c>
      <c r="E1138" s="1" t="s">
        <v>14</v>
      </c>
      <c r="F1138" s="1" t="s">
        <v>15</v>
      </c>
      <c r="G1138" s="1" t="s">
        <v>53</v>
      </c>
      <c r="H1138" s="1" t="s">
        <v>43</v>
      </c>
      <c r="I1138" s="1" t="s">
        <v>41</v>
      </c>
      <c r="J1138">
        <v>15</v>
      </c>
      <c r="K1138">
        <v>46</v>
      </c>
      <c r="L1138" s="1" t="s">
        <v>44</v>
      </c>
    </row>
    <row r="1139" spans="1:12" x14ac:dyDescent="0.3">
      <c r="A1139" s="1" t="s">
        <v>3160</v>
      </c>
      <c r="B1139" s="2">
        <v>45982</v>
      </c>
      <c r="C1139" s="2">
        <v>46031</v>
      </c>
      <c r="D1139" s="1" t="s">
        <v>13</v>
      </c>
      <c r="E1139" s="1" t="s">
        <v>14</v>
      </c>
      <c r="F1139" s="1" t="s">
        <v>15</v>
      </c>
      <c r="G1139" s="1" t="s">
        <v>16</v>
      </c>
      <c r="H1139" s="1" t="s">
        <v>17</v>
      </c>
      <c r="I1139" s="1" t="s">
        <v>26</v>
      </c>
      <c r="J1139">
        <v>15</v>
      </c>
      <c r="K1139">
        <v>49</v>
      </c>
      <c r="L1139" s="1" t="s">
        <v>44</v>
      </c>
    </row>
    <row r="1140" spans="1:12" x14ac:dyDescent="0.3">
      <c r="A1140" s="1" t="s">
        <v>642</v>
      </c>
      <c r="B1140" s="2">
        <v>45981</v>
      </c>
      <c r="C1140" s="2">
        <v>46002</v>
      </c>
      <c r="D1140" s="1" t="s">
        <v>28</v>
      </c>
      <c r="E1140" s="1" t="s">
        <v>14</v>
      </c>
      <c r="F1140" s="1" t="s">
        <v>15</v>
      </c>
      <c r="G1140" s="1" t="s">
        <v>16</v>
      </c>
      <c r="H1140" s="1" t="s">
        <v>29</v>
      </c>
      <c r="I1140" s="1" t="s">
        <v>18</v>
      </c>
      <c r="J1140">
        <v>15</v>
      </c>
      <c r="K1140">
        <v>21</v>
      </c>
      <c r="L1140" s="1" t="s">
        <v>19</v>
      </c>
    </row>
    <row r="1141" spans="1:12" x14ac:dyDescent="0.3">
      <c r="A1141" s="1" t="s">
        <v>1110</v>
      </c>
      <c r="B1141" s="2">
        <v>45981</v>
      </c>
      <c r="C1141" s="2">
        <v>46042</v>
      </c>
      <c r="D1141" s="1" t="s">
        <v>13</v>
      </c>
      <c r="E1141" s="1" t="s">
        <v>14</v>
      </c>
      <c r="F1141" s="1" t="s">
        <v>15</v>
      </c>
      <c r="G1141" s="1" t="s">
        <v>16</v>
      </c>
      <c r="H1141" s="1" t="s">
        <v>17</v>
      </c>
      <c r="I1141" s="1" t="s">
        <v>41</v>
      </c>
      <c r="J1141">
        <v>15</v>
      </c>
      <c r="K1141">
        <v>61</v>
      </c>
      <c r="L1141" s="1" t="s">
        <v>80</v>
      </c>
    </row>
    <row r="1142" spans="1:12" x14ac:dyDescent="0.3">
      <c r="A1142" s="1" t="s">
        <v>611</v>
      </c>
      <c r="B1142" s="2">
        <v>45981</v>
      </c>
      <c r="C1142" s="2">
        <v>46023</v>
      </c>
      <c r="D1142" s="1" t="s">
        <v>37</v>
      </c>
      <c r="E1142" s="1" t="s">
        <v>14</v>
      </c>
      <c r="F1142" s="1" t="s">
        <v>15</v>
      </c>
      <c r="G1142" s="1" t="s">
        <v>16</v>
      </c>
      <c r="H1142" s="1" t="s">
        <v>39</v>
      </c>
      <c r="I1142" s="1" t="s">
        <v>41</v>
      </c>
      <c r="J1142">
        <v>15</v>
      </c>
      <c r="K1142">
        <v>42</v>
      </c>
      <c r="L1142" s="1" t="s">
        <v>21</v>
      </c>
    </row>
    <row r="1143" spans="1:12" x14ac:dyDescent="0.3">
      <c r="A1143" s="1" t="s">
        <v>3189</v>
      </c>
      <c r="B1143" s="2">
        <v>45981</v>
      </c>
      <c r="C1143" s="2">
        <v>46023</v>
      </c>
      <c r="D1143" s="1" t="s">
        <v>13</v>
      </c>
      <c r="E1143" s="1" t="s">
        <v>24</v>
      </c>
      <c r="F1143" s="1" t="s">
        <v>15</v>
      </c>
      <c r="G1143" s="1" t="s">
        <v>53</v>
      </c>
      <c r="H1143" s="1" t="s">
        <v>47</v>
      </c>
      <c r="I1143" s="1" t="s">
        <v>41</v>
      </c>
      <c r="J1143">
        <v>30</v>
      </c>
      <c r="K1143">
        <v>42</v>
      </c>
      <c r="L1143" s="1" t="s">
        <v>21</v>
      </c>
    </row>
    <row r="1144" spans="1:12" x14ac:dyDescent="0.3">
      <c r="A1144" s="1" t="s">
        <v>658</v>
      </c>
      <c r="B1144" s="2">
        <v>45980</v>
      </c>
      <c r="C1144" s="2">
        <v>46015</v>
      </c>
      <c r="D1144" s="1" t="s">
        <v>13</v>
      </c>
      <c r="E1144" s="1" t="s">
        <v>24</v>
      </c>
      <c r="F1144" s="1" t="s">
        <v>15</v>
      </c>
      <c r="G1144" s="1" t="s">
        <v>33</v>
      </c>
      <c r="H1144" s="1" t="s">
        <v>47</v>
      </c>
      <c r="I1144" s="1" t="s">
        <v>26</v>
      </c>
      <c r="J1144">
        <v>30</v>
      </c>
      <c r="K1144">
        <v>35</v>
      </c>
      <c r="L1144" s="1" t="s">
        <v>21</v>
      </c>
    </row>
    <row r="1145" spans="1:12" x14ac:dyDescent="0.3">
      <c r="A1145" s="1" t="s">
        <v>1170</v>
      </c>
      <c r="B1145" s="2">
        <v>45980</v>
      </c>
      <c r="C1145" s="2">
        <v>46010</v>
      </c>
      <c r="D1145" s="1" t="s">
        <v>28</v>
      </c>
      <c r="E1145" s="1" t="s">
        <v>14</v>
      </c>
      <c r="F1145" s="1" t="s">
        <v>15</v>
      </c>
      <c r="G1145" s="1" t="s">
        <v>16</v>
      </c>
      <c r="H1145" s="1" t="s">
        <v>54</v>
      </c>
      <c r="I1145" s="1" t="s">
        <v>41</v>
      </c>
      <c r="J1145">
        <v>15</v>
      </c>
      <c r="K1145">
        <v>30</v>
      </c>
      <c r="L1145" s="1" t="s">
        <v>21</v>
      </c>
    </row>
    <row r="1146" spans="1:12" x14ac:dyDescent="0.3">
      <c r="A1146" s="1" t="s">
        <v>1379</v>
      </c>
      <c r="B1146" s="2">
        <v>45980</v>
      </c>
      <c r="C1146" s="2">
        <v>46032</v>
      </c>
      <c r="D1146" s="1" t="s">
        <v>13</v>
      </c>
      <c r="E1146" s="1" t="s">
        <v>14</v>
      </c>
      <c r="F1146" s="1" t="s">
        <v>15</v>
      </c>
      <c r="G1146" s="1" t="s">
        <v>16</v>
      </c>
      <c r="H1146" s="1" t="s">
        <v>17</v>
      </c>
      <c r="I1146" s="1" t="s">
        <v>26</v>
      </c>
      <c r="J1146">
        <v>30</v>
      </c>
      <c r="K1146">
        <v>52</v>
      </c>
      <c r="L1146" s="1" t="s">
        <v>44</v>
      </c>
    </row>
    <row r="1147" spans="1:12" x14ac:dyDescent="0.3">
      <c r="A1147" s="1" t="s">
        <v>2036</v>
      </c>
      <c r="B1147" s="2">
        <v>45980</v>
      </c>
      <c r="C1147" s="2">
        <v>45984</v>
      </c>
      <c r="D1147" s="1" t="s">
        <v>28</v>
      </c>
      <c r="E1147" s="1" t="s">
        <v>14</v>
      </c>
      <c r="F1147" s="1" t="s">
        <v>15</v>
      </c>
      <c r="G1147" s="1" t="s">
        <v>16</v>
      </c>
      <c r="H1147" s="1" t="s">
        <v>29</v>
      </c>
      <c r="I1147" s="1" t="s">
        <v>41</v>
      </c>
      <c r="J1147">
        <v>30</v>
      </c>
      <c r="K1147">
        <v>4</v>
      </c>
      <c r="L1147" s="1" t="s">
        <v>30</v>
      </c>
    </row>
    <row r="1148" spans="1:12" x14ac:dyDescent="0.3">
      <c r="A1148" s="1" t="s">
        <v>2479</v>
      </c>
      <c r="B1148" s="2">
        <v>45980</v>
      </c>
      <c r="C1148" s="2">
        <v>46033</v>
      </c>
      <c r="D1148" s="1" t="s">
        <v>13</v>
      </c>
      <c r="E1148" s="1" t="s">
        <v>14</v>
      </c>
      <c r="F1148" s="1" t="s">
        <v>15</v>
      </c>
      <c r="G1148" s="1" t="s">
        <v>16</v>
      </c>
      <c r="H1148" s="1" t="s">
        <v>47</v>
      </c>
      <c r="I1148" s="1" t="s">
        <v>18</v>
      </c>
      <c r="J1148">
        <v>15</v>
      </c>
      <c r="K1148">
        <v>53</v>
      </c>
      <c r="L1148" s="1" t="s">
        <v>44</v>
      </c>
    </row>
    <row r="1149" spans="1:12" x14ac:dyDescent="0.3">
      <c r="A1149" s="1" t="s">
        <v>2731</v>
      </c>
      <c r="B1149" s="2">
        <v>45980</v>
      </c>
      <c r="C1149" s="2">
        <v>46003</v>
      </c>
      <c r="D1149" s="1" t="s">
        <v>23</v>
      </c>
      <c r="E1149" s="1" t="s">
        <v>24</v>
      </c>
      <c r="F1149" s="1" t="s">
        <v>15</v>
      </c>
      <c r="G1149" s="1" t="s">
        <v>16</v>
      </c>
      <c r="H1149" s="1" t="s">
        <v>25</v>
      </c>
      <c r="I1149" s="1" t="s">
        <v>18</v>
      </c>
      <c r="J1149">
        <v>45</v>
      </c>
      <c r="K1149">
        <v>23</v>
      </c>
      <c r="L1149" s="1" t="s">
        <v>19</v>
      </c>
    </row>
    <row r="1150" spans="1:12" x14ac:dyDescent="0.3">
      <c r="A1150" s="1" t="s">
        <v>3012</v>
      </c>
      <c r="B1150" s="2">
        <v>45980</v>
      </c>
      <c r="C1150" s="2">
        <v>46040</v>
      </c>
      <c r="D1150" s="1" t="s">
        <v>13</v>
      </c>
      <c r="E1150" s="1" t="s">
        <v>14</v>
      </c>
      <c r="F1150" s="1" t="s">
        <v>15</v>
      </c>
      <c r="G1150" s="1" t="s">
        <v>16</v>
      </c>
      <c r="H1150" s="1" t="s">
        <v>47</v>
      </c>
      <c r="I1150" s="1" t="s">
        <v>26</v>
      </c>
      <c r="J1150">
        <v>15</v>
      </c>
      <c r="K1150">
        <v>60</v>
      </c>
      <c r="L1150" s="1" t="s">
        <v>80</v>
      </c>
    </row>
    <row r="1151" spans="1:12" x14ac:dyDescent="0.3">
      <c r="A1151" s="1" t="s">
        <v>3034</v>
      </c>
      <c r="B1151" s="2">
        <v>45980</v>
      </c>
      <c r="C1151" s="2">
        <v>46002</v>
      </c>
      <c r="D1151" s="1" t="s">
        <v>32</v>
      </c>
      <c r="E1151" s="1" t="s">
        <v>24</v>
      </c>
      <c r="F1151" s="1" t="s">
        <v>15</v>
      </c>
      <c r="G1151" s="1" t="s">
        <v>16</v>
      </c>
      <c r="H1151" s="1" t="s">
        <v>34</v>
      </c>
      <c r="I1151" s="1" t="s">
        <v>26</v>
      </c>
      <c r="J1151">
        <v>45</v>
      </c>
      <c r="K1151">
        <v>22</v>
      </c>
      <c r="L1151" s="1" t="s">
        <v>19</v>
      </c>
    </row>
    <row r="1152" spans="1:12" x14ac:dyDescent="0.3">
      <c r="A1152" s="1" t="s">
        <v>140</v>
      </c>
      <c r="B1152" s="2">
        <v>45979</v>
      </c>
      <c r="C1152" s="2">
        <v>46027</v>
      </c>
      <c r="D1152" s="1" t="s">
        <v>28</v>
      </c>
      <c r="E1152" s="1" t="s">
        <v>14</v>
      </c>
      <c r="F1152" s="1" t="s">
        <v>38</v>
      </c>
      <c r="G1152" s="1" t="s">
        <v>16</v>
      </c>
      <c r="H1152" s="1" t="s">
        <v>54</v>
      </c>
      <c r="I1152" s="1" t="s">
        <v>26</v>
      </c>
      <c r="J1152">
        <v>30</v>
      </c>
      <c r="K1152">
        <v>48</v>
      </c>
      <c r="L1152" s="1" t="s">
        <v>44</v>
      </c>
    </row>
    <row r="1153" spans="1:12" x14ac:dyDescent="0.3">
      <c r="A1153" s="1" t="s">
        <v>171</v>
      </c>
      <c r="B1153" s="2">
        <v>45979</v>
      </c>
      <c r="C1153" s="2">
        <v>46029</v>
      </c>
      <c r="D1153" s="1" t="s">
        <v>32</v>
      </c>
      <c r="E1153" s="1" t="s">
        <v>24</v>
      </c>
      <c r="F1153" s="1" t="s">
        <v>15</v>
      </c>
      <c r="G1153" s="1" t="s">
        <v>16</v>
      </c>
      <c r="H1153" s="1" t="s">
        <v>34</v>
      </c>
      <c r="I1153" s="1" t="s">
        <v>26</v>
      </c>
      <c r="J1153">
        <v>45</v>
      </c>
      <c r="K1153">
        <v>50</v>
      </c>
      <c r="L1153" s="1" t="s">
        <v>44</v>
      </c>
    </row>
    <row r="1154" spans="1:12" x14ac:dyDescent="0.3">
      <c r="A1154" s="1" t="s">
        <v>382</v>
      </c>
      <c r="B1154" s="2">
        <v>45979</v>
      </c>
      <c r="C1154" s="2">
        <v>46004</v>
      </c>
      <c r="D1154" s="1" t="s">
        <v>13</v>
      </c>
      <c r="E1154" s="1" t="s">
        <v>24</v>
      </c>
      <c r="F1154" s="1" t="s">
        <v>15</v>
      </c>
      <c r="G1154" s="1" t="s">
        <v>16</v>
      </c>
      <c r="H1154" s="1" t="s">
        <v>47</v>
      </c>
      <c r="I1154" s="1" t="s">
        <v>26</v>
      </c>
      <c r="J1154">
        <v>30</v>
      </c>
      <c r="K1154">
        <v>25</v>
      </c>
      <c r="L1154" s="1" t="s">
        <v>19</v>
      </c>
    </row>
    <row r="1155" spans="1:12" x14ac:dyDescent="0.3">
      <c r="A1155" s="1" t="s">
        <v>715</v>
      </c>
      <c r="B1155" s="2">
        <v>45979</v>
      </c>
      <c r="C1155" s="2">
        <v>45990</v>
      </c>
      <c r="D1155" s="1" t="s">
        <v>13</v>
      </c>
      <c r="E1155" s="1" t="s">
        <v>14</v>
      </c>
      <c r="F1155" s="1" t="s">
        <v>38</v>
      </c>
      <c r="G1155" s="1" t="s">
        <v>16</v>
      </c>
      <c r="H1155" s="1" t="s">
        <v>17</v>
      </c>
      <c r="I1155" s="1" t="s">
        <v>41</v>
      </c>
      <c r="J1155">
        <v>15</v>
      </c>
      <c r="K1155">
        <v>11</v>
      </c>
      <c r="L1155" s="1" t="s">
        <v>30</v>
      </c>
    </row>
    <row r="1156" spans="1:12" x14ac:dyDescent="0.3">
      <c r="A1156" s="1" t="s">
        <v>824</v>
      </c>
      <c r="B1156" s="2">
        <v>45979</v>
      </c>
      <c r="C1156" s="2">
        <v>46010</v>
      </c>
      <c r="D1156" s="1" t="s">
        <v>32</v>
      </c>
      <c r="E1156" s="1" t="s">
        <v>24</v>
      </c>
      <c r="F1156" s="1" t="s">
        <v>15</v>
      </c>
      <c r="G1156" s="1" t="s">
        <v>16</v>
      </c>
      <c r="H1156" s="1" t="s">
        <v>71</v>
      </c>
      <c r="I1156" s="1" t="s">
        <v>41</v>
      </c>
      <c r="J1156">
        <v>30</v>
      </c>
      <c r="K1156">
        <v>31</v>
      </c>
      <c r="L1156" s="1" t="s">
        <v>21</v>
      </c>
    </row>
    <row r="1157" spans="1:12" x14ac:dyDescent="0.3">
      <c r="A1157" s="1" t="s">
        <v>1000</v>
      </c>
      <c r="B1157" s="2">
        <v>45979</v>
      </c>
      <c r="C1157" s="2">
        <v>46039</v>
      </c>
      <c r="D1157" s="1" t="s">
        <v>23</v>
      </c>
      <c r="E1157" s="1" t="s">
        <v>24</v>
      </c>
      <c r="F1157" s="1" t="s">
        <v>38</v>
      </c>
      <c r="G1157" s="1" t="s">
        <v>16</v>
      </c>
      <c r="H1157" s="1" t="s">
        <v>43</v>
      </c>
      <c r="I1157" s="1" t="s">
        <v>18</v>
      </c>
      <c r="J1157">
        <v>30</v>
      </c>
      <c r="K1157">
        <v>60</v>
      </c>
      <c r="L1157" s="1" t="s">
        <v>80</v>
      </c>
    </row>
    <row r="1158" spans="1:12" x14ac:dyDescent="0.3">
      <c r="A1158" s="1" t="s">
        <v>962</v>
      </c>
      <c r="B1158" s="2">
        <v>45979</v>
      </c>
      <c r="C1158" s="2">
        <v>46008</v>
      </c>
      <c r="D1158" s="1" t="s">
        <v>37</v>
      </c>
      <c r="E1158" s="1" t="s">
        <v>14</v>
      </c>
      <c r="F1158" s="1" t="s">
        <v>15</v>
      </c>
      <c r="G1158" s="1" t="s">
        <v>16</v>
      </c>
      <c r="H1158" s="1" t="s">
        <v>49</v>
      </c>
      <c r="I1158" s="1" t="s">
        <v>26</v>
      </c>
      <c r="J1158">
        <v>15</v>
      </c>
      <c r="K1158">
        <v>29</v>
      </c>
      <c r="L1158" s="1" t="s">
        <v>21</v>
      </c>
    </row>
    <row r="1159" spans="1:12" x14ac:dyDescent="0.3">
      <c r="A1159" s="1" t="s">
        <v>1277</v>
      </c>
      <c r="B1159" s="2">
        <v>45979</v>
      </c>
      <c r="C1159" s="2">
        <v>46033</v>
      </c>
      <c r="D1159" s="1" t="s">
        <v>13</v>
      </c>
      <c r="E1159" s="1" t="s">
        <v>24</v>
      </c>
      <c r="F1159" s="1" t="s">
        <v>15</v>
      </c>
      <c r="G1159" s="1" t="s">
        <v>16</v>
      </c>
      <c r="H1159" s="1" t="s">
        <v>17</v>
      </c>
      <c r="I1159" s="1" t="s">
        <v>18</v>
      </c>
      <c r="J1159">
        <v>30</v>
      </c>
      <c r="K1159">
        <v>54</v>
      </c>
      <c r="L1159" s="1" t="s">
        <v>44</v>
      </c>
    </row>
    <row r="1160" spans="1:12" x14ac:dyDescent="0.3">
      <c r="A1160" s="1" t="s">
        <v>1459</v>
      </c>
      <c r="B1160" s="2">
        <v>45979</v>
      </c>
      <c r="C1160" s="2">
        <v>45999</v>
      </c>
      <c r="D1160" s="1" t="s">
        <v>23</v>
      </c>
      <c r="E1160" s="1" t="s">
        <v>24</v>
      </c>
      <c r="F1160" s="1" t="s">
        <v>15</v>
      </c>
      <c r="G1160" s="1" t="s">
        <v>16</v>
      </c>
      <c r="H1160" s="1" t="s">
        <v>43</v>
      </c>
      <c r="I1160" s="1" t="s">
        <v>18</v>
      </c>
      <c r="J1160">
        <v>30</v>
      </c>
      <c r="K1160">
        <v>20</v>
      </c>
      <c r="L1160" s="1" t="s">
        <v>19</v>
      </c>
    </row>
    <row r="1161" spans="1:12" x14ac:dyDescent="0.3">
      <c r="A1161" s="1" t="s">
        <v>1509</v>
      </c>
      <c r="B1161" s="2">
        <v>45979</v>
      </c>
      <c r="C1161" s="2">
        <v>46027</v>
      </c>
      <c r="D1161" s="1" t="s">
        <v>13</v>
      </c>
      <c r="E1161" s="1" t="s">
        <v>14</v>
      </c>
      <c r="F1161" s="1" t="s">
        <v>38</v>
      </c>
      <c r="G1161" s="1" t="s">
        <v>16</v>
      </c>
      <c r="H1161" s="1" t="s">
        <v>47</v>
      </c>
      <c r="I1161" s="1" t="s">
        <v>26</v>
      </c>
      <c r="J1161">
        <v>30</v>
      </c>
      <c r="K1161">
        <v>48</v>
      </c>
      <c r="L1161" s="1" t="s">
        <v>44</v>
      </c>
    </row>
    <row r="1162" spans="1:12" x14ac:dyDescent="0.3">
      <c r="A1162" s="1" t="s">
        <v>1627</v>
      </c>
      <c r="B1162" s="2">
        <v>45979</v>
      </c>
      <c r="C1162" s="2">
        <v>46006</v>
      </c>
      <c r="D1162" s="1" t="s">
        <v>32</v>
      </c>
      <c r="E1162" s="1" t="s">
        <v>24</v>
      </c>
      <c r="F1162" s="1" t="s">
        <v>15</v>
      </c>
      <c r="G1162" s="1" t="s">
        <v>16</v>
      </c>
      <c r="H1162" s="1" t="s">
        <v>71</v>
      </c>
      <c r="I1162" s="1" t="s">
        <v>26</v>
      </c>
      <c r="J1162">
        <v>30</v>
      </c>
      <c r="K1162">
        <v>27</v>
      </c>
      <c r="L1162" s="1" t="s">
        <v>19</v>
      </c>
    </row>
    <row r="1163" spans="1:12" x14ac:dyDescent="0.3">
      <c r="A1163" s="1" t="s">
        <v>2027</v>
      </c>
      <c r="B1163" s="2">
        <v>45979</v>
      </c>
      <c r="C1163" s="2">
        <v>46009</v>
      </c>
      <c r="D1163" s="1" t="s">
        <v>23</v>
      </c>
      <c r="E1163" s="1" t="s">
        <v>14</v>
      </c>
      <c r="F1163" s="1" t="s">
        <v>15</v>
      </c>
      <c r="G1163" s="1" t="s">
        <v>16</v>
      </c>
      <c r="H1163" s="1" t="s">
        <v>43</v>
      </c>
      <c r="I1163" s="1" t="s">
        <v>26</v>
      </c>
      <c r="J1163">
        <v>30</v>
      </c>
      <c r="K1163">
        <v>30</v>
      </c>
      <c r="L1163" s="1" t="s">
        <v>21</v>
      </c>
    </row>
    <row r="1164" spans="1:12" x14ac:dyDescent="0.3">
      <c r="A1164" s="1" t="s">
        <v>517</v>
      </c>
      <c r="B1164" s="2">
        <v>45978</v>
      </c>
      <c r="C1164" s="2">
        <v>46015</v>
      </c>
      <c r="D1164" s="1" t="s">
        <v>32</v>
      </c>
      <c r="E1164" s="1" t="s">
        <v>14</v>
      </c>
      <c r="F1164" s="1" t="s">
        <v>15</v>
      </c>
      <c r="G1164" s="1" t="s">
        <v>16</v>
      </c>
      <c r="H1164" s="1" t="s">
        <v>34</v>
      </c>
      <c r="I1164" s="1" t="s">
        <v>26</v>
      </c>
      <c r="J1164">
        <v>15</v>
      </c>
      <c r="K1164">
        <v>37</v>
      </c>
      <c r="L1164" s="1" t="s">
        <v>21</v>
      </c>
    </row>
    <row r="1165" spans="1:12" x14ac:dyDescent="0.3">
      <c r="A1165" s="1" t="s">
        <v>785</v>
      </c>
      <c r="B1165" s="2">
        <v>45978</v>
      </c>
      <c r="C1165" s="2">
        <v>45980</v>
      </c>
      <c r="D1165" s="1" t="s">
        <v>28</v>
      </c>
      <c r="E1165" s="1" t="s">
        <v>24</v>
      </c>
      <c r="F1165" s="1" t="s">
        <v>15</v>
      </c>
      <c r="G1165" s="1" t="s">
        <v>16</v>
      </c>
      <c r="H1165" s="1" t="s">
        <v>29</v>
      </c>
      <c r="I1165" s="1" t="s">
        <v>41</v>
      </c>
      <c r="J1165">
        <v>30</v>
      </c>
      <c r="K1165">
        <v>2</v>
      </c>
      <c r="L1165" s="1" t="s">
        <v>30</v>
      </c>
    </row>
    <row r="1166" spans="1:12" x14ac:dyDescent="0.3">
      <c r="A1166" s="1" t="s">
        <v>1153</v>
      </c>
      <c r="B1166" s="2">
        <v>45978</v>
      </c>
      <c r="C1166" s="2">
        <v>46025</v>
      </c>
      <c r="D1166" s="1" t="s">
        <v>37</v>
      </c>
      <c r="E1166" s="1" t="s">
        <v>14</v>
      </c>
      <c r="F1166" s="1" t="s">
        <v>15</v>
      </c>
      <c r="G1166" s="1" t="s">
        <v>16</v>
      </c>
      <c r="H1166" s="1" t="s">
        <v>49</v>
      </c>
      <c r="I1166" s="1" t="s">
        <v>26</v>
      </c>
      <c r="J1166">
        <v>15</v>
      </c>
      <c r="K1166">
        <v>47</v>
      </c>
      <c r="L1166" s="1" t="s">
        <v>44</v>
      </c>
    </row>
    <row r="1167" spans="1:12" x14ac:dyDescent="0.3">
      <c r="A1167" s="1" t="s">
        <v>700</v>
      </c>
      <c r="B1167" s="2">
        <v>45978</v>
      </c>
      <c r="C1167" s="2">
        <v>46011</v>
      </c>
      <c r="D1167" s="1" t="s">
        <v>37</v>
      </c>
      <c r="E1167" s="1" t="s">
        <v>24</v>
      </c>
      <c r="F1167" s="1" t="s">
        <v>15</v>
      </c>
      <c r="G1167" s="1" t="s">
        <v>16</v>
      </c>
      <c r="H1167" s="1" t="s">
        <v>49</v>
      </c>
      <c r="I1167" s="1" t="s">
        <v>41</v>
      </c>
      <c r="J1167">
        <v>30</v>
      </c>
      <c r="K1167">
        <v>33</v>
      </c>
      <c r="L1167" s="1" t="s">
        <v>21</v>
      </c>
    </row>
    <row r="1168" spans="1:12" x14ac:dyDescent="0.3">
      <c r="A1168" s="1" t="s">
        <v>1412</v>
      </c>
      <c r="B1168" s="2">
        <v>45978</v>
      </c>
      <c r="C1168" s="2">
        <v>46007</v>
      </c>
      <c r="D1168" s="1" t="s">
        <v>37</v>
      </c>
      <c r="E1168" s="1" t="s">
        <v>14</v>
      </c>
      <c r="F1168" s="1" t="s">
        <v>15</v>
      </c>
      <c r="G1168" s="1" t="s">
        <v>16</v>
      </c>
      <c r="H1168" s="1" t="s">
        <v>39</v>
      </c>
      <c r="I1168" s="1" t="s">
        <v>18</v>
      </c>
      <c r="J1168">
        <v>30</v>
      </c>
      <c r="K1168">
        <v>29</v>
      </c>
      <c r="L1168" s="1" t="s">
        <v>21</v>
      </c>
    </row>
    <row r="1169" spans="1:12" x14ac:dyDescent="0.3">
      <c r="A1169" s="1" t="s">
        <v>500</v>
      </c>
      <c r="B1169" s="2">
        <v>45978</v>
      </c>
      <c r="C1169" s="2">
        <v>46001</v>
      </c>
      <c r="D1169" s="1" t="s">
        <v>37</v>
      </c>
      <c r="E1169" s="1" t="s">
        <v>24</v>
      </c>
      <c r="F1169" s="1" t="s">
        <v>38</v>
      </c>
      <c r="G1169" s="1" t="s">
        <v>16</v>
      </c>
      <c r="H1169" s="1" t="s">
        <v>49</v>
      </c>
      <c r="I1169" s="1" t="s">
        <v>18</v>
      </c>
      <c r="J1169">
        <v>30</v>
      </c>
      <c r="K1169">
        <v>23</v>
      </c>
      <c r="L1169" s="1" t="s">
        <v>19</v>
      </c>
    </row>
    <row r="1170" spans="1:12" x14ac:dyDescent="0.3">
      <c r="A1170" s="1" t="s">
        <v>1238</v>
      </c>
      <c r="B1170" s="2">
        <v>45978</v>
      </c>
      <c r="C1170" s="2">
        <v>45991</v>
      </c>
      <c r="D1170" s="1" t="s">
        <v>23</v>
      </c>
      <c r="E1170" s="1" t="s">
        <v>14</v>
      </c>
      <c r="F1170" s="1" t="s">
        <v>15</v>
      </c>
      <c r="G1170" s="1" t="s">
        <v>16</v>
      </c>
      <c r="H1170" s="1" t="s">
        <v>25</v>
      </c>
      <c r="I1170" s="1" t="s">
        <v>41</v>
      </c>
      <c r="J1170">
        <v>15</v>
      </c>
      <c r="K1170">
        <v>13</v>
      </c>
      <c r="L1170" s="1" t="s">
        <v>30</v>
      </c>
    </row>
    <row r="1171" spans="1:12" x14ac:dyDescent="0.3">
      <c r="A1171" s="1" t="s">
        <v>2052</v>
      </c>
      <c r="B1171" s="2">
        <v>45978</v>
      </c>
      <c r="C1171" s="2">
        <v>46028</v>
      </c>
      <c r="D1171" s="1" t="s">
        <v>13</v>
      </c>
      <c r="E1171" s="1" t="s">
        <v>14</v>
      </c>
      <c r="F1171" s="1" t="s">
        <v>38</v>
      </c>
      <c r="G1171" s="1" t="s">
        <v>53</v>
      </c>
      <c r="H1171" s="1" t="s">
        <v>47</v>
      </c>
      <c r="I1171" s="1" t="s">
        <v>18</v>
      </c>
      <c r="J1171">
        <v>15</v>
      </c>
      <c r="K1171">
        <v>50</v>
      </c>
      <c r="L1171" s="1" t="s">
        <v>44</v>
      </c>
    </row>
    <row r="1172" spans="1:12" x14ac:dyDescent="0.3">
      <c r="A1172" s="1" t="s">
        <v>2200</v>
      </c>
      <c r="B1172" s="2">
        <v>45978</v>
      </c>
      <c r="C1172" s="2">
        <v>46021</v>
      </c>
      <c r="D1172" s="1" t="s">
        <v>32</v>
      </c>
      <c r="E1172" s="1" t="s">
        <v>24</v>
      </c>
      <c r="F1172" s="1" t="s">
        <v>15</v>
      </c>
      <c r="G1172" s="1" t="s">
        <v>16</v>
      </c>
      <c r="H1172" s="1" t="s">
        <v>34</v>
      </c>
      <c r="I1172" s="1" t="s">
        <v>41</v>
      </c>
      <c r="J1172">
        <v>30</v>
      </c>
      <c r="K1172">
        <v>43</v>
      </c>
      <c r="L1172" s="1" t="s">
        <v>44</v>
      </c>
    </row>
    <row r="1173" spans="1:12" x14ac:dyDescent="0.3">
      <c r="A1173" s="1" t="s">
        <v>2227</v>
      </c>
      <c r="B1173" s="2">
        <v>45978</v>
      </c>
      <c r="C1173" s="2">
        <v>46063</v>
      </c>
      <c r="D1173" s="1" t="s">
        <v>13</v>
      </c>
      <c r="E1173" s="1" t="s">
        <v>24</v>
      </c>
      <c r="F1173" s="1" t="s">
        <v>15</v>
      </c>
      <c r="G1173" s="1" t="s">
        <v>16</v>
      </c>
      <c r="H1173" s="1" t="s">
        <v>47</v>
      </c>
      <c r="I1173" s="1" t="s">
        <v>26</v>
      </c>
      <c r="J1173">
        <v>30</v>
      </c>
      <c r="K1173">
        <v>85</v>
      </c>
      <c r="L1173" s="1" t="s">
        <v>80</v>
      </c>
    </row>
    <row r="1174" spans="1:12" x14ac:dyDescent="0.3">
      <c r="A1174" s="1" t="s">
        <v>2273</v>
      </c>
      <c r="B1174" s="2">
        <v>45978</v>
      </c>
      <c r="C1174" s="2">
        <v>46004</v>
      </c>
      <c r="D1174" s="1" t="s">
        <v>13</v>
      </c>
      <c r="E1174" s="1" t="s">
        <v>14</v>
      </c>
      <c r="F1174" s="1" t="s">
        <v>15</v>
      </c>
      <c r="G1174" s="1" t="s">
        <v>16</v>
      </c>
      <c r="H1174" s="1" t="s">
        <v>47</v>
      </c>
      <c r="I1174" s="1" t="s">
        <v>18</v>
      </c>
      <c r="J1174">
        <v>15</v>
      </c>
      <c r="K1174">
        <v>26</v>
      </c>
      <c r="L1174" s="1" t="s">
        <v>19</v>
      </c>
    </row>
    <row r="1175" spans="1:12" x14ac:dyDescent="0.3">
      <c r="A1175" s="1" t="s">
        <v>2610</v>
      </c>
      <c r="B1175" s="2">
        <v>45978</v>
      </c>
      <c r="C1175" s="2">
        <v>46007</v>
      </c>
      <c r="D1175" s="1" t="s">
        <v>32</v>
      </c>
      <c r="E1175" s="1" t="s">
        <v>24</v>
      </c>
      <c r="F1175" s="1" t="s">
        <v>15</v>
      </c>
      <c r="G1175" s="1" t="s">
        <v>53</v>
      </c>
      <c r="H1175" s="1" t="s">
        <v>34</v>
      </c>
      <c r="I1175" s="1" t="s">
        <v>18</v>
      </c>
      <c r="J1175">
        <v>45</v>
      </c>
      <c r="K1175">
        <v>29</v>
      </c>
      <c r="L1175" s="1" t="s">
        <v>21</v>
      </c>
    </row>
    <row r="1176" spans="1:12" x14ac:dyDescent="0.3">
      <c r="A1176" s="1" t="s">
        <v>2800</v>
      </c>
      <c r="B1176" s="2">
        <v>45978</v>
      </c>
      <c r="C1176" s="2">
        <v>46003</v>
      </c>
      <c r="D1176" s="1" t="s">
        <v>23</v>
      </c>
      <c r="E1176" s="1" t="s">
        <v>24</v>
      </c>
      <c r="F1176" s="1" t="s">
        <v>15</v>
      </c>
      <c r="G1176" s="1" t="s">
        <v>16</v>
      </c>
      <c r="H1176" s="1" t="s">
        <v>43</v>
      </c>
      <c r="I1176" s="1" t="s">
        <v>26</v>
      </c>
      <c r="J1176">
        <v>45</v>
      </c>
      <c r="K1176">
        <v>25</v>
      </c>
      <c r="L1176" s="1" t="s">
        <v>19</v>
      </c>
    </row>
    <row r="1177" spans="1:12" x14ac:dyDescent="0.3">
      <c r="A1177" s="1" t="s">
        <v>81</v>
      </c>
      <c r="B1177" s="2">
        <v>45977</v>
      </c>
      <c r="C1177" s="2">
        <v>45992</v>
      </c>
      <c r="D1177" s="1" t="s">
        <v>32</v>
      </c>
      <c r="E1177" s="1" t="s">
        <v>24</v>
      </c>
      <c r="F1177" s="1" t="s">
        <v>15</v>
      </c>
      <c r="G1177" s="1" t="s">
        <v>16</v>
      </c>
      <c r="H1177" s="1" t="s">
        <v>71</v>
      </c>
      <c r="I1177" s="1" t="s">
        <v>26</v>
      </c>
      <c r="J1177">
        <v>30</v>
      </c>
      <c r="K1177">
        <v>15</v>
      </c>
      <c r="L1177" s="1" t="s">
        <v>19</v>
      </c>
    </row>
    <row r="1178" spans="1:12" x14ac:dyDescent="0.3">
      <c r="A1178" s="1" t="s">
        <v>126</v>
      </c>
      <c r="B1178" s="2">
        <v>45977</v>
      </c>
      <c r="C1178" s="2">
        <v>45985</v>
      </c>
      <c r="D1178" s="1" t="s">
        <v>28</v>
      </c>
      <c r="E1178" s="1" t="s">
        <v>24</v>
      </c>
      <c r="F1178" s="1" t="s">
        <v>38</v>
      </c>
      <c r="G1178" s="1" t="s">
        <v>53</v>
      </c>
      <c r="H1178" s="1" t="s">
        <v>29</v>
      </c>
      <c r="I1178" s="1" t="s">
        <v>18</v>
      </c>
      <c r="J1178">
        <v>30</v>
      </c>
      <c r="K1178">
        <v>8</v>
      </c>
      <c r="L1178" s="1" t="s">
        <v>30</v>
      </c>
    </row>
    <row r="1179" spans="1:12" x14ac:dyDescent="0.3">
      <c r="A1179" s="1" t="s">
        <v>233</v>
      </c>
      <c r="B1179" s="2">
        <v>45977</v>
      </c>
      <c r="C1179" s="2">
        <v>46000</v>
      </c>
      <c r="D1179" s="1" t="s">
        <v>28</v>
      </c>
      <c r="E1179" s="1" t="s">
        <v>24</v>
      </c>
      <c r="F1179" s="1" t="s">
        <v>15</v>
      </c>
      <c r="G1179" s="1" t="s">
        <v>16</v>
      </c>
      <c r="H1179" s="1" t="s">
        <v>54</v>
      </c>
      <c r="I1179" s="1" t="s">
        <v>26</v>
      </c>
      <c r="J1179">
        <v>30</v>
      </c>
      <c r="K1179">
        <v>23</v>
      </c>
      <c r="L1179" s="1" t="s">
        <v>19</v>
      </c>
    </row>
    <row r="1180" spans="1:12" x14ac:dyDescent="0.3">
      <c r="A1180" s="1" t="s">
        <v>922</v>
      </c>
      <c r="B1180" s="2">
        <v>45977</v>
      </c>
      <c r="C1180" s="2">
        <v>46009</v>
      </c>
      <c r="D1180" s="1" t="s">
        <v>28</v>
      </c>
      <c r="E1180" s="1" t="s">
        <v>14</v>
      </c>
      <c r="F1180" s="1" t="s">
        <v>15</v>
      </c>
      <c r="G1180" s="1" t="s">
        <v>16</v>
      </c>
      <c r="H1180" s="1" t="s">
        <v>54</v>
      </c>
      <c r="I1180" s="1" t="s">
        <v>18</v>
      </c>
      <c r="J1180">
        <v>30</v>
      </c>
      <c r="K1180">
        <v>32</v>
      </c>
      <c r="L1180" s="1" t="s">
        <v>21</v>
      </c>
    </row>
    <row r="1181" spans="1:12" x14ac:dyDescent="0.3">
      <c r="A1181" s="1" t="s">
        <v>1214</v>
      </c>
      <c r="B1181" s="2">
        <v>45977</v>
      </c>
      <c r="C1181" s="2">
        <v>45988</v>
      </c>
      <c r="D1181" s="1" t="s">
        <v>28</v>
      </c>
      <c r="E1181" s="1" t="s">
        <v>14</v>
      </c>
      <c r="F1181" s="1" t="s">
        <v>15</v>
      </c>
      <c r="G1181" s="1" t="s">
        <v>16</v>
      </c>
      <c r="H1181" s="1" t="s">
        <v>54</v>
      </c>
      <c r="I1181" s="1" t="s">
        <v>26</v>
      </c>
      <c r="J1181">
        <v>15</v>
      </c>
      <c r="K1181">
        <v>11</v>
      </c>
      <c r="L1181" s="1" t="s">
        <v>30</v>
      </c>
    </row>
    <row r="1182" spans="1:12" x14ac:dyDescent="0.3">
      <c r="A1182" s="1" t="s">
        <v>3038</v>
      </c>
      <c r="B1182" s="2">
        <v>45977</v>
      </c>
      <c r="C1182" s="2">
        <v>46041</v>
      </c>
      <c r="D1182" s="1" t="s">
        <v>23</v>
      </c>
      <c r="E1182" s="1" t="s">
        <v>24</v>
      </c>
      <c r="F1182" s="1" t="s">
        <v>38</v>
      </c>
      <c r="G1182" s="1" t="s">
        <v>16</v>
      </c>
      <c r="H1182" s="1" t="s">
        <v>25</v>
      </c>
      <c r="I1182" s="1" t="s">
        <v>26</v>
      </c>
      <c r="J1182">
        <v>30</v>
      </c>
      <c r="K1182">
        <v>64</v>
      </c>
      <c r="L1182" s="1" t="s">
        <v>80</v>
      </c>
    </row>
    <row r="1183" spans="1:12" x14ac:dyDescent="0.3">
      <c r="A1183" s="1" t="s">
        <v>3227</v>
      </c>
      <c r="B1183" s="2">
        <v>45977</v>
      </c>
      <c r="C1183" s="2">
        <v>46008</v>
      </c>
      <c r="D1183" s="1" t="s">
        <v>28</v>
      </c>
      <c r="E1183" s="1" t="s">
        <v>14</v>
      </c>
      <c r="F1183" s="1" t="s">
        <v>15</v>
      </c>
      <c r="G1183" s="1" t="s">
        <v>16</v>
      </c>
      <c r="H1183" s="1" t="s">
        <v>54</v>
      </c>
      <c r="I1183" s="1" t="s">
        <v>18</v>
      </c>
      <c r="J1183">
        <v>15</v>
      </c>
      <c r="K1183">
        <v>31</v>
      </c>
      <c r="L1183" s="1" t="s">
        <v>21</v>
      </c>
    </row>
    <row r="1184" spans="1:12" x14ac:dyDescent="0.3">
      <c r="A1184" s="1" t="s">
        <v>286</v>
      </c>
      <c r="B1184" s="2">
        <v>45976</v>
      </c>
      <c r="C1184" s="2">
        <v>46012</v>
      </c>
      <c r="D1184" s="1" t="s">
        <v>28</v>
      </c>
      <c r="E1184" s="1" t="s">
        <v>24</v>
      </c>
      <c r="F1184" s="1" t="s">
        <v>38</v>
      </c>
      <c r="G1184" s="1" t="s">
        <v>16</v>
      </c>
      <c r="H1184" s="1" t="s">
        <v>54</v>
      </c>
      <c r="I1184" s="1" t="s">
        <v>26</v>
      </c>
      <c r="J1184">
        <v>30</v>
      </c>
      <c r="K1184">
        <v>36</v>
      </c>
      <c r="L1184" s="1" t="s">
        <v>21</v>
      </c>
    </row>
    <row r="1185" spans="1:12" x14ac:dyDescent="0.3">
      <c r="A1185" s="1" t="s">
        <v>641</v>
      </c>
      <c r="B1185" s="2">
        <v>45976</v>
      </c>
      <c r="C1185" s="2">
        <v>46023</v>
      </c>
      <c r="D1185" s="1" t="s">
        <v>23</v>
      </c>
      <c r="E1185" s="1" t="s">
        <v>14</v>
      </c>
      <c r="F1185" s="1" t="s">
        <v>15</v>
      </c>
      <c r="G1185" s="1" t="s">
        <v>16</v>
      </c>
      <c r="H1185" s="1" t="s">
        <v>43</v>
      </c>
      <c r="I1185" s="1" t="s">
        <v>41</v>
      </c>
      <c r="J1185">
        <v>15</v>
      </c>
      <c r="K1185">
        <v>47</v>
      </c>
      <c r="L1185" s="1" t="s">
        <v>44</v>
      </c>
    </row>
    <row r="1186" spans="1:12" x14ac:dyDescent="0.3">
      <c r="A1186" s="1" t="s">
        <v>1797</v>
      </c>
      <c r="B1186" s="2">
        <v>45976</v>
      </c>
      <c r="C1186" s="2">
        <v>46030</v>
      </c>
      <c r="D1186" s="1" t="s">
        <v>37</v>
      </c>
      <c r="E1186" s="1" t="s">
        <v>14</v>
      </c>
      <c r="F1186" s="1" t="s">
        <v>15</v>
      </c>
      <c r="G1186" s="1" t="s">
        <v>16</v>
      </c>
      <c r="H1186" s="1" t="s">
        <v>49</v>
      </c>
      <c r="I1186" s="1" t="s">
        <v>26</v>
      </c>
      <c r="J1186">
        <v>15</v>
      </c>
      <c r="K1186">
        <v>54</v>
      </c>
      <c r="L1186" s="1" t="s">
        <v>44</v>
      </c>
    </row>
    <row r="1187" spans="1:12" x14ac:dyDescent="0.3">
      <c r="A1187" s="1" t="s">
        <v>281</v>
      </c>
      <c r="B1187" s="2">
        <v>45976</v>
      </c>
      <c r="C1187" s="2">
        <v>46003</v>
      </c>
      <c r="D1187" s="1" t="s">
        <v>37</v>
      </c>
      <c r="E1187" s="1" t="s">
        <v>14</v>
      </c>
      <c r="F1187" s="1" t="s">
        <v>15</v>
      </c>
      <c r="G1187" s="1" t="s">
        <v>16</v>
      </c>
      <c r="H1187" s="1" t="s">
        <v>39</v>
      </c>
      <c r="I1187" s="1" t="s">
        <v>26</v>
      </c>
      <c r="J1187">
        <v>15</v>
      </c>
      <c r="K1187">
        <v>27</v>
      </c>
      <c r="L1187" s="1" t="s">
        <v>19</v>
      </c>
    </row>
    <row r="1188" spans="1:12" x14ac:dyDescent="0.3">
      <c r="A1188" s="1" t="s">
        <v>1213</v>
      </c>
      <c r="B1188" s="2">
        <v>45976</v>
      </c>
      <c r="C1188" s="2">
        <v>45989</v>
      </c>
      <c r="D1188" s="1" t="s">
        <v>13</v>
      </c>
      <c r="E1188" s="1" t="s">
        <v>14</v>
      </c>
      <c r="F1188" s="1" t="s">
        <v>15</v>
      </c>
      <c r="G1188" s="1" t="s">
        <v>16</v>
      </c>
      <c r="H1188" s="1" t="s">
        <v>47</v>
      </c>
      <c r="I1188" s="1" t="s">
        <v>41</v>
      </c>
      <c r="J1188">
        <v>15</v>
      </c>
      <c r="K1188">
        <v>13</v>
      </c>
      <c r="L1188" s="1" t="s">
        <v>30</v>
      </c>
    </row>
    <row r="1189" spans="1:12" x14ac:dyDescent="0.3">
      <c r="A1189" s="1" t="s">
        <v>1795</v>
      </c>
      <c r="B1189" s="2">
        <v>45976</v>
      </c>
      <c r="C1189" s="2">
        <v>46007</v>
      </c>
      <c r="D1189" s="1" t="s">
        <v>32</v>
      </c>
      <c r="E1189" s="1" t="s">
        <v>14</v>
      </c>
      <c r="F1189" s="1" t="s">
        <v>15</v>
      </c>
      <c r="G1189" s="1" t="s">
        <v>16</v>
      </c>
      <c r="H1189" s="1" t="s">
        <v>34</v>
      </c>
      <c r="I1189" s="1" t="s">
        <v>41</v>
      </c>
      <c r="J1189">
        <v>15</v>
      </c>
      <c r="K1189">
        <v>31</v>
      </c>
      <c r="L1189" s="1" t="s">
        <v>21</v>
      </c>
    </row>
    <row r="1190" spans="1:12" x14ac:dyDescent="0.3">
      <c r="A1190" s="1" t="s">
        <v>2763</v>
      </c>
      <c r="B1190" s="2">
        <v>45976</v>
      </c>
      <c r="C1190" s="2">
        <v>46036</v>
      </c>
      <c r="D1190" s="1" t="s">
        <v>28</v>
      </c>
      <c r="E1190" s="1" t="s">
        <v>14</v>
      </c>
      <c r="F1190" s="1" t="s">
        <v>15</v>
      </c>
      <c r="G1190" s="1" t="s">
        <v>16</v>
      </c>
      <c r="H1190" s="1" t="s">
        <v>54</v>
      </c>
      <c r="I1190" s="1" t="s">
        <v>18</v>
      </c>
      <c r="J1190">
        <v>15</v>
      </c>
      <c r="K1190">
        <v>60</v>
      </c>
      <c r="L1190" s="1" t="s">
        <v>80</v>
      </c>
    </row>
    <row r="1191" spans="1:12" x14ac:dyDescent="0.3">
      <c r="A1191" s="1" t="s">
        <v>3051</v>
      </c>
      <c r="B1191" s="2">
        <v>45976</v>
      </c>
      <c r="C1191" s="2">
        <v>46022</v>
      </c>
      <c r="D1191" s="1" t="s">
        <v>13</v>
      </c>
      <c r="E1191" s="1" t="s">
        <v>14</v>
      </c>
      <c r="F1191" s="1" t="s">
        <v>15</v>
      </c>
      <c r="G1191" s="1" t="s">
        <v>16</v>
      </c>
      <c r="H1191" s="1" t="s">
        <v>47</v>
      </c>
      <c r="I1191" s="1" t="s">
        <v>18</v>
      </c>
      <c r="J1191">
        <v>15</v>
      </c>
      <c r="K1191">
        <v>46</v>
      </c>
      <c r="L1191" s="1" t="s">
        <v>44</v>
      </c>
    </row>
    <row r="1192" spans="1:12" x14ac:dyDescent="0.3">
      <c r="A1192" s="1" t="s">
        <v>3068</v>
      </c>
      <c r="B1192" s="2">
        <v>45976</v>
      </c>
      <c r="C1192" s="2">
        <v>46019</v>
      </c>
      <c r="D1192" s="1" t="s">
        <v>32</v>
      </c>
      <c r="E1192" s="1" t="s">
        <v>14</v>
      </c>
      <c r="F1192" s="1" t="s">
        <v>15</v>
      </c>
      <c r="G1192" s="1" t="s">
        <v>16</v>
      </c>
      <c r="H1192" s="1" t="s">
        <v>71</v>
      </c>
      <c r="I1192" s="1" t="s">
        <v>26</v>
      </c>
      <c r="J1192">
        <v>15</v>
      </c>
      <c r="K1192">
        <v>43</v>
      </c>
      <c r="L1192" s="1" t="s">
        <v>44</v>
      </c>
    </row>
    <row r="1193" spans="1:12" x14ac:dyDescent="0.3">
      <c r="A1193" s="1" t="s">
        <v>3159</v>
      </c>
      <c r="B1193" s="2">
        <v>45976</v>
      </c>
      <c r="C1193" s="2">
        <v>46017</v>
      </c>
      <c r="D1193" s="1" t="s">
        <v>23</v>
      </c>
      <c r="E1193" s="1" t="s">
        <v>14</v>
      </c>
      <c r="F1193" s="1" t="s">
        <v>15</v>
      </c>
      <c r="G1193" s="1" t="s">
        <v>53</v>
      </c>
      <c r="H1193" s="1" t="s">
        <v>43</v>
      </c>
      <c r="I1193" s="1" t="s">
        <v>18</v>
      </c>
      <c r="J1193">
        <v>15</v>
      </c>
      <c r="K1193">
        <v>41</v>
      </c>
      <c r="L1193" s="1" t="s">
        <v>21</v>
      </c>
    </row>
    <row r="1194" spans="1:12" x14ac:dyDescent="0.3">
      <c r="A1194" s="1" t="s">
        <v>3213</v>
      </c>
      <c r="B1194" s="2">
        <v>45976</v>
      </c>
      <c r="C1194" s="2">
        <v>46008</v>
      </c>
      <c r="D1194" s="1" t="s">
        <v>28</v>
      </c>
      <c r="E1194" s="1" t="s">
        <v>24</v>
      </c>
      <c r="F1194" s="1" t="s">
        <v>15</v>
      </c>
      <c r="G1194" s="1" t="s">
        <v>16</v>
      </c>
      <c r="H1194" s="1" t="s">
        <v>29</v>
      </c>
      <c r="I1194" s="1" t="s">
        <v>26</v>
      </c>
      <c r="J1194">
        <v>30</v>
      </c>
      <c r="K1194">
        <v>32</v>
      </c>
      <c r="L1194" s="1" t="s">
        <v>21</v>
      </c>
    </row>
    <row r="1195" spans="1:12" x14ac:dyDescent="0.3">
      <c r="A1195" s="1" t="s">
        <v>1038</v>
      </c>
      <c r="B1195" s="2">
        <v>45975</v>
      </c>
      <c r="C1195" s="2">
        <v>46003</v>
      </c>
      <c r="D1195" s="1" t="s">
        <v>23</v>
      </c>
      <c r="E1195" s="1" t="s">
        <v>14</v>
      </c>
      <c r="F1195" s="1" t="s">
        <v>15</v>
      </c>
      <c r="G1195" s="1" t="s">
        <v>53</v>
      </c>
      <c r="H1195" s="1" t="s">
        <v>25</v>
      </c>
      <c r="I1195" s="1" t="s">
        <v>26</v>
      </c>
      <c r="J1195">
        <v>15</v>
      </c>
      <c r="K1195">
        <v>28</v>
      </c>
      <c r="L1195" s="1" t="s">
        <v>19</v>
      </c>
    </row>
    <row r="1196" spans="1:12" x14ac:dyDescent="0.3">
      <c r="A1196" s="1" t="s">
        <v>2221</v>
      </c>
      <c r="B1196" s="2">
        <v>45975</v>
      </c>
      <c r="C1196" s="2">
        <v>45997</v>
      </c>
      <c r="D1196" s="1" t="s">
        <v>37</v>
      </c>
      <c r="E1196" s="1" t="s">
        <v>14</v>
      </c>
      <c r="F1196" s="1" t="s">
        <v>15</v>
      </c>
      <c r="G1196" s="1" t="s">
        <v>16</v>
      </c>
      <c r="H1196" s="1" t="s">
        <v>39</v>
      </c>
      <c r="I1196" s="1" t="s">
        <v>18</v>
      </c>
      <c r="J1196">
        <v>15</v>
      </c>
      <c r="K1196">
        <v>22</v>
      </c>
      <c r="L1196" s="1" t="s">
        <v>19</v>
      </c>
    </row>
    <row r="1197" spans="1:12" x14ac:dyDescent="0.3">
      <c r="A1197" s="1" t="s">
        <v>2170</v>
      </c>
      <c r="B1197" s="2">
        <v>45975</v>
      </c>
      <c r="C1197" s="2">
        <v>46017</v>
      </c>
      <c r="D1197" s="1" t="s">
        <v>28</v>
      </c>
      <c r="E1197" s="1" t="s">
        <v>14</v>
      </c>
      <c r="F1197" s="1" t="s">
        <v>15</v>
      </c>
      <c r="G1197" s="1" t="s">
        <v>16</v>
      </c>
      <c r="H1197" s="1" t="s">
        <v>54</v>
      </c>
      <c r="I1197" s="1" t="s">
        <v>26</v>
      </c>
      <c r="J1197">
        <v>15</v>
      </c>
      <c r="K1197">
        <v>42</v>
      </c>
      <c r="L1197" s="1" t="s">
        <v>21</v>
      </c>
    </row>
    <row r="1198" spans="1:12" x14ac:dyDescent="0.3">
      <c r="A1198" s="1" t="s">
        <v>2401</v>
      </c>
      <c r="B1198" s="2">
        <v>45975</v>
      </c>
      <c r="C1198" s="2">
        <v>46013</v>
      </c>
      <c r="D1198" s="1" t="s">
        <v>13</v>
      </c>
      <c r="E1198" s="1" t="s">
        <v>24</v>
      </c>
      <c r="F1198" s="1" t="s">
        <v>15</v>
      </c>
      <c r="G1198" s="1" t="s">
        <v>16</v>
      </c>
      <c r="H1198" s="1" t="s">
        <v>17</v>
      </c>
      <c r="I1198" s="1" t="s">
        <v>26</v>
      </c>
      <c r="J1198">
        <v>30</v>
      </c>
      <c r="K1198">
        <v>38</v>
      </c>
      <c r="L1198" s="1" t="s">
        <v>21</v>
      </c>
    </row>
    <row r="1199" spans="1:12" x14ac:dyDescent="0.3">
      <c r="A1199" s="1" t="s">
        <v>2871</v>
      </c>
      <c r="B1199" s="2">
        <v>45975</v>
      </c>
      <c r="C1199" s="2">
        <v>45980</v>
      </c>
      <c r="D1199" s="1" t="s">
        <v>23</v>
      </c>
      <c r="E1199" s="1" t="s">
        <v>14</v>
      </c>
      <c r="F1199" s="1" t="s">
        <v>15</v>
      </c>
      <c r="G1199" s="1" t="s">
        <v>16</v>
      </c>
      <c r="H1199" s="1" t="s">
        <v>43</v>
      </c>
      <c r="I1199" s="1" t="s">
        <v>18</v>
      </c>
      <c r="J1199">
        <v>15</v>
      </c>
      <c r="K1199">
        <v>5</v>
      </c>
      <c r="L1199" s="1" t="s">
        <v>30</v>
      </c>
    </row>
    <row r="1200" spans="1:12" x14ac:dyDescent="0.3">
      <c r="A1200" s="1" t="s">
        <v>2940</v>
      </c>
      <c r="B1200" s="2">
        <v>45975</v>
      </c>
      <c r="C1200" s="2">
        <v>46005</v>
      </c>
      <c r="D1200" s="1" t="s">
        <v>28</v>
      </c>
      <c r="E1200" s="1" t="s">
        <v>24</v>
      </c>
      <c r="F1200" s="1" t="s">
        <v>15</v>
      </c>
      <c r="G1200" s="1" t="s">
        <v>16</v>
      </c>
      <c r="H1200" s="1" t="s">
        <v>54</v>
      </c>
      <c r="I1200" s="1" t="s">
        <v>26</v>
      </c>
      <c r="J1200">
        <v>30</v>
      </c>
      <c r="K1200">
        <v>30</v>
      </c>
      <c r="L1200" s="1" t="s">
        <v>21</v>
      </c>
    </row>
    <row r="1201" spans="1:12" x14ac:dyDescent="0.3">
      <c r="A1201" s="1" t="s">
        <v>2949</v>
      </c>
      <c r="B1201" s="2">
        <v>45975</v>
      </c>
      <c r="C1201" s="2">
        <v>46009</v>
      </c>
      <c r="D1201" s="1" t="s">
        <v>13</v>
      </c>
      <c r="E1201" s="1" t="s">
        <v>14</v>
      </c>
      <c r="F1201" s="1" t="s">
        <v>38</v>
      </c>
      <c r="G1201" s="1" t="s">
        <v>16</v>
      </c>
      <c r="H1201" s="1" t="s">
        <v>17</v>
      </c>
      <c r="I1201" s="1" t="s">
        <v>41</v>
      </c>
      <c r="J1201">
        <v>30</v>
      </c>
      <c r="K1201">
        <v>34</v>
      </c>
      <c r="L1201" s="1" t="s">
        <v>21</v>
      </c>
    </row>
    <row r="1202" spans="1:12" x14ac:dyDescent="0.3">
      <c r="A1202" s="1" t="s">
        <v>384</v>
      </c>
      <c r="B1202" s="2">
        <v>45974</v>
      </c>
      <c r="C1202" s="2">
        <v>46019</v>
      </c>
      <c r="D1202" s="1" t="s">
        <v>23</v>
      </c>
      <c r="E1202" s="1" t="s">
        <v>24</v>
      </c>
      <c r="F1202" s="1" t="s">
        <v>15</v>
      </c>
      <c r="G1202" s="1" t="s">
        <v>16</v>
      </c>
      <c r="H1202" s="1" t="s">
        <v>43</v>
      </c>
      <c r="I1202" s="1" t="s">
        <v>18</v>
      </c>
      <c r="J1202">
        <v>30</v>
      </c>
      <c r="K1202">
        <v>45</v>
      </c>
      <c r="L1202" s="1" t="s">
        <v>44</v>
      </c>
    </row>
    <row r="1203" spans="1:12" x14ac:dyDescent="0.3">
      <c r="A1203" s="1" t="s">
        <v>717</v>
      </c>
      <c r="B1203" s="2">
        <v>45974</v>
      </c>
      <c r="C1203" s="2">
        <v>45992</v>
      </c>
      <c r="D1203" s="1" t="s">
        <v>13</v>
      </c>
      <c r="E1203" s="1" t="s">
        <v>14</v>
      </c>
      <c r="F1203" s="1" t="s">
        <v>15</v>
      </c>
      <c r="G1203" s="1" t="s">
        <v>33</v>
      </c>
      <c r="H1203" s="1" t="s">
        <v>17</v>
      </c>
      <c r="I1203" s="1" t="s">
        <v>26</v>
      </c>
      <c r="J1203">
        <v>15</v>
      </c>
      <c r="K1203">
        <v>18</v>
      </c>
      <c r="L1203" s="1" t="s">
        <v>19</v>
      </c>
    </row>
    <row r="1204" spans="1:12" x14ac:dyDescent="0.3">
      <c r="A1204" s="1" t="s">
        <v>867</v>
      </c>
      <c r="B1204" s="2">
        <v>45974</v>
      </c>
      <c r="C1204" s="2">
        <v>46021</v>
      </c>
      <c r="D1204" s="1" t="s">
        <v>23</v>
      </c>
      <c r="E1204" s="1" t="s">
        <v>14</v>
      </c>
      <c r="F1204" s="1" t="s">
        <v>15</v>
      </c>
      <c r="G1204" s="1" t="s">
        <v>33</v>
      </c>
      <c r="H1204" s="1" t="s">
        <v>43</v>
      </c>
      <c r="I1204" s="1" t="s">
        <v>26</v>
      </c>
      <c r="J1204">
        <v>15</v>
      </c>
      <c r="K1204">
        <v>47</v>
      </c>
      <c r="L1204" s="1" t="s">
        <v>44</v>
      </c>
    </row>
    <row r="1205" spans="1:12" x14ac:dyDescent="0.3">
      <c r="A1205" s="1" t="s">
        <v>1253</v>
      </c>
      <c r="B1205" s="2">
        <v>45974</v>
      </c>
      <c r="C1205" s="2">
        <v>46026</v>
      </c>
      <c r="D1205" s="1" t="s">
        <v>13</v>
      </c>
      <c r="E1205" s="1" t="s">
        <v>24</v>
      </c>
      <c r="F1205" s="1" t="s">
        <v>38</v>
      </c>
      <c r="G1205" s="1" t="s">
        <v>16</v>
      </c>
      <c r="H1205" s="1" t="s">
        <v>17</v>
      </c>
      <c r="I1205" s="1" t="s">
        <v>18</v>
      </c>
      <c r="J1205">
        <v>45</v>
      </c>
      <c r="K1205">
        <v>52</v>
      </c>
      <c r="L1205" s="1" t="s">
        <v>44</v>
      </c>
    </row>
    <row r="1206" spans="1:12" x14ac:dyDescent="0.3">
      <c r="A1206" s="1" t="s">
        <v>1332</v>
      </c>
      <c r="B1206" s="2">
        <v>45974</v>
      </c>
      <c r="C1206" s="2">
        <v>46026</v>
      </c>
      <c r="D1206" s="1" t="s">
        <v>28</v>
      </c>
      <c r="E1206" s="1" t="s">
        <v>14</v>
      </c>
      <c r="F1206" s="1" t="s">
        <v>15</v>
      </c>
      <c r="G1206" s="1" t="s">
        <v>33</v>
      </c>
      <c r="H1206" s="1" t="s">
        <v>29</v>
      </c>
      <c r="I1206" s="1" t="s">
        <v>18</v>
      </c>
      <c r="J1206">
        <v>15</v>
      </c>
      <c r="K1206">
        <v>52</v>
      </c>
      <c r="L1206" s="1" t="s">
        <v>44</v>
      </c>
    </row>
    <row r="1207" spans="1:12" x14ac:dyDescent="0.3">
      <c r="A1207" s="1" t="s">
        <v>1680</v>
      </c>
      <c r="B1207" s="2">
        <v>45974</v>
      </c>
      <c r="C1207" s="2">
        <v>46005</v>
      </c>
      <c r="D1207" s="1" t="s">
        <v>28</v>
      </c>
      <c r="E1207" s="1" t="s">
        <v>14</v>
      </c>
      <c r="F1207" s="1" t="s">
        <v>38</v>
      </c>
      <c r="G1207" s="1" t="s">
        <v>16</v>
      </c>
      <c r="H1207" s="1" t="s">
        <v>54</v>
      </c>
      <c r="I1207" s="1" t="s">
        <v>26</v>
      </c>
      <c r="J1207">
        <v>15</v>
      </c>
      <c r="K1207">
        <v>31</v>
      </c>
      <c r="L1207" s="1" t="s">
        <v>21</v>
      </c>
    </row>
    <row r="1208" spans="1:12" x14ac:dyDescent="0.3">
      <c r="A1208" s="1" t="s">
        <v>2024</v>
      </c>
      <c r="B1208" s="2">
        <v>45974</v>
      </c>
      <c r="C1208" s="2">
        <v>46015</v>
      </c>
      <c r="D1208" s="1" t="s">
        <v>23</v>
      </c>
      <c r="E1208" s="1" t="s">
        <v>14</v>
      </c>
      <c r="F1208" s="1" t="s">
        <v>38</v>
      </c>
      <c r="G1208" s="1" t="s">
        <v>16</v>
      </c>
      <c r="H1208" s="1" t="s">
        <v>43</v>
      </c>
      <c r="I1208" s="1" t="s">
        <v>26</v>
      </c>
      <c r="J1208">
        <v>15</v>
      </c>
      <c r="K1208">
        <v>41</v>
      </c>
      <c r="L1208" s="1" t="s">
        <v>21</v>
      </c>
    </row>
    <row r="1209" spans="1:12" x14ac:dyDescent="0.3">
      <c r="A1209" s="1" t="s">
        <v>2959</v>
      </c>
      <c r="B1209" s="2">
        <v>45974</v>
      </c>
      <c r="C1209" s="2">
        <v>46013</v>
      </c>
      <c r="D1209" s="1" t="s">
        <v>32</v>
      </c>
      <c r="E1209" s="1" t="s">
        <v>14</v>
      </c>
      <c r="F1209" s="1" t="s">
        <v>38</v>
      </c>
      <c r="G1209" s="1" t="s">
        <v>16</v>
      </c>
      <c r="H1209" s="1" t="s">
        <v>34</v>
      </c>
      <c r="I1209" s="1" t="s">
        <v>26</v>
      </c>
      <c r="J1209">
        <v>15</v>
      </c>
      <c r="K1209">
        <v>39</v>
      </c>
      <c r="L1209" s="1" t="s">
        <v>21</v>
      </c>
    </row>
    <row r="1210" spans="1:12" x14ac:dyDescent="0.3">
      <c r="A1210" s="1" t="s">
        <v>3163</v>
      </c>
      <c r="B1210" s="2">
        <v>45974</v>
      </c>
      <c r="C1210" s="2">
        <v>46038</v>
      </c>
      <c r="D1210" s="1" t="s">
        <v>13</v>
      </c>
      <c r="E1210" s="1" t="s">
        <v>24</v>
      </c>
      <c r="F1210" s="1" t="s">
        <v>15</v>
      </c>
      <c r="G1210" s="1" t="s">
        <v>16</v>
      </c>
      <c r="H1210" s="1" t="s">
        <v>17</v>
      </c>
      <c r="I1210" s="1" t="s">
        <v>18</v>
      </c>
      <c r="J1210">
        <v>30</v>
      </c>
      <c r="K1210">
        <v>64</v>
      </c>
      <c r="L1210" s="1" t="s">
        <v>80</v>
      </c>
    </row>
    <row r="1211" spans="1:12" x14ac:dyDescent="0.3">
      <c r="A1211" s="1" t="s">
        <v>2550</v>
      </c>
      <c r="B1211" s="2">
        <v>45973</v>
      </c>
      <c r="C1211" s="2">
        <v>46006</v>
      </c>
      <c r="D1211" s="1" t="s">
        <v>37</v>
      </c>
      <c r="E1211" s="1" t="s">
        <v>14</v>
      </c>
      <c r="F1211" s="1" t="s">
        <v>15</v>
      </c>
      <c r="G1211" s="1" t="s">
        <v>16</v>
      </c>
      <c r="H1211" s="1" t="s">
        <v>49</v>
      </c>
      <c r="I1211" s="1" t="s">
        <v>41</v>
      </c>
      <c r="J1211">
        <v>15</v>
      </c>
      <c r="K1211">
        <v>33</v>
      </c>
      <c r="L1211" s="1" t="s">
        <v>21</v>
      </c>
    </row>
    <row r="1212" spans="1:12" x14ac:dyDescent="0.3">
      <c r="A1212" s="1" t="s">
        <v>1242</v>
      </c>
      <c r="B1212" s="2">
        <v>45973</v>
      </c>
      <c r="C1212" s="2">
        <v>46023</v>
      </c>
      <c r="D1212" s="1" t="s">
        <v>13</v>
      </c>
      <c r="E1212" s="1" t="s">
        <v>24</v>
      </c>
      <c r="F1212" s="1" t="s">
        <v>15</v>
      </c>
      <c r="G1212" s="1" t="s">
        <v>16</v>
      </c>
      <c r="H1212" s="1" t="s">
        <v>17</v>
      </c>
      <c r="I1212" s="1" t="s">
        <v>18</v>
      </c>
      <c r="J1212">
        <v>30</v>
      </c>
      <c r="K1212">
        <v>50</v>
      </c>
      <c r="L1212" s="1" t="s">
        <v>44</v>
      </c>
    </row>
    <row r="1213" spans="1:12" x14ac:dyDescent="0.3">
      <c r="A1213" s="1" t="s">
        <v>1439</v>
      </c>
      <c r="B1213" s="2">
        <v>45973</v>
      </c>
      <c r="C1213" s="2">
        <v>46017</v>
      </c>
      <c r="D1213" s="1" t="s">
        <v>23</v>
      </c>
      <c r="E1213" s="1" t="s">
        <v>24</v>
      </c>
      <c r="F1213" s="1" t="s">
        <v>15</v>
      </c>
      <c r="G1213" s="1" t="s">
        <v>53</v>
      </c>
      <c r="H1213" s="1" t="s">
        <v>25</v>
      </c>
      <c r="I1213" s="1" t="s">
        <v>18</v>
      </c>
      <c r="J1213">
        <v>30</v>
      </c>
      <c r="K1213">
        <v>44</v>
      </c>
      <c r="L1213" s="1" t="s">
        <v>44</v>
      </c>
    </row>
    <row r="1214" spans="1:12" x14ac:dyDescent="0.3">
      <c r="A1214" s="1" t="s">
        <v>1582</v>
      </c>
      <c r="B1214" s="2">
        <v>45973</v>
      </c>
      <c r="C1214" s="2">
        <v>46018</v>
      </c>
      <c r="D1214" s="1" t="s">
        <v>23</v>
      </c>
      <c r="E1214" s="1" t="s">
        <v>24</v>
      </c>
      <c r="F1214" s="1" t="s">
        <v>38</v>
      </c>
      <c r="G1214" s="1" t="s">
        <v>16</v>
      </c>
      <c r="H1214" s="1" t="s">
        <v>25</v>
      </c>
      <c r="I1214" s="1" t="s">
        <v>41</v>
      </c>
      <c r="J1214">
        <v>30</v>
      </c>
      <c r="K1214">
        <v>45</v>
      </c>
      <c r="L1214" s="1" t="s">
        <v>44</v>
      </c>
    </row>
    <row r="1215" spans="1:12" x14ac:dyDescent="0.3">
      <c r="A1215" s="1" t="s">
        <v>1596</v>
      </c>
      <c r="B1215" s="2">
        <v>45973</v>
      </c>
      <c r="C1215" s="2">
        <v>46022</v>
      </c>
      <c r="D1215" s="1" t="s">
        <v>28</v>
      </c>
      <c r="E1215" s="1" t="s">
        <v>14</v>
      </c>
      <c r="F1215" s="1" t="s">
        <v>15</v>
      </c>
      <c r="G1215" s="1" t="s">
        <v>33</v>
      </c>
      <c r="H1215" s="1" t="s">
        <v>29</v>
      </c>
      <c r="I1215" s="1" t="s">
        <v>26</v>
      </c>
      <c r="J1215">
        <v>15</v>
      </c>
      <c r="K1215">
        <v>49</v>
      </c>
      <c r="L1215" s="1" t="s">
        <v>44</v>
      </c>
    </row>
    <row r="1216" spans="1:12" x14ac:dyDescent="0.3">
      <c r="A1216" s="1" t="s">
        <v>1703</v>
      </c>
      <c r="B1216" s="2">
        <v>45973</v>
      </c>
      <c r="C1216" s="2">
        <v>46033</v>
      </c>
      <c r="D1216" s="1" t="s">
        <v>28</v>
      </c>
      <c r="E1216" s="1" t="s">
        <v>14</v>
      </c>
      <c r="F1216" s="1" t="s">
        <v>15</v>
      </c>
      <c r="G1216" s="1" t="s">
        <v>16</v>
      </c>
      <c r="H1216" s="1" t="s">
        <v>29</v>
      </c>
      <c r="I1216" s="1" t="s">
        <v>18</v>
      </c>
      <c r="J1216">
        <v>15</v>
      </c>
      <c r="K1216">
        <v>60</v>
      </c>
      <c r="L1216" s="1" t="s">
        <v>80</v>
      </c>
    </row>
    <row r="1217" spans="1:12" x14ac:dyDescent="0.3">
      <c r="A1217" s="1" t="s">
        <v>2268</v>
      </c>
      <c r="B1217" s="2">
        <v>45973</v>
      </c>
      <c r="C1217" s="2">
        <v>45986</v>
      </c>
      <c r="D1217" s="1" t="s">
        <v>23</v>
      </c>
      <c r="E1217" s="1" t="s">
        <v>14</v>
      </c>
      <c r="F1217" s="1" t="s">
        <v>15</v>
      </c>
      <c r="G1217" s="1" t="s">
        <v>16</v>
      </c>
      <c r="H1217" s="1" t="s">
        <v>25</v>
      </c>
      <c r="I1217" s="1" t="s">
        <v>41</v>
      </c>
      <c r="J1217">
        <v>30</v>
      </c>
      <c r="K1217">
        <v>13</v>
      </c>
      <c r="L1217" s="1" t="s">
        <v>30</v>
      </c>
    </row>
    <row r="1218" spans="1:12" x14ac:dyDescent="0.3">
      <c r="A1218" s="1" t="s">
        <v>2459</v>
      </c>
      <c r="B1218" s="2">
        <v>45973</v>
      </c>
      <c r="C1218" s="2">
        <v>46013</v>
      </c>
      <c r="D1218" s="1" t="s">
        <v>32</v>
      </c>
      <c r="E1218" s="1" t="s">
        <v>14</v>
      </c>
      <c r="F1218" s="1" t="s">
        <v>15</v>
      </c>
      <c r="G1218" s="1" t="s">
        <v>16</v>
      </c>
      <c r="H1218" s="1" t="s">
        <v>71</v>
      </c>
      <c r="I1218" s="1" t="s">
        <v>26</v>
      </c>
      <c r="J1218">
        <v>15</v>
      </c>
      <c r="K1218">
        <v>40</v>
      </c>
      <c r="L1218" s="1" t="s">
        <v>21</v>
      </c>
    </row>
    <row r="1219" spans="1:12" x14ac:dyDescent="0.3">
      <c r="A1219" s="1" t="s">
        <v>2768</v>
      </c>
      <c r="B1219" s="2">
        <v>45973</v>
      </c>
      <c r="C1219" s="2">
        <v>46038</v>
      </c>
      <c r="D1219" s="1" t="s">
        <v>28</v>
      </c>
      <c r="E1219" s="1" t="s">
        <v>24</v>
      </c>
      <c r="F1219" s="1" t="s">
        <v>15</v>
      </c>
      <c r="G1219" s="1" t="s">
        <v>16</v>
      </c>
      <c r="H1219" s="1" t="s">
        <v>29</v>
      </c>
      <c r="I1219" s="1" t="s">
        <v>26</v>
      </c>
      <c r="J1219">
        <v>30</v>
      </c>
      <c r="K1219">
        <v>65</v>
      </c>
      <c r="L1219" s="1" t="s">
        <v>80</v>
      </c>
    </row>
    <row r="1220" spans="1:12" x14ac:dyDescent="0.3">
      <c r="A1220" s="1" t="s">
        <v>2867</v>
      </c>
      <c r="B1220" s="2">
        <v>45973</v>
      </c>
      <c r="C1220" s="2">
        <v>46021</v>
      </c>
      <c r="D1220" s="1" t="s">
        <v>28</v>
      </c>
      <c r="E1220" s="1" t="s">
        <v>24</v>
      </c>
      <c r="F1220" s="1" t="s">
        <v>38</v>
      </c>
      <c r="G1220" s="1" t="s">
        <v>16</v>
      </c>
      <c r="H1220" s="1" t="s">
        <v>29</v>
      </c>
      <c r="I1220" s="1" t="s">
        <v>41</v>
      </c>
      <c r="J1220">
        <v>30</v>
      </c>
      <c r="K1220">
        <v>48</v>
      </c>
      <c r="L1220" s="1" t="s">
        <v>44</v>
      </c>
    </row>
    <row r="1221" spans="1:12" x14ac:dyDescent="0.3">
      <c r="A1221" s="1" t="s">
        <v>643</v>
      </c>
      <c r="B1221" s="2">
        <v>45972</v>
      </c>
      <c r="C1221" s="2">
        <v>45997</v>
      </c>
      <c r="D1221" s="1" t="s">
        <v>28</v>
      </c>
      <c r="E1221" s="1" t="s">
        <v>14</v>
      </c>
      <c r="F1221" s="1" t="s">
        <v>15</v>
      </c>
      <c r="G1221" s="1" t="s">
        <v>16</v>
      </c>
      <c r="H1221" s="1" t="s">
        <v>54</v>
      </c>
      <c r="I1221" s="1" t="s">
        <v>26</v>
      </c>
      <c r="J1221">
        <v>30</v>
      </c>
      <c r="K1221">
        <v>25</v>
      </c>
      <c r="L1221" s="1" t="s">
        <v>19</v>
      </c>
    </row>
    <row r="1222" spans="1:12" x14ac:dyDescent="0.3">
      <c r="A1222" s="1" t="s">
        <v>942</v>
      </c>
      <c r="B1222" s="2">
        <v>45972</v>
      </c>
      <c r="C1222" s="2">
        <v>45974</v>
      </c>
      <c r="D1222" s="1" t="s">
        <v>28</v>
      </c>
      <c r="E1222" s="1" t="s">
        <v>14</v>
      </c>
      <c r="F1222" s="1" t="s">
        <v>38</v>
      </c>
      <c r="G1222" s="1" t="s">
        <v>16</v>
      </c>
      <c r="H1222" s="1" t="s">
        <v>54</v>
      </c>
      <c r="I1222" s="1" t="s">
        <v>41</v>
      </c>
      <c r="J1222">
        <v>30</v>
      </c>
      <c r="K1222">
        <v>2</v>
      </c>
      <c r="L1222" s="1" t="s">
        <v>30</v>
      </c>
    </row>
    <row r="1223" spans="1:12" x14ac:dyDescent="0.3">
      <c r="A1223" s="1" t="s">
        <v>1029</v>
      </c>
      <c r="B1223" s="2">
        <v>45972</v>
      </c>
      <c r="C1223" s="2">
        <v>46001</v>
      </c>
      <c r="D1223" s="1" t="s">
        <v>32</v>
      </c>
      <c r="E1223" s="1" t="s">
        <v>24</v>
      </c>
      <c r="F1223" s="1" t="s">
        <v>15</v>
      </c>
      <c r="G1223" s="1" t="s">
        <v>33</v>
      </c>
      <c r="H1223" s="1" t="s">
        <v>34</v>
      </c>
      <c r="I1223" s="1" t="s">
        <v>18</v>
      </c>
      <c r="J1223">
        <v>30</v>
      </c>
      <c r="K1223">
        <v>29</v>
      </c>
      <c r="L1223" s="1" t="s">
        <v>21</v>
      </c>
    </row>
    <row r="1224" spans="1:12" x14ac:dyDescent="0.3">
      <c r="A1224" s="1" t="s">
        <v>1927</v>
      </c>
      <c r="B1224" s="2">
        <v>45972</v>
      </c>
      <c r="C1224" s="2">
        <v>46026</v>
      </c>
      <c r="D1224" s="1" t="s">
        <v>37</v>
      </c>
      <c r="E1224" s="1" t="s">
        <v>24</v>
      </c>
      <c r="F1224" s="1" t="s">
        <v>38</v>
      </c>
      <c r="G1224" s="1" t="s">
        <v>53</v>
      </c>
      <c r="H1224" s="1" t="s">
        <v>39</v>
      </c>
      <c r="I1224" s="1" t="s">
        <v>26</v>
      </c>
      <c r="J1224">
        <v>45</v>
      </c>
      <c r="K1224">
        <v>54</v>
      </c>
      <c r="L1224" s="1" t="s">
        <v>44</v>
      </c>
    </row>
    <row r="1225" spans="1:12" x14ac:dyDescent="0.3">
      <c r="A1225" s="1" t="s">
        <v>2435</v>
      </c>
      <c r="B1225" s="2">
        <v>45972</v>
      </c>
      <c r="C1225" s="2">
        <v>46005</v>
      </c>
      <c r="D1225" s="1" t="s">
        <v>37</v>
      </c>
      <c r="E1225" s="1" t="s">
        <v>24</v>
      </c>
      <c r="F1225" s="1" t="s">
        <v>38</v>
      </c>
      <c r="G1225" s="1" t="s">
        <v>53</v>
      </c>
      <c r="H1225" s="1" t="s">
        <v>39</v>
      </c>
      <c r="I1225" s="1" t="s">
        <v>26</v>
      </c>
      <c r="J1225">
        <v>30</v>
      </c>
      <c r="K1225">
        <v>33</v>
      </c>
      <c r="L1225" s="1" t="s">
        <v>21</v>
      </c>
    </row>
    <row r="1226" spans="1:12" x14ac:dyDescent="0.3">
      <c r="A1226" s="1" t="s">
        <v>2671</v>
      </c>
      <c r="B1226" s="2">
        <v>45972</v>
      </c>
      <c r="C1226" s="2">
        <v>45993</v>
      </c>
      <c r="D1226" s="1" t="s">
        <v>37</v>
      </c>
      <c r="E1226" s="1" t="s">
        <v>14</v>
      </c>
      <c r="F1226" s="1" t="s">
        <v>15</v>
      </c>
      <c r="G1226" s="1" t="s">
        <v>33</v>
      </c>
      <c r="H1226" s="1" t="s">
        <v>39</v>
      </c>
      <c r="I1226" s="1" t="s">
        <v>26</v>
      </c>
      <c r="J1226">
        <v>30</v>
      </c>
      <c r="K1226">
        <v>21</v>
      </c>
      <c r="L1226" s="1" t="s">
        <v>19</v>
      </c>
    </row>
    <row r="1227" spans="1:12" x14ac:dyDescent="0.3">
      <c r="A1227" s="1" t="s">
        <v>744</v>
      </c>
      <c r="B1227" s="2">
        <v>45972</v>
      </c>
      <c r="C1227" s="2">
        <v>45992</v>
      </c>
      <c r="D1227" s="1" t="s">
        <v>37</v>
      </c>
      <c r="E1227" s="1" t="s">
        <v>24</v>
      </c>
      <c r="F1227" s="1" t="s">
        <v>38</v>
      </c>
      <c r="G1227" s="1" t="s">
        <v>16</v>
      </c>
      <c r="H1227" s="1" t="s">
        <v>49</v>
      </c>
      <c r="I1227" s="1" t="s">
        <v>26</v>
      </c>
      <c r="J1227">
        <v>45</v>
      </c>
      <c r="K1227">
        <v>20</v>
      </c>
      <c r="L1227" s="1" t="s">
        <v>19</v>
      </c>
    </row>
    <row r="1228" spans="1:12" x14ac:dyDescent="0.3">
      <c r="A1228" s="1" t="s">
        <v>1888</v>
      </c>
      <c r="B1228" s="2">
        <v>45972</v>
      </c>
      <c r="C1228" s="2">
        <v>45984</v>
      </c>
      <c r="D1228" s="1" t="s">
        <v>23</v>
      </c>
      <c r="E1228" s="1" t="s">
        <v>24</v>
      </c>
      <c r="F1228" s="1" t="s">
        <v>38</v>
      </c>
      <c r="G1228" s="1" t="s">
        <v>16</v>
      </c>
      <c r="H1228" s="1" t="s">
        <v>43</v>
      </c>
      <c r="I1228" s="1" t="s">
        <v>26</v>
      </c>
      <c r="J1228">
        <v>30</v>
      </c>
      <c r="K1228">
        <v>12</v>
      </c>
      <c r="L1228" s="1" t="s">
        <v>30</v>
      </c>
    </row>
    <row r="1229" spans="1:12" x14ac:dyDescent="0.3">
      <c r="A1229" s="1" t="s">
        <v>2946</v>
      </c>
      <c r="B1229" s="2">
        <v>45972</v>
      </c>
      <c r="C1229" s="2">
        <v>45995</v>
      </c>
      <c r="D1229" s="1" t="s">
        <v>13</v>
      </c>
      <c r="E1229" s="1" t="s">
        <v>24</v>
      </c>
      <c r="F1229" s="1" t="s">
        <v>38</v>
      </c>
      <c r="G1229" s="1" t="s">
        <v>16</v>
      </c>
      <c r="H1229" s="1" t="s">
        <v>17</v>
      </c>
      <c r="I1229" s="1" t="s">
        <v>18</v>
      </c>
      <c r="J1229">
        <v>30</v>
      </c>
      <c r="K1229">
        <v>23</v>
      </c>
      <c r="L1229" s="1" t="s">
        <v>19</v>
      </c>
    </row>
    <row r="1230" spans="1:12" x14ac:dyDescent="0.3">
      <c r="A1230" s="1" t="s">
        <v>2969</v>
      </c>
      <c r="B1230" s="2">
        <v>45972</v>
      </c>
      <c r="C1230" s="2">
        <v>46037</v>
      </c>
      <c r="D1230" s="1" t="s">
        <v>13</v>
      </c>
      <c r="E1230" s="1" t="s">
        <v>14</v>
      </c>
      <c r="F1230" s="1" t="s">
        <v>38</v>
      </c>
      <c r="G1230" s="1" t="s">
        <v>16</v>
      </c>
      <c r="H1230" s="1" t="s">
        <v>17</v>
      </c>
      <c r="I1230" s="1" t="s">
        <v>26</v>
      </c>
      <c r="J1230">
        <v>15</v>
      </c>
      <c r="K1230">
        <v>65</v>
      </c>
      <c r="L1230" s="1" t="s">
        <v>80</v>
      </c>
    </row>
    <row r="1231" spans="1:12" x14ac:dyDescent="0.3">
      <c r="A1231" s="1" t="s">
        <v>364</v>
      </c>
      <c r="B1231" s="2">
        <v>45971</v>
      </c>
      <c r="C1231" s="2">
        <v>45997</v>
      </c>
      <c r="D1231" s="1" t="s">
        <v>13</v>
      </c>
      <c r="E1231" s="1" t="s">
        <v>14</v>
      </c>
      <c r="F1231" s="1" t="s">
        <v>38</v>
      </c>
      <c r="G1231" s="1" t="s">
        <v>16</v>
      </c>
      <c r="H1231" s="1" t="s">
        <v>17</v>
      </c>
      <c r="I1231" s="1" t="s">
        <v>26</v>
      </c>
      <c r="J1231">
        <v>15</v>
      </c>
      <c r="K1231">
        <v>26</v>
      </c>
      <c r="L1231" s="1" t="s">
        <v>19</v>
      </c>
    </row>
    <row r="1232" spans="1:12" x14ac:dyDescent="0.3">
      <c r="A1232" s="1" t="s">
        <v>714</v>
      </c>
      <c r="B1232" s="2">
        <v>45971</v>
      </c>
      <c r="C1232" s="2">
        <v>45986</v>
      </c>
      <c r="D1232" s="1" t="s">
        <v>28</v>
      </c>
      <c r="E1232" s="1" t="s">
        <v>14</v>
      </c>
      <c r="F1232" s="1" t="s">
        <v>15</v>
      </c>
      <c r="G1232" s="1" t="s">
        <v>53</v>
      </c>
      <c r="H1232" s="1" t="s">
        <v>54</v>
      </c>
      <c r="I1232" s="1" t="s">
        <v>41</v>
      </c>
      <c r="J1232">
        <v>15</v>
      </c>
      <c r="K1232">
        <v>15</v>
      </c>
      <c r="L1232" s="1" t="s">
        <v>19</v>
      </c>
    </row>
    <row r="1233" spans="1:12" x14ac:dyDescent="0.3">
      <c r="A1233" s="1" t="s">
        <v>809</v>
      </c>
      <c r="B1233" s="2">
        <v>45971</v>
      </c>
      <c r="C1233" s="2">
        <v>45973</v>
      </c>
      <c r="D1233" s="1" t="s">
        <v>32</v>
      </c>
      <c r="E1233" s="1" t="s">
        <v>14</v>
      </c>
      <c r="F1233" s="1" t="s">
        <v>15</v>
      </c>
      <c r="G1233" s="1" t="s">
        <v>53</v>
      </c>
      <c r="H1233" s="1" t="s">
        <v>71</v>
      </c>
      <c r="I1233" s="1" t="s">
        <v>26</v>
      </c>
      <c r="J1233">
        <v>15</v>
      </c>
      <c r="K1233">
        <v>2</v>
      </c>
      <c r="L1233" s="1" t="s">
        <v>30</v>
      </c>
    </row>
    <row r="1234" spans="1:12" x14ac:dyDescent="0.3">
      <c r="A1234" s="1" t="s">
        <v>995</v>
      </c>
      <c r="B1234" s="2">
        <v>45971</v>
      </c>
      <c r="C1234" s="2">
        <v>46009</v>
      </c>
      <c r="D1234" s="1" t="s">
        <v>32</v>
      </c>
      <c r="E1234" s="1" t="s">
        <v>24</v>
      </c>
      <c r="F1234" s="1" t="s">
        <v>15</v>
      </c>
      <c r="G1234" s="1" t="s">
        <v>33</v>
      </c>
      <c r="H1234" s="1" t="s">
        <v>71</v>
      </c>
      <c r="I1234" s="1" t="s">
        <v>26</v>
      </c>
      <c r="J1234">
        <v>45</v>
      </c>
      <c r="K1234">
        <v>38</v>
      </c>
      <c r="L1234" s="1" t="s">
        <v>21</v>
      </c>
    </row>
    <row r="1235" spans="1:12" x14ac:dyDescent="0.3">
      <c r="A1235" s="1" t="s">
        <v>1177</v>
      </c>
      <c r="B1235" s="2">
        <v>45971</v>
      </c>
      <c r="C1235" s="2">
        <v>46031</v>
      </c>
      <c r="D1235" s="1" t="s">
        <v>23</v>
      </c>
      <c r="E1235" s="1" t="s">
        <v>24</v>
      </c>
      <c r="F1235" s="1" t="s">
        <v>38</v>
      </c>
      <c r="G1235" s="1" t="s">
        <v>16</v>
      </c>
      <c r="H1235" s="1" t="s">
        <v>43</v>
      </c>
      <c r="I1235" s="1" t="s">
        <v>26</v>
      </c>
      <c r="J1235">
        <v>45</v>
      </c>
      <c r="K1235">
        <v>60</v>
      </c>
      <c r="L1235" s="1" t="s">
        <v>80</v>
      </c>
    </row>
    <row r="1236" spans="1:12" x14ac:dyDescent="0.3">
      <c r="A1236" s="1" t="s">
        <v>3166</v>
      </c>
      <c r="B1236" s="2">
        <v>45971</v>
      </c>
      <c r="C1236" s="2">
        <v>45994</v>
      </c>
      <c r="D1236" s="1" t="s">
        <v>37</v>
      </c>
      <c r="E1236" s="1" t="s">
        <v>24</v>
      </c>
      <c r="F1236" s="1" t="s">
        <v>15</v>
      </c>
      <c r="G1236" s="1" t="s">
        <v>16</v>
      </c>
      <c r="H1236" s="1" t="s">
        <v>49</v>
      </c>
      <c r="I1236" s="1" t="s">
        <v>18</v>
      </c>
      <c r="J1236">
        <v>30</v>
      </c>
      <c r="K1236">
        <v>23</v>
      </c>
      <c r="L1236" s="1" t="s">
        <v>19</v>
      </c>
    </row>
    <row r="1237" spans="1:12" x14ac:dyDescent="0.3">
      <c r="A1237" s="1" t="s">
        <v>3219</v>
      </c>
      <c r="B1237" s="2">
        <v>45971</v>
      </c>
      <c r="C1237" s="2">
        <v>45991</v>
      </c>
      <c r="D1237" s="1" t="s">
        <v>37</v>
      </c>
      <c r="E1237" s="1" t="s">
        <v>14</v>
      </c>
      <c r="F1237" s="1" t="s">
        <v>15</v>
      </c>
      <c r="G1237" s="1" t="s">
        <v>16</v>
      </c>
      <c r="H1237" s="1" t="s">
        <v>39</v>
      </c>
      <c r="I1237" s="1" t="s">
        <v>26</v>
      </c>
      <c r="J1237">
        <v>15</v>
      </c>
      <c r="K1237">
        <v>20</v>
      </c>
      <c r="L1237" s="1" t="s">
        <v>19</v>
      </c>
    </row>
    <row r="1238" spans="1:12" x14ac:dyDescent="0.3">
      <c r="A1238" s="1" t="s">
        <v>1871</v>
      </c>
      <c r="B1238" s="2">
        <v>45971</v>
      </c>
      <c r="C1238" s="2">
        <v>45978</v>
      </c>
      <c r="D1238" s="1" t="s">
        <v>23</v>
      </c>
      <c r="E1238" s="1" t="s">
        <v>14</v>
      </c>
      <c r="F1238" s="1" t="s">
        <v>38</v>
      </c>
      <c r="G1238" s="1" t="s">
        <v>16</v>
      </c>
      <c r="H1238" s="1" t="s">
        <v>43</v>
      </c>
      <c r="I1238" s="1" t="s">
        <v>41</v>
      </c>
      <c r="J1238">
        <v>30</v>
      </c>
      <c r="K1238">
        <v>7</v>
      </c>
      <c r="L1238" s="1" t="s">
        <v>30</v>
      </c>
    </row>
    <row r="1239" spans="1:12" x14ac:dyDescent="0.3">
      <c r="A1239" s="1" t="s">
        <v>2069</v>
      </c>
      <c r="B1239" s="2">
        <v>45971</v>
      </c>
      <c r="C1239" s="2">
        <v>45987</v>
      </c>
      <c r="D1239" s="1" t="s">
        <v>28</v>
      </c>
      <c r="E1239" s="1" t="s">
        <v>14</v>
      </c>
      <c r="F1239" s="1" t="s">
        <v>15</v>
      </c>
      <c r="G1239" s="1" t="s">
        <v>16</v>
      </c>
      <c r="H1239" s="1" t="s">
        <v>29</v>
      </c>
      <c r="I1239" s="1" t="s">
        <v>18</v>
      </c>
      <c r="J1239">
        <v>15</v>
      </c>
      <c r="K1239">
        <v>16</v>
      </c>
      <c r="L1239" s="1" t="s">
        <v>19</v>
      </c>
    </row>
    <row r="1240" spans="1:12" x14ac:dyDescent="0.3">
      <c r="A1240" s="1" t="s">
        <v>938</v>
      </c>
      <c r="B1240" s="2">
        <v>45970</v>
      </c>
      <c r="C1240" s="2">
        <v>46006</v>
      </c>
      <c r="D1240" s="1" t="s">
        <v>28</v>
      </c>
      <c r="E1240" s="1" t="s">
        <v>24</v>
      </c>
      <c r="F1240" s="1" t="s">
        <v>15</v>
      </c>
      <c r="G1240" s="1" t="s">
        <v>16</v>
      </c>
      <c r="H1240" s="1" t="s">
        <v>29</v>
      </c>
      <c r="I1240" s="1" t="s">
        <v>26</v>
      </c>
      <c r="J1240">
        <v>30</v>
      </c>
      <c r="K1240">
        <v>36</v>
      </c>
      <c r="L1240" s="1" t="s">
        <v>21</v>
      </c>
    </row>
    <row r="1241" spans="1:12" x14ac:dyDescent="0.3">
      <c r="A1241" s="1" t="s">
        <v>998</v>
      </c>
      <c r="B1241" s="2">
        <v>45970</v>
      </c>
      <c r="C1241" s="2">
        <v>45994</v>
      </c>
      <c r="D1241" s="1" t="s">
        <v>32</v>
      </c>
      <c r="E1241" s="1" t="s">
        <v>14</v>
      </c>
      <c r="F1241" s="1" t="s">
        <v>15</v>
      </c>
      <c r="G1241" s="1" t="s">
        <v>33</v>
      </c>
      <c r="H1241" s="1" t="s">
        <v>34</v>
      </c>
      <c r="I1241" s="1" t="s">
        <v>18</v>
      </c>
      <c r="J1241">
        <v>30</v>
      </c>
      <c r="K1241">
        <v>24</v>
      </c>
      <c r="L1241" s="1" t="s">
        <v>19</v>
      </c>
    </row>
    <row r="1242" spans="1:12" x14ac:dyDescent="0.3">
      <c r="A1242" s="1" t="s">
        <v>2166</v>
      </c>
      <c r="B1242" s="2">
        <v>45970</v>
      </c>
      <c r="C1242" s="2">
        <v>45996</v>
      </c>
      <c r="D1242" s="1" t="s">
        <v>37</v>
      </c>
      <c r="E1242" s="1" t="s">
        <v>14</v>
      </c>
      <c r="F1242" s="1" t="s">
        <v>15</v>
      </c>
      <c r="G1242" s="1" t="s">
        <v>16</v>
      </c>
      <c r="H1242" s="1" t="s">
        <v>39</v>
      </c>
      <c r="I1242" s="1" t="s">
        <v>18</v>
      </c>
      <c r="J1242">
        <v>15</v>
      </c>
      <c r="K1242">
        <v>26</v>
      </c>
      <c r="L1242" s="1" t="s">
        <v>19</v>
      </c>
    </row>
    <row r="1243" spans="1:12" x14ac:dyDescent="0.3">
      <c r="A1243" s="1" t="s">
        <v>2536</v>
      </c>
      <c r="B1243" s="2">
        <v>45970</v>
      </c>
      <c r="C1243" s="2">
        <v>45995</v>
      </c>
      <c r="D1243" s="1" t="s">
        <v>37</v>
      </c>
      <c r="E1243" s="1" t="s">
        <v>14</v>
      </c>
      <c r="F1243" s="1" t="s">
        <v>15</v>
      </c>
      <c r="G1243" s="1" t="s">
        <v>53</v>
      </c>
      <c r="H1243" s="1" t="s">
        <v>39</v>
      </c>
      <c r="I1243" s="1" t="s">
        <v>26</v>
      </c>
      <c r="J1243">
        <v>15</v>
      </c>
      <c r="K1243">
        <v>25</v>
      </c>
      <c r="L1243" s="1" t="s">
        <v>19</v>
      </c>
    </row>
    <row r="1244" spans="1:12" x14ac:dyDescent="0.3">
      <c r="A1244" s="1" t="s">
        <v>2186</v>
      </c>
      <c r="B1244" s="2">
        <v>45970</v>
      </c>
      <c r="C1244" s="2">
        <v>45990</v>
      </c>
      <c r="D1244" s="1" t="s">
        <v>37</v>
      </c>
      <c r="E1244" s="1" t="s">
        <v>14</v>
      </c>
      <c r="F1244" s="1" t="s">
        <v>15</v>
      </c>
      <c r="G1244" s="1" t="s">
        <v>16</v>
      </c>
      <c r="H1244" s="1" t="s">
        <v>39</v>
      </c>
      <c r="I1244" s="1" t="s">
        <v>18</v>
      </c>
      <c r="J1244">
        <v>30</v>
      </c>
      <c r="K1244">
        <v>20</v>
      </c>
      <c r="L1244" s="1" t="s">
        <v>19</v>
      </c>
    </row>
    <row r="1245" spans="1:12" x14ac:dyDescent="0.3">
      <c r="A1245" s="1" t="s">
        <v>310</v>
      </c>
      <c r="B1245" s="2">
        <v>45970</v>
      </c>
      <c r="C1245" s="2">
        <v>45989</v>
      </c>
      <c r="D1245" s="1" t="s">
        <v>37</v>
      </c>
      <c r="E1245" s="1" t="s">
        <v>14</v>
      </c>
      <c r="F1245" s="1" t="s">
        <v>15</v>
      </c>
      <c r="G1245" s="1" t="s">
        <v>16</v>
      </c>
      <c r="H1245" s="1" t="s">
        <v>49</v>
      </c>
      <c r="I1245" s="1" t="s">
        <v>18</v>
      </c>
      <c r="J1245">
        <v>15</v>
      </c>
      <c r="K1245">
        <v>19</v>
      </c>
      <c r="L1245" s="1" t="s">
        <v>19</v>
      </c>
    </row>
    <row r="1246" spans="1:12" x14ac:dyDescent="0.3">
      <c r="A1246" s="1" t="s">
        <v>1347</v>
      </c>
      <c r="B1246" s="2">
        <v>45970</v>
      </c>
      <c r="C1246" s="2">
        <v>45985</v>
      </c>
      <c r="D1246" s="1" t="s">
        <v>37</v>
      </c>
      <c r="E1246" s="1" t="s">
        <v>14</v>
      </c>
      <c r="F1246" s="1" t="s">
        <v>15</v>
      </c>
      <c r="G1246" s="1" t="s">
        <v>16</v>
      </c>
      <c r="H1246" s="1" t="s">
        <v>39</v>
      </c>
      <c r="I1246" s="1" t="s">
        <v>26</v>
      </c>
      <c r="J1246">
        <v>15</v>
      </c>
      <c r="K1246">
        <v>15</v>
      </c>
      <c r="L1246" s="1" t="s">
        <v>19</v>
      </c>
    </row>
    <row r="1247" spans="1:12" x14ac:dyDescent="0.3">
      <c r="A1247" s="1" t="s">
        <v>1704</v>
      </c>
      <c r="B1247" s="2">
        <v>45970</v>
      </c>
      <c r="C1247" s="2">
        <v>46006</v>
      </c>
      <c r="D1247" s="1" t="s">
        <v>32</v>
      </c>
      <c r="E1247" s="1" t="s">
        <v>14</v>
      </c>
      <c r="F1247" s="1" t="s">
        <v>15</v>
      </c>
      <c r="G1247" s="1" t="s">
        <v>53</v>
      </c>
      <c r="H1247" s="1" t="s">
        <v>34</v>
      </c>
      <c r="I1247" s="1" t="s">
        <v>26</v>
      </c>
      <c r="J1247">
        <v>15</v>
      </c>
      <c r="K1247">
        <v>36</v>
      </c>
      <c r="L1247" s="1" t="s">
        <v>21</v>
      </c>
    </row>
    <row r="1248" spans="1:12" x14ac:dyDescent="0.3">
      <c r="A1248" s="1" t="s">
        <v>2906</v>
      </c>
      <c r="B1248" s="2">
        <v>45970</v>
      </c>
      <c r="C1248" s="2">
        <v>45992</v>
      </c>
      <c r="D1248" s="1" t="s">
        <v>28</v>
      </c>
      <c r="E1248" s="1" t="s">
        <v>14</v>
      </c>
      <c r="F1248" s="1" t="s">
        <v>15</v>
      </c>
      <c r="G1248" s="1" t="s">
        <v>16</v>
      </c>
      <c r="H1248" s="1" t="s">
        <v>54</v>
      </c>
      <c r="I1248" s="1" t="s">
        <v>41</v>
      </c>
      <c r="J1248">
        <v>15</v>
      </c>
      <c r="K1248">
        <v>22</v>
      </c>
      <c r="L1248" s="1" t="s">
        <v>19</v>
      </c>
    </row>
    <row r="1249" spans="1:12" x14ac:dyDescent="0.3">
      <c r="A1249" s="1" t="s">
        <v>3013</v>
      </c>
      <c r="B1249" s="2">
        <v>45970</v>
      </c>
      <c r="C1249" s="2">
        <v>46021</v>
      </c>
      <c r="D1249" s="1" t="s">
        <v>23</v>
      </c>
      <c r="E1249" s="1" t="s">
        <v>24</v>
      </c>
      <c r="F1249" s="1" t="s">
        <v>15</v>
      </c>
      <c r="G1249" s="1" t="s">
        <v>16</v>
      </c>
      <c r="H1249" s="1" t="s">
        <v>43</v>
      </c>
      <c r="I1249" s="1" t="s">
        <v>41</v>
      </c>
      <c r="J1249">
        <v>30</v>
      </c>
      <c r="K1249">
        <v>51</v>
      </c>
      <c r="L1249" s="1" t="s">
        <v>44</v>
      </c>
    </row>
    <row r="1250" spans="1:12" x14ac:dyDescent="0.3">
      <c r="A1250" s="1" t="s">
        <v>234</v>
      </c>
      <c r="B1250" s="2">
        <v>45969</v>
      </c>
      <c r="C1250" s="2">
        <v>45992</v>
      </c>
      <c r="D1250" s="1" t="s">
        <v>13</v>
      </c>
      <c r="E1250" s="1" t="s">
        <v>14</v>
      </c>
      <c r="F1250" s="1" t="s">
        <v>15</v>
      </c>
      <c r="G1250" s="1" t="s">
        <v>16</v>
      </c>
      <c r="H1250" s="1" t="s">
        <v>17</v>
      </c>
      <c r="I1250" s="1" t="s">
        <v>26</v>
      </c>
      <c r="J1250">
        <v>30</v>
      </c>
      <c r="K1250">
        <v>23</v>
      </c>
      <c r="L1250" s="1" t="s">
        <v>19</v>
      </c>
    </row>
    <row r="1251" spans="1:12" x14ac:dyDescent="0.3">
      <c r="A1251" s="1" t="s">
        <v>2734</v>
      </c>
      <c r="B1251" s="2">
        <v>45969</v>
      </c>
      <c r="C1251" s="2">
        <v>45996</v>
      </c>
      <c r="D1251" s="1" t="s">
        <v>37</v>
      </c>
      <c r="E1251" s="1" t="s">
        <v>14</v>
      </c>
      <c r="F1251" s="1" t="s">
        <v>15</v>
      </c>
      <c r="G1251" s="1" t="s">
        <v>16</v>
      </c>
      <c r="H1251" s="1" t="s">
        <v>49</v>
      </c>
      <c r="I1251" s="1" t="s">
        <v>26</v>
      </c>
      <c r="J1251">
        <v>15</v>
      </c>
      <c r="K1251">
        <v>27</v>
      </c>
      <c r="L1251" s="1" t="s">
        <v>19</v>
      </c>
    </row>
    <row r="1252" spans="1:12" x14ac:dyDescent="0.3">
      <c r="A1252" s="1" t="s">
        <v>1223</v>
      </c>
      <c r="B1252" s="2">
        <v>45969</v>
      </c>
      <c r="C1252" s="2">
        <v>45988</v>
      </c>
      <c r="D1252" s="1" t="s">
        <v>37</v>
      </c>
      <c r="E1252" s="1" t="s">
        <v>24</v>
      </c>
      <c r="F1252" s="1" t="s">
        <v>15</v>
      </c>
      <c r="G1252" s="1" t="s">
        <v>16</v>
      </c>
      <c r="H1252" s="1" t="s">
        <v>39</v>
      </c>
      <c r="I1252" s="1" t="s">
        <v>18</v>
      </c>
      <c r="J1252">
        <v>30</v>
      </c>
      <c r="K1252">
        <v>19</v>
      </c>
      <c r="L1252" s="1" t="s">
        <v>19</v>
      </c>
    </row>
    <row r="1253" spans="1:12" x14ac:dyDescent="0.3">
      <c r="A1253" s="1" t="s">
        <v>1800</v>
      </c>
      <c r="B1253" s="2">
        <v>45969</v>
      </c>
      <c r="C1253" s="2">
        <v>45991</v>
      </c>
      <c r="D1253" s="1" t="s">
        <v>13</v>
      </c>
      <c r="E1253" s="1" t="s">
        <v>24</v>
      </c>
      <c r="F1253" s="1" t="s">
        <v>15</v>
      </c>
      <c r="G1253" s="1" t="s">
        <v>16</v>
      </c>
      <c r="H1253" s="1" t="s">
        <v>17</v>
      </c>
      <c r="I1253" s="1" t="s">
        <v>26</v>
      </c>
      <c r="J1253">
        <v>30</v>
      </c>
      <c r="K1253">
        <v>22</v>
      </c>
      <c r="L1253" s="1" t="s">
        <v>19</v>
      </c>
    </row>
    <row r="1254" spans="1:12" x14ac:dyDescent="0.3">
      <c r="A1254" s="1" t="s">
        <v>1994</v>
      </c>
      <c r="B1254" s="2">
        <v>45969</v>
      </c>
      <c r="C1254" s="2">
        <v>45978</v>
      </c>
      <c r="D1254" s="1" t="s">
        <v>32</v>
      </c>
      <c r="E1254" s="1" t="s">
        <v>14</v>
      </c>
      <c r="F1254" s="1" t="s">
        <v>15</v>
      </c>
      <c r="G1254" s="1" t="s">
        <v>16</v>
      </c>
      <c r="H1254" s="1" t="s">
        <v>34</v>
      </c>
      <c r="I1254" s="1" t="s">
        <v>26</v>
      </c>
      <c r="J1254">
        <v>15</v>
      </c>
      <c r="K1254">
        <v>9</v>
      </c>
      <c r="L1254" s="1" t="s">
        <v>30</v>
      </c>
    </row>
    <row r="1255" spans="1:12" x14ac:dyDescent="0.3">
      <c r="A1255" s="1" t="s">
        <v>892</v>
      </c>
      <c r="B1255" s="2">
        <v>45968</v>
      </c>
      <c r="C1255" s="2">
        <v>45993</v>
      </c>
      <c r="D1255" s="1" t="s">
        <v>13</v>
      </c>
      <c r="E1255" s="1" t="s">
        <v>14</v>
      </c>
      <c r="F1255" s="1" t="s">
        <v>15</v>
      </c>
      <c r="G1255" s="1" t="s">
        <v>16</v>
      </c>
      <c r="H1255" s="1" t="s">
        <v>47</v>
      </c>
      <c r="I1255" s="1" t="s">
        <v>18</v>
      </c>
      <c r="J1255">
        <v>15</v>
      </c>
      <c r="K1255">
        <v>25</v>
      </c>
      <c r="L1255" s="1" t="s">
        <v>19</v>
      </c>
    </row>
    <row r="1256" spans="1:12" x14ac:dyDescent="0.3">
      <c r="A1256" s="1" t="s">
        <v>3212</v>
      </c>
      <c r="B1256" s="2">
        <v>45968</v>
      </c>
      <c r="C1256" s="2">
        <v>45997</v>
      </c>
      <c r="D1256" s="1" t="s">
        <v>37</v>
      </c>
      <c r="E1256" s="1" t="s">
        <v>14</v>
      </c>
      <c r="F1256" s="1" t="s">
        <v>15</v>
      </c>
      <c r="G1256" s="1" t="s">
        <v>16</v>
      </c>
      <c r="H1256" s="1" t="s">
        <v>49</v>
      </c>
      <c r="I1256" s="1" t="s">
        <v>41</v>
      </c>
      <c r="J1256">
        <v>30</v>
      </c>
      <c r="K1256">
        <v>29</v>
      </c>
      <c r="L1256" s="1" t="s">
        <v>21</v>
      </c>
    </row>
    <row r="1257" spans="1:12" x14ac:dyDescent="0.3">
      <c r="A1257" s="1" t="s">
        <v>532</v>
      </c>
      <c r="B1257" s="2">
        <v>45968</v>
      </c>
      <c r="C1257" s="2">
        <v>45982</v>
      </c>
      <c r="D1257" s="1" t="s">
        <v>37</v>
      </c>
      <c r="E1257" s="1" t="s">
        <v>14</v>
      </c>
      <c r="F1257" s="1" t="s">
        <v>15</v>
      </c>
      <c r="G1257" s="1" t="s">
        <v>16</v>
      </c>
      <c r="H1257" s="1" t="s">
        <v>49</v>
      </c>
      <c r="I1257" s="1" t="s">
        <v>26</v>
      </c>
      <c r="J1257">
        <v>15</v>
      </c>
      <c r="K1257">
        <v>14</v>
      </c>
      <c r="L1257" s="1" t="s">
        <v>30</v>
      </c>
    </row>
    <row r="1258" spans="1:12" x14ac:dyDescent="0.3">
      <c r="A1258" s="1" t="s">
        <v>2225</v>
      </c>
      <c r="B1258" s="2">
        <v>45968</v>
      </c>
      <c r="C1258" s="2">
        <v>45972</v>
      </c>
      <c r="D1258" s="1" t="s">
        <v>23</v>
      </c>
      <c r="E1258" s="1" t="s">
        <v>14</v>
      </c>
      <c r="F1258" s="1" t="s">
        <v>15</v>
      </c>
      <c r="G1258" s="1" t="s">
        <v>16</v>
      </c>
      <c r="H1258" s="1" t="s">
        <v>25</v>
      </c>
      <c r="I1258" s="1" t="s">
        <v>26</v>
      </c>
      <c r="J1258">
        <v>30</v>
      </c>
      <c r="K1258">
        <v>4</v>
      </c>
      <c r="L1258" s="1" t="s">
        <v>30</v>
      </c>
    </row>
    <row r="1259" spans="1:12" x14ac:dyDescent="0.3">
      <c r="A1259" s="1" t="s">
        <v>2255</v>
      </c>
      <c r="B1259" s="2">
        <v>45968</v>
      </c>
      <c r="C1259" s="2">
        <v>46010</v>
      </c>
      <c r="D1259" s="1" t="s">
        <v>28</v>
      </c>
      <c r="E1259" s="1" t="s">
        <v>24</v>
      </c>
      <c r="F1259" s="1" t="s">
        <v>15</v>
      </c>
      <c r="G1259" s="1" t="s">
        <v>16</v>
      </c>
      <c r="H1259" s="1" t="s">
        <v>29</v>
      </c>
      <c r="I1259" s="1" t="s">
        <v>26</v>
      </c>
      <c r="J1259">
        <v>30</v>
      </c>
      <c r="K1259">
        <v>42</v>
      </c>
      <c r="L1259" s="1" t="s">
        <v>21</v>
      </c>
    </row>
    <row r="1260" spans="1:12" x14ac:dyDescent="0.3">
      <c r="A1260" s="1" t="s">
        <v>178</v>
      </c>
      <c r="B1260" s="2">
        <v>45967</v>
      </c>
      <c r="C1260" s="2">
        <v>45993</v>
      </c>
      <c r="D1260" s="1" t="s">
        <v>23</v>
      </c>
      <c r="E1260" s="1" t="s">
        <v>24</v>
      </c>
      <c r="F1260" s="1" t="s">
        <v>38</v>
      </c>
      <c r="G1260" s="1" t="s">
        <v>33</v>
      </c>
      <c r="H1260" s="1" t="s">
        <v>43</v>
      </c>
      <c r="I1260" s="1" t="s">
        <v>26</v>
      </c>
      <c r="J1260">
        <v>45</v>
      </c>
      <c r="K1260">
        <v>26</v>
      </c>
      <c r="L1260" s="1" t="s">
        <v>19</v>
      </c>
    </row>
    <row r="1261" spans="1:12" x14ac:dyDescent="0.3">
      <c r="A1261" s="1" t="s">
        <v>667</v>
      </c>
      <c r="B1261" s="2">
        <v>45967</v>
      </c>
      <c r="C1261" s="2">
        <v>45970</v>
      </c>
      <c r="D1261" s="1" t="s">
        <v>23</v>
      </c>
      <c r="E1261" s="1" t="s">
        <v>24</v>
      </c>
      <c r="F1261" s="1" t="s">
        <v>15</v>
      </c>
      <c r="G1261" s="1" t="s">
        <v>16</v>
      </c>
      <c r="H1261" s="1" t="s">
        <v>43</v>
      </c>
      <c r="I1261" s="1" t="s">
        <v>41</v>
      </c>
      <c r="J1261">
        <v>45</v>
      </c>
      <c r="K1261">
        <v>3</v>
      </c>
      <c r="L1261" s="1" t="s">
        <v>30</v>
      </c>
    </row>
    <row r="1262" spans="1:12" x14ac:dyDescent="0.3">
      <c r="A1262" s="1" t="s">
        <v>536</v>
      </c>
      <c r="B1262" s="2">
        <v>45967</v>
      </c>
      <c r="C1262" s="2">
        <v>46053</v>
      </c>
      <c r="D1262" s="1" t="s">
        <v>37</v>
      </c>
      <c r="E1262" s="1" t="s">
        <v>14</v>
      </c>
      <c r="F1262" s="1" t="s">
        <v>15</v>
      </c>
      <c r="G1262" s="1" t="s">
        <v>16</v>
      </c>
      <c r="H1262" s="1" t="s">
        <v>49</v>
      </c>
      <c r="I1262" s="1" t="s">
        <v>26</v>
      </c>
      <c r="J1262">
        <v>15</v>
      </c>
      <c r="K1262">
        <v>86</v>
      </c>
      <c r="L1262" s="1" t="s">
        <v>80</v>
      </c>
    </row>
    <row r="1263" spans="1:12" x14ac:dyDescent="0.3">
      <c r="A1263" s="1" t="s">
        <v>1806</v>
      </c>
      <c r="B1263" s="2">
        <v>45967</v>
      </c>
      <c r="C1263" s="2">
        <v>46016</v>
      </c>
      <c r="D1263" s="1" t="s">
        <v>37</v>
      </c>
      <c r="E1263" s="1" t="s">
        <v>24</v>
      </c>
      <c r="F1263" s="1" t="s">
        <v>15</v>
      </c>
      <c r="G1263" s="1" t="s">
        <v>53</v>
      </c>
      <c r="H1263" s="1" t="s">
        <v>49</v>
      </c>
      <c r="I1263" s="1" t="s">
        <v>26</v>
      </c>
      <c r="J1263">
        <v>30</v>
      </c>
      <c r="K1263">
        <v>49</v>
      </c>
      <c r="L1263" s="1" t="s">
        <v>44</v>
      </c>
    </row>
    <row r="1264" spans="1:12" x14ac:dyDescent="0.3">
      <c r="A1264" s="1" t="s">
        <v>1567</v>
      </c>
      <c r="B1264" s="2">
        <v>45967</v>
      </c>
      <c r="C1264" s="2">
        <v>45993</v>
      </c>
      <c r="D1264" s="1" t="s">
        <v>23</v>
      </c>
      <c r="E1264" s="1" t="s">
        <v>14</v>
      </c>
      <c r="F1264" s="1" t="s">
        <v>15</v>
      </c>
      <c r="G1264" s="1" t="s">
        <v>16</v>
      </c>
      <c r="H1264" s="1" t="s">
        <v>25</v>
      </c>
      <c r="I1264" s="1" t="s">
        <v>41</v>
      </c>
      <c r="J1264">
        <v>15</v>
      </c>
      <c r="K1264">
        <v>26</v>
      </c>
      <c r="L1264" s="1" t="s">
        <v>19</v>
      </c>
    </row>
    <row r="1265" spans="1:12" x14ac:dyDescent="0.3">
      <c r="A1265" s="1" t="s">
        <v>1610</v>
      </c>
      <c r="B1265" s="2">
        <v>45967</v>
      </c>
      <c r="C1265" s="2">
        <v>46009</v>
      </c>
      <c r="D1265" s="1" t="s">
        <v>23</v>
      </c>
      <c r="E1265" s="1" t="s">
        <v>14</v>
      </c>
      <c r="F1265" s="1" t="s">
        <v>15</v>
      </c>
      <c r="G1265" s="1" t="s">
        <v>16</v>
      </c>
      <c r="H1265" s="1" t="s">
        <v>25</v>
      </c>
      <c r="I1265" s="1" t="s">
        <v>18</v>
      </c>
      <c r="J1265">
        <v>15</v>
      </c>
      <c r="K1265">
        <v>42</v>
      </c>
      <c r="L1265" s="1" t="s">
        <v>21</v>
      </c>
    </row>
    <row r="1266" spans="1:12" x14ac:dyDescent="0.3">
      <c r="A1266" s="1" t="s">
        <v>1915</v>
      </c>
      <c r="B1266" s="2">
        <v>45967</v>
      </c>
      <c r="C1266" s="2">
        <v>45995</v>
      </c>
      <c r="D1266" s="1" t="s">
        <v>23</v>
      </c>
      <c r="E1266" s="1" t="s">
        <v>24</v>
      </c>
      <c r="F1266" s="1" t="s">
        <v>15</v>
      </c>
      <c r="G1266" s="1" t="s">
        <v>16</v>
      </c>
      <c r="H1266" s="1" t="s">
        <v>25</v>
      </c>
      <c r="I1266" s="1" t="s">
        <v>18</v>
      </c>
      <c r="J1266">
        <v>45</v>
      </c>
      <c r="K1266">
        <v>28</v>
      </c>
      <c r="L1266" s="1" t="s">
        <v>19</v>
      </c>
    </row>
    <row r="1267" spans="1:12" x14ac:dyDescent="0.3">
      <c r="A1267" s="1" t="s">
        <v>762</v>
      </c>
      <c r="B1267" s="2">
        <v>45966</v>
      </c>
      <c r="C1267" s="2">
        <v>45968</v>
      </c>
      <c r="D1267" s="1" t="s">
        <v>28</v>
      </c>
      <c r="E1267" s="1" t="s">
        <v>14</v>
      </c>
      <c r="F1267" s="1" t="s">
        <v>15</v>
      </c>
      <c r="G1267" s="1" t="s">
        <v>16</v>
      </c>
      <c r="H1267" s="1" t="s">
        <v>29</v>
      </c>
      <c r="I1267" s="1" t="s">
        <v>41</v>
      </c>
      <c r="J1267">
        <v>30</v>
      </c>
      <c r="K1267">
        <v>2</v>
      </c>
      <c r="L1267" s="1" t="s">
        <v>30</v>
      </c>
    </row>
    <row r="1268" spans="1:12" x14ac:dyDescent="0.3">
      <c r="A1268" s="1" t="s">
        <v>1009</v>
      </c>
      <c r="B1268" s="2">
        <v>45966</v>
      </c>
      <c r="C1268" s="2">
        <v>45999</v>
      </c>
      <c r="D1268" s="1" t="s">
        <v>28</v>
      </c>
      <c r="E1268" s="1" t="s">
        <v>24</v>
      </c>
      <c r="F1268" s="1" t="s">
        <v>38</v>
      </c>
      <c r="G1268" s="1" t="s">
        <v>53</v>
      </c>
      <c r="H1268" s="1" t="s">
        <v>54</v>
      </c>
      <c r="I1268" s="1" t="s">
        <v>18</v>
      </c>
      <c r="J1268">
        <v>30</v>
      </c>
      <c r="K1268">
        <v>33</v>
      </c>
      <c r="L1268" s="1" t="s">
        <v>21</v>
      </c>
    </row>
    <row r="1269" spans="1:12" x14ac:dyDescent="0.3">
      <c r="A1269" s="1" t="s">
        <v>1090</v>
      </c>
      <c r="B1269" s="2">
        <v>45966</v>
      </c>
      <c r="C1269" s="2">
        <v>45997</v>
      </c>
      <c r="D1269" s="1" t="s">
        <v>23</v>
      </c>
      <c r="E1269" s="1" t="s">
        <v>14</v>
      </c>
      <c r="F1269" s="1" t="s">
        <v>15</v>
      </c>
      <c r="G1269" s="1" t="s">
        <v>16</v>
      </c>
      <c r="H1269" s="1" t="s">
        <v>25</v>
      </c>
      <c r="I1269" s="1" t="s">
        <v>41</v>
      </c>
      <c r="J1269">
        <v>15</v>
      </c>
      <c r="K1269">
        <v>31</v>
      </c>
      <c r="L1269" s="1" t="s">
        <v>21</v>
      </c>
    </row>
    <row r="1270" spans="1:12" x14ac:dyDescent="0.3">
      <c r="A1270" s="1" t="s">
        <v>436</v>
      </c>
      <c r="B1270" s="2">
        <v>45966</v>
      </c>
      <c r="C1270" s="2">
        <v>45989</v>
      </c>
      <c r="D1270" s="1" t="s">
        <v>37</v>
      </c>
      <c r="E1270" s="1" t="s">
        <v>14</v>
      </c>
      <c r="F1270" s="1" t="s">
        <v>15</v>
      </c>
      <c r="G1270" s="1" t="s">
        <v>53</v>
      </c>
      <c r="H1270" s="1" t="s">
        <v>39</v>
      </c>
      <c r="I1270" s="1" t="s">
        <v>26</v>
      </c>
      <c r="J1270">
        <v>15</v>
      </c>
      <c r="K1270">
        <v>23</v>
      </c>
      <c r="L1270" s="1" t="s">
        <v>19</v>
      </c>
    </row>
    <row r="1271" spans="1:12" x14ac:dyDescent="0.3">
      <c r="A1271" s="1" t="s">
        <v>1622</v>
      </c>
      <c r="B1271" s="2">
        <v>45966</v>
      </c>
      <c r="C1271" s="2">
        <v>46036</v>
      </c>
      <c r="D1271" s="1" t="s">
        <v>32</v>
      </c>
      <c r="E1271" s="1" t="s">
        <v>24</v>
      </c>
      <c r="F1271" s="1" t="s">
        <v>15</v>
      </c>
      <c r="G1271" s="1" t="s">
        <v>16</v>
      </c>
      <c r="H1271" s="1" t="s">
        <v>34</v>
      </c>
      <c r="I1271" s="1" t="s">
        <v>26</v>
      </c>
      <c r="J1271">
        <v>30</v>
      </c>
      <c r="K1271">
        <v>70</v>
      </c>
      <c r="L1271" s="1" t="s">
        <v>80</v>
      </c>
    </row>
    <row r="1272" spans="1:12" x14ac:dyDescent="0.3">
      <c r="A1272" s="1" t="s">
        <v>2066</v>
      </c>
      <c r="B1272" s="2">
        <v>45966</v>
      </c>
      <c r="C1272" s="2">
        <v>45999</v>
      </c>
      <c r="D1272" s="1" t="s">
        <v>28</v>
      </c>
      <c r="E1272" s="1" t="s">
        <v>14</v>
      </c>
      <c r="F1272" s="1" t="s">
        <v>38</v>
      </c>
      <c r="G1272" s="1" t="s">
        <v>16</v>
      </c>
      <c r="H1272" s="1" t="s">
        <v>54</v>
      </c>
      <c r="I1272" s="1" t="s">
        <v>26</v>
      </c>
      <c r="J1272">
        <v>15</v>
      </c>
      <c r="K1272">
        <v>33</v>
      </c>
      <c r="L1272" s="1" t="s">
        <v>21</v>
      </c>
    </row>
    <row r="1273" spans="1:12" x14ac:dyDescent="0.3">
      <c r="A1273" s="1" t="s">
        <v>2456</v>
      </c>
      <c r="B1273" s="2">
        <v>45966</v>
      </c>
      <c r="C1273" s="2">
        <v>46031</v>
      </c>
      <c r="D1273" s="1" t="s">
        <v>13</v>
      </c>
      <c r="E1273" s="1" t="s">
        <v>14</v>
      </c>
      <c r="F1273" s="1" t="s">
        <v>15</v>
      </c>
      <c r="G1273" s="1" t="s">
        <v>16</v>
      </c>
      <c r="H1273" s="1" t="s">
        <v>47</v>
      </c>
      <c r="I1273" s="1" t="s">
        <v>26</v>
      </c>
      <c r="J1273">
        <v>15</v>
      </c>
      <c r="K1273">
        <v>65</v>
      </c>
      <c r="L1273" s="1" t="s">
        <v>80</v>
      </c>
    </row>
    <row r="1274" spans="1:12" x14ac:dyDescent="0.3">
      <c r="A1274" s="1" t="s">
        <v>3049</v>
      </c>
      <c r="B1274" s="2">
        <v>45966</v>
      </c>
      <c r="C1274" s="2">
        <v>45968</v>
      </c>
      <c r="D1274" s="1" t="s">
        <v>23</v>
      </c>
      <c r="E1274" s="1" t="s">
        <v>24</v>
      </c>
      <c r="F1274" s="1" t="s">
        <v>15</v>
      </c>
      <c r="G1274" s="1" t="s">
        <v>53</v>
      </c>
      <c r="H1274" s="1" t="s">
        <v>43</v>
      </c>
      <c r="I1274" s="1" t="s">
        <v>26</v>
      </c>
      <c r="J1274">
        <v>30</v>
      </c>
      <c r="K1274">
        <v>2</v>
      </c>
      <c r="L1274" s="1" t="s">
        <v>30</v>
      </c>
    </row>
    <row r="1275" spans="1:12" x14ac:dyDescent="0.3">
      <c r="A1275" s="1" t="s">
        <v>497</v>
      </c>
      <c r="B1275" s="2">
        <v>45965</v>
      </c>
      <c r="C1275" s="2">
        <v>46028</v>
      </c>
      <c r="D1275" s="1" t="s">
        <v>13</v>
      </c>
      <c r="E1275" s="1" t="s">
        <v>24</v>
      </c>
      <c r="F1275" s="1" t="s">
        <v>38</v>
      </c>
      <c r="G1275" s="1" t="s">
        <v>33</v>
      </c>
      <c r="H1275" s="1" t="s">
        <v>17</v>
      </c>
      <c r="I1275" s="1" t="s">
        <v>26</v>
      </c>
      <c r="J1275">
        <v>30</v>
      </c>
      <c r="K1275">
        <v>63</v>
      </c>
      <c r="L1275" s="1" t="s">
        <v>80</v>
      </c>
    </row>
    <row r="1276" spans="1:12" x14ac:dyDescent="0.3">
      <c r="A1276" s="1" t="s">
        <v>573</v>
      </c>
      <c r="B1276" s="2">
        <v>45965</v>
      </c>
      <c r="C1276" s="2">
        <v>46003</v>
      </c>
      <c r="D1276" s="1" t="s">
        <v>13</v>
      </c>
      <c r="E1276" s="1" t="s">
        <v>24</v>
      </c>
      <c r="F1276" s="1" t="s">
        <v>15</v>
      </c>
      <c r="G1276" s="1" t="s">
        <v>16</v>
      </c>
      <c r="H1276" s="1" t="s">
        <v>17</v>
      </c>
      <c r="I1276" s="1" t="s">
        <v>26</v>
      </c>
      <c r="J1276">
        <v>30</v>
      </c>
      <c r="K1276">
        <v>38</v>
      </c>
      <c r="L1276" s="1" t="s">
        <v>21</v>
      </c>
    </row>
    <row r="1277" spans="1:12" x14ac:dyDescent="0.3">
      <c r="A1277" s="1" t="s">
        <v>707</v>
      </c>
      <c r="B1277" s="2">
        <v>45965</v>
      </c>
      <c r="C1277" s="2">
        <v>45980</v>
      </c>
      <c r="D1277" s="1" t="s">
        <v>28</v>
      </c>
      <c r="E1277" s="1" t="s">
        <v>24</v>
      </c>
      <c r="F1277" s="1" t="s">
        <v>15</v>
      </c>
      <c r="G1277" s="1" t="s">
        <v>16</v>
      </c>
      <c r="H1277" s="1" t="s">
        <v>54</v>
      </c>
      <c r="I1277" s="1" t="s">
        <v>26</v>
      </c>
      <c r="J1277">
        <v>30</v>
      </c>
      <c r="K1277">
        <v>15</v>
      </c>
      <c r="L1277" s="1" t="s">
        <v>19</v>
      </c>
    </row>
    <row r="1278" spans="1:12" x14ac:dyDescent="0.3">
      <c r="A1278" s="1" t="s">
        <v>1230</v>
      </c>
      <c r="B1278" s="2">
        <v>45965</v>
      </c>
      <c r="C1278" s="2">
        <v>45991</v>
      </c>
      <c r="D1278" s="1" t="s">
        <v>37</v>
      </c>
      <c r="E1278" s="1" t="s">
        <v>14</v>
      </c>
      <c r="F1278" s="1" t="s">
        <v>15</v>
      </c>
      <c r="G1278" s="1" t="s">
        <v>33</v>
      </c>
      <c r="H1278" s="1" t="s">
        <v>49</v>
      </c>
      <c r="I1278" s="1" t="s">
        <v>18</v>
      </c>
      <c r="J1278">
        <v>15</v>
      </c>
      <c r="K1278">
        <v>26</v>
      </c>
      <c r="L1278" s="1" t="s">
        <v>19</v>
      </c>
    </row>
    <row r="1279" spans="1:12" x14ac:dyDescent="0.3">
      <c r="A1279" s="1" t="s">
        <v>2656</v>
      </c>
      <c r="B1279" s="2">
        <v>45965</v>
      </c>
      <c r="C1279" s="2">
        <v>45986</v>
      </c>
      <c r="D1279" s="1" t="s">
        <v>37</v>
      </c>
      <c r="E1279" s="1" t="s">
        <v>14</v>
      </c>
      <c r="F1279" s="1" t="s">
        <v>38</v>
      </c>
      <c r="G1279" s="1" t="s">
        <v>53</v>
      </c>
      <c r="H1279" s="1" t="s">
        <v>49</v>
      </c>
      <c r="I1279" s="1" t="s">
        <v>41</v>
      </c>
      <c r="J1279">
        <v>15</v>
      </c>
      <c r="K1279">
        <v>21</v>
      </c>
      <c r="L1279" s="1" t="s">
        <v>19</v>
      </c>
    </row>
    <row r="1280" spans="1:12" x14ac:dyDescent="0.3">
      <c r="A1280" s="1" t="s">
        <v>1547</v>
      </c>
      <c r="B1280" s="2">
        <v>45965</v>
      </c>
      <c r="C1280" s="2">
        <v>45994</v>
      </c>
      <c r="D1280" s="1" t="s">
        <v>32</v>
      </c>
      <c r="E1280" s="1" t="s">
        <v>24</v>
      </c>
      <c r="F1280" s="1" t="s">
        <v>15</v>
      </c>
      <c r="G1280" s="1" t="s">
        <v>16</v>
      </c>
      <c r="H1280" s="1" t="s">
        <v>71</v>
      </c>
      <c r="I1280" s="1" t="s">
        <v>41</v>
      </c>
      <c r="J1280">
        <v>30</v>
      </c>
      <c r="K1280">
        <v>29</v>
      </c>
      <c r="L1280" s="1" t="s">
        <v>21</v>
      </c>
    </row>
    <row r="1281" spans="1:12" x14ac:dyDescent="0.3">
      <c r="A1281" s="1" t="s">
        <v>2487</v>
      </c>
      <c r="B1281" s="2">
        <v>45965</v>
      </c>
      <c r="C1281" s="2">
        <v>46025</v>
      </c>
      <c r="D1281" s="1" t="s">
        <v>13</v>
      </c>
      <c r="E1281" s="1" t="s">
        <v>24</v>
      </c>
      <c r="F1281" s="1" t="s">
        <v>15</v>
      </c>
      <c r="G1281" s="1" t="s">
        <v>33</v>
      </c>
      <c r="H1281" s="1" t="s">
        <v>47</v>
      </c>
      <c r="I1281" s="1" t="s">
        <v>26</v>
      </c>
      <c r="J1281">
        <v>30</v>
      </c>
      <c r="K1281">
        <v>60</v>
      </c>
      <c r="L1281" s="1" t="s">
        <v>80</v>
      </c>
    </row>
    <row r="1282" spans="1:12" x14ac:dyDescent="0.3">
      <c r="A1282" s="1" t="s">
        <v>3015</v>
      </c>
      <c r="B1282" s="2">
        <v>45965</v>
      </c>
      <c r="C1282" s="2">
        <v>46032</v>
      </c>
      <c r="D1282" s="1" t="s">
        <v>28</v>
      </c>
      <c r="E1282" s="1" t="s">
        <v>24</v>
      </c>
      <c r="F1282" s="1" t="s">
        <v>15</v>
      </c>
      <c r="G1282" s="1" t="s">
        <v>16</v>
      </c>
      <c r="H1282" s="1" t="s">
        <v>29</v>
      </c>
      <c r="I1282" s="1" t="s">
        <v>18</v>
      </c>
      <c r="J1282">
        <v>30</v>
      </c>
      <c r="K1282">
        <v>67</v>
      </c>
      <c r="L1282" s="1" t="s">
        <v>80</v>
      </c>
    </row>
    <row r="1283" spans="1:12" x14ac:dyDescent="0.3">
      <c r="A1283" s="1" t="s">
        <v>3061</v>
      </c>
      <c r="B1283" s="2">
        <v>45965</v>
      </c>
      <c r="C1283" s="2">
        <v>45991</v>
      </c>
      <c r="D1283" s="1" t="s">
        <v>28</v>
      </c>
      <c r="E1283" s="1" t="s">
        <v>24</v>
      </c>
      <c r="F1283" s="1" t="s">
        <v>15</v>
      </c>
      <c r="G1283" s="1" t="s">
        <v>53</v>
      </c>
      <c r="H1283" s="1" t="s">
        <v>29</v>
      </c>
      <c r="I1283" s="1" t="s">
        <v>41</v>
      </c>
      <c r="J1283">
        <v>30</v>
      </c>
      <c r="K1283">
        <v>26</v>
      </c>
      <c r="L1283" s="1" t="s">
        <v>19</v>
      </c>
    </row>
    <row r="1284" spans="1:12" x14ac:dyDescent="0.3">
      <c r="A1284" s="1" t="s">
        <v>510</v>
      </c>
      <c r="B1284" s="2">
        <v>45964</v>
      </c>
      <c r="C1284" s="2">
        <v>45966</v>
      </c>
      <c r="D1284" s="1" t="s">
        <v>23</v>
      </c>
      <c r="E1284" s="1" t="s">
        <v>14</v>
      </c>
      <c r="F1284" s="1" t="s">
        <v>38</v>
      </c>
      <c r="G1284" s="1" t="s">
        <v>16</v>
      </c>
      <c r="H1284" s="1" t="s">
        <v>43</v>
      </c>
      <c r="I1284" s="1" t="s">
        <v>18</v>
      </c>
      <c r="J1284">
        <v>15</v>
      </c>
      <c r="K1284">
        <v>2</v>
      </c>
      <c r="L1284" s="1" t="s">
        <v>30</v>
      </c>
    </row>
    <row r="1285" spans="1:12" x14ac:dyDescent="0.3">
      <c r="A1285" s="1" t="s">
        <v>562</v>
      </c>
      <c r="B1285" s="2">
        <v>45964</v>
      </c>
      <c r="C1285" s="2">
        <v>45982</v>
      </c>
      <c r="D1285" s="1" t="s">
        <v>13</v>
      </c>
      <c r="E1285" s="1" t="s">
        <v>14</v>
      </c>
      <c r="F1285" s="1" t="s">
        <v>15</v>
      </c>
      <c r="G1285" s="1" t="s">
        <v>16</v>
      </c>
      <c r="H1285" s="1" t="s">
        <v>17</v>
      </c>
      <c r="I1285" s="1" t="s">
        <v>26</v>
      </c>
      <c r="J1285">
        <v>15</v>
      </c>
      <c r="K1285">
        <v>18</v>
      </c>
      <c r="L1285" s="1" t="s">
        <v>19</v>
      </c>
    </row>
    <row r="1286" spans="1:12" x14ac:dyDescent="0.3">
      <c r="A1286" s="1" t="s">
        <v>730</v>
      </c>
      <c r="B1286" s="2">
        <v>45964</v>
      </c>
      <c r="C1286" s="2">
        <v>45985</v>
      </c>
      <c r="D1286" s="1" t="s">
        <v>13</v>
      </c>
      <c r="E1286" s="1" t="s">
        <v>14</v>
      </c>
      <c r="F1286" s="1" t="s">
        <v>15</v>
      </c>
      <c r="G1286" s="1" t="s">
        <v>16</v>
      </c>
      <c r="H1286" s="1" t="s">
        <v>17</v>
      </c>
      <c r="I1286" s="1" t="s">
        <v>18</v>
      </c>
      <c r="J1286">
        <v>15</v>
      </c>
      <c r="K1286">
        <v>21</v>
      </c>
      <c r="L1286" s="1" t="s">
        <v>19</v>
      </c>
    </row>
    <row r="1287" spans="1:12" x14ac:dyDescent="0.3">
      <c r="A1287" s="1" t="s">
        <v>1650</v>
      </c>
      <c r="B1287" s="2">
        <v>45964</v>
      </c>
      <c r="C1287" s="2">
        <v>45987</v>
      </c>
      <c r="D1287" s="1" t="s">
        <v>37</v>
      </c>
      <c r="E1287" s="1" t="s">
        <v>24</v>
      </c>
      <c r="F1287" s="1" t="s">
        <v>38</v>
      </c>
      <c r="G1287" s="1" t="s">
        <v>16</v>
      </c>
      <c r="H1287" s="1" t="s">
        <v>39</v>
      </c>
      <c r="I1287" s="1" t="s">
        <v>26</v>
      </c>
      <c r="J1287">
        <v>30</v>
      </c>
      <c r="K1287">
        <v>23</v>
      </c>
      <c r="L1287" s="1" t="s">
        <v>19</v>
      </c>
    </row>
    <row r="1288" spans="1:12" x14ac:dyDescent="0.3">
      <c r="A1288" s="1" t="s">
        <v>1696</v>
      </c>
      <c r="B1288" s="2">
        <v>45964</v>
      </c>
      <c r="C1288" s="2">
        <v>45980</v>
      </c>
      <c r="D1288" s="1" t="s">
        <v>37</v>
      </c>
      <c r="E1288" s="1" t="s">
        <v>24</v>
      </c>
      <c r="F1288" s="1" t="s">
        <v>15</v>
      </c>
      <c r="G1288" s="1" t="s">
        <v>33</v>
      </c>
      <c r="H1288" s="1" t="s">
        <v>49</v>
      </c>
      <c r="I1288" s="1" t="s">
        <v>41</v>
      </c>
      <c r="J1288">
        <v>30</v>
      </c>
      <c r="K1288">
        <v>16</v>
      </c>
      <c r="L1288" s="1" t="s">
        <v>19</v>
      </c>
    </row>
    <row r="1289" spans="1:12" x14ac:dyDescent="0.3">
      <c r="A1289" s="1" t="s">
        <v>1392</v>
      </c>
      <c r="B1289" s="2">
        <v>45964</v>
      </c>
      <c r="C1289" s="2">
        <v>46008</v>
      </c>
      <c r="D1289" s="1" t="s">
        <v>13</v>
      </c>
      <c r="E1289" s="1" t="s">
        <v>14</v>
      </c>
      <c r="F1289" s="1" t="s">
        <v>15</v>
      </c>
      <c r="G1289" s="1" t="s">
        <v>33</v>
      </c>
      <c r="H1289" s="1" t="s">
        <v>17</v>
      </c>
      <c r="I1289" s="1" t="s">
        <v>41</v>
      </c>
      <c r="J1289">
        <v>15</v>
      </c>
      <c r="K1289">
        <v>44</v>
      </c>
      <c r="L1289" s="1" t="s">
        <v>44</v>
      </c>
    </row>
    <row r="1290" spans="1:12" x14ac:dyDescent="0.3">
      <c r="A1290" s="1" t="s">
        <v>1686</v>
      </c>
      <c r="B1290" s="2">
        <v>45964</v>
      </c>
      <c r="C1290" s="2">
        <v>46018</v>
      </c>
      <c r="D1290" s="1" t="s">
        <v>28</v>
      </c>
      <c r="E1290" s="1" t="s">
        <v>14</v>
      </c>
      <c r="F1290" s="1" t="s">
        <v>38</v>
      </c>
      <c r="G1290" s="1" t="s">
        <v>53</v>
      </c>
      <c r="H1290" s="1" t="s">
        <v>29</v>
      </c>
      <c r="I1290" s="1" t="s">
        <v>26</v>
      </c>
      <c r="J1290">
        <v>15</v>
      </c>
      <c r="K1290">
        <v>54</v>
      </c>
      <c r="L1290" s="1" t="s">
        <v>44</v>
      </c>
    </row>
    <row r="1291" spans="1:12" x14ac:dyDescent="0.3">
      <c r="A1291" s="1" t="s">
        <v>2718</v>
      </c>
      <c r="B1291" s="2">
        <v>45964</v>
      </c>
      <c r="C1291" s="2">
        <v>46009</v>
      </c>
      <c r="D1291" s="1" t="s">
        <v>13</v>
      </c>
      <c r="E1291" s="1" t="s">
        <v>24</v>
      </c>
      <c r="F1291" s="1" t="s">
        <v>38</v>
      </c>
      <c r="G1291" s="1" t="s">
        <v>16</v>
      </c>
      <c r="H1291" s="1" t="s">
        <v>47</v>
      </c>
      <c r="I1291" s="1" t="s">
        <v>26</v>
      </c>
      <c r="J1291">
        <v>30</v>
      </c>
      <c r="K1291">
        <v>45</v>
      </c>
      <c r="L1291" s="1" t="s">
        <v>44</v>
      </c>
    </row>
    <row r="1292" spans="1:12" x14ac:dyDescent="0.3">
      <c r="A1292" s="1" t="s">
        <v>311</v>
      </c>
      <c r="B1292" s="2">
        <v>45963</v>
      </c>
      <c r="C1292" s="2">
        <v>45993</v>
      </c>
      <c r="D1292" s="1" t="s">
        <v>28</v>
      </c>
      <c r="E1292" s="1" t="s">
        <v>24</v>
      </c>
      <c r="F1292" s="1" t="s">
        <v>15</v>
      </c>
      <c r="G1292" s="1" t="s">
        <v>16</v>
      </c>
      <c r="H1292" s="1" t="s">
        <v>54</v>
      </c>
      <c r="I1292" s="1" t="s">
        <v>18</v>
      </c>
      <c r="J1292">
        <v>30</v>
      </c>
      <c r="K1292">
        <v>30</v>
      </c>
      <c r="L1292" s="1" t="s">
        <v>21</v>
      </c>
    </row>
    <row r="1293" spans="1:12" x14ac:dyDescent="0.3">
      <c r="A1293" s="1" t="s">
        <v>590</v>
      </c>
      <c r="B1293" s="2">
        <v>45963</v>
      </c>
      <c r="C1293" s="2">
        <v>45979</v>
      </c>
      <c r="D1293" s="1" t="s">
        <v>32</v>
      </c>
      <c r="E1293" s="1" t="s">
        <v>24</v>
      </c>
      <c r="F1293" s="1" t="s">
        <v>15</v>
      </c>
      <c r="G1293" s="1" t="s">
        <v>16</v>
      </c>
      <c r="H1293" s="1" t="s">
        <v>71</v>
      </c>
      <c r="I1293" s="1" t="s">
        <v>18</v>
      </c>
      <c r="J1293">
        <v>30</v>
      </c>
      <c r="K1293">
        <v>16</v>
      </c>
      <c r="L1293" s="1" t="s">
        <v>19</v>
      </c>
    </row>
    <row r="1294" spans="1:12" x14ac:dyDescent="0.3">
      <c r="A1294" s="1" t="s">
        <v>957</v>
      </c>
      <c r="B1294" s="2">
        <v>45963</v>
      </c>
      <c r="C1294" s="2">
        <v>45981</v>
      </c>
      <c r="D1294" s="1" t="s">
        <v>23</v>
      </c>
      <c r="E1294" s="1" t="s">
        <v>24</v>
      </c>
      <c r="F1294" s="1" t="s">
        <v>15</v>
      </c>
      <c r="G1294" s="1" t="s">
        <v>33</v>
      </c>
      <c r="H1294" s="1" t="s">
        <v>43</v>
      </c>
      <c r="I1294" s="1" t="s">
        <v>18</v>
      </c>
      <c r="J1294">
        <v>45</v>
      </c>
      <c r="K1294">
        <v>18</v>
      </c>
      <c r="L1294" s="1" t="s">
        <v>19</v>
      </c>
    </row>
    <row r="1295" spans="1:12" x14ac:dyDescent="0.3">
      <c r="A1295" s="1" t="s">
        <v>1438</v>
      </c>
      <c r="B1295" s="2">
        <v>45963</v>
      </c>
      <c r="C1295" s="2">
        <v>45979</v>
      </c>
      <c r="D1295" s="1" t="s">
        <v>23</v>
      </c>
      <c r="E1295" s="1" t="s">
        <v>24</v>
      </c>
      <c r="F1295" s="1" t="s">
        <v>15</v>
      </c>
      <c r="G1295" s="1" t="s">
        <v>16</v>
      </c>
      <c r="H1295" s="1" t="s">
        <v>43</v>
      </c>
      <c r="I1295" s="1" t="s">
        <v>26</v>
      </c>
      <c r="J1295">
        <v>30</v>
      </c>
      <c r="K1295">
        <v>16</v>
      </c>
      <c r="L1295" s="1" t="s">
        <v>19</v>
      </c>
    </row>
    <row r="1296" spans="1:12" x14ac:dyDescent="0.3">
      <c r="A1296" s="1" t="s">
        <v>3008</v>
      </c>
      <c r="B1296" s="2">
        <v>45963</v>
      </c>
      <c r="C1296" s="2">
        <v>45976</v>
      </c>
      <c r="D1296" s="1" t="s">
        <v>28</v>
      </c>
      <c r="E1296" s="1" t="s">
        <v>24</v>
      </c>
      <c r="F1296" s="1" t="s">
        <v>15</v>
      </c>
      <c r="G1296" s="1" t="s">
        <v>16</v>
      </c>
      <c r="H1296" s="1" t="s">
        <v>29</v>
      </c>
      <c r="I1296" s="1" t="s">
        <v>26</v>
      </c>
      <c r="J1296">
        <v>30</v>
      </c>
      <c r="K1296">
        <v>13</v>
      </c>
      <c r="L1296" s="1" t="s">
        <v>30</v>
      </c>
    </row>
    <row r="1297" spans="1:12" x14ac:dyDescent="0.3">
      <c r="A1297" s="1" t="s">
        <v>740</v>
      </c>
      <c r="B1297" s="2">
        <v>45962</v>
      </c>
      <c r="C1297" s="2">
        <v>46001</v>
      </c>
      <c r="D1297" s="1" t="s">
        <v>23</v>
      </c>
      <c r="E1297" s="1" t="s">
        <v>24</v>
      </c>
      <c r="F1297" s="1" t="s">
        <v>15</v>
      </c>
      <c r="G1297" s="1" t="s">
        <v>53</v>
      </c>
      <c r="H1297" s="1" t="s">
        <v>43</v>
      </c>
      <c r="I1297" s="1" t="s">
        <v>26</v>
      </c>
      <c r="J1297">
        <v>45</v>
      </c>
      <c r="K1297">
        <v>39</v>
      </c>
      <c r="L1297" s="1" t="s">
        <v>21</v>
      </c>
    </row>
    <row r="1298" spans="1:12" x14ac:dyDescent="0.3">
      <c r="A1298" s="1" t="s">
        <v>828</v>
      </c>
      <c r="B1298" s="2">
        <v>45962</v>
      </c>
      <c r="C1298" s="2">
        <v>45979</v>
      </c>
      <c r="D1298" s="1" t="s">
        <v>23</v>
      </c>
      <c r="E1298" s="1" t="s">
        <v>14</v>
      </c>
      <c r="F1298" s="1" t="s">
        <v>15</v>
      </c>
      <c r="G1298" s="1" t="s">
        <v>16</v>
      </c>
      <c r="H1298" s="1" t="s">
        <v>43</v>
      </c>
      <c r="I1298" s="1" t="s">
        <v>26</v>
      </c>
      <c r="J1298">
        <v>30</v>
      </c>
      <c r="K1298">
        <v>17</v>
      </c>
      <c r="L1298" s="1" t="s">
        <v>19</v>
      </c>
    </row>
    <row r="1299" spans="1:12" x14ac:dyDescent="0.3">
      <c r="A1299" s="1" t="s">
        <v>1008</v>
      </c>
      <c r="B1299" s="2">
        <v>45962</v>
      </c>
      <c r="C1299" s="2">
        <v>46009</v>
      </c>
      <c r="D1299" s="1" t="s">
        <v>28</v>
      </c>
      <c r="E1299" s="1" t="s">
        <v>14</v>
      </c>
      <c r="F1299" s="1" t="s">
        <v>38</v>
      </c>
      <c r="G1299" s="1" t="s">
        <v>16</v>
      </c>
      <c r="H1299" s="1" t="s">
        <v>29</v>
      </c>
      <c r="I1299" s="1" t="s">
        <v>18</v>
      </c>
      <c r="J1299">
        <v>15</v>
      </c>
      <c r="K1299">
        <v>47</v>
      </c>
      <c r="L1299" s="1" t="s">
        <v>44</v>
      </c>
    </row>
    <row r="1300" spans="1:12" x14ac:dyDescent="0.3">
      <c r="A1300" s="1" t="s">
        <v>1023</v>
      </c>
      <c r="B1300" s="2">
        <v>45962</v>
      </c>
      <c r="C1300" s="2">
        <v>46005</v>
      </c>
      <c r="D1300" s="1" t="s">
        <v>28</v>
      </c>
      <c r="E1300" s="1" t="s">
        <v>24</v>
      </c>
      <c r="F1300" s="1" t="s">
        <v>15</v>
      </c>
      <c r="G1300" s="1" t="s">
        <v>16</v>
      </c>
      <c r="H1300" s="1" t="s">
        <v>54</v>
      </c>
      <c r="I1300" s="1" t="s">
        <v>26</v>
      </c>
      <c r="J1300">
        <v>30</v>
      </c>
      <c r="K1300">
        <v>43</v>
      </c>
      <c r="L1300" s="1" t="s">
        <v>44</v>
      </c>
    </row>
    <row r="1301" spans="1:12" x14ac:dyDescent="0.3">
      <c r="A1301" s="1" t="s">
        <v>2989</v>
      </c>
      <c r="B1301" s="2">
        <v>45962</v>
      </c>
      <c r="C1301" s="2">
        <v>46010</v>
      </c>
      <c r="D1301" s="1" t="s">
        <v>37</v>
      </c>
      <c r="E1301" s="1" t="s">
        <v>24</v>
      </c>
      <c r="F1301" s="1" t="s">
        <v>15</v>
      </c>
      <c r="G1301" s="1" t="s">
        <v>53</v>
      </c>
      <c r="H1301" s="1" t="s">
        <v>39</v>
      </c>
      <c r="I1301" s="1" t="s">
        <v>26</v>
      </c>
      <c r="J1301">
        <v>30</v>
      </c>
      <c r="K1301">
        <v>48</v>
      </c>
      <c r="L1301" s="1" t="s">
        <v>44</v>
      </c>
    </row>
    <row r="1302" spans="1:12" x14ac:dyDescent="0.3">
      <c r="A1302" s="1" t="s">
        <v>1588</v>
      </c>
      <c r="B1302" s="2">
        <v>45962</v>
      </c>
      <c r="C1302" s="2">
        <v>45997</v>
      </c>
      <c r="D1302" s="1" t="s">
        <v>37</v>
      </c>
      <c r="E1302" s="1" t="s">
        <v>14</v>
      </c>
      <c r="F1302" s="1" t="s">
        <v>15</v>
      </c>
      <c r="G1302" s="1" t="s">
        <v>16</v>
      </c>
      <c r="H1302" s="1" t="s">
        <v>39</v>
      </c>
      <c r="I1302" s="1" t="s">
        <v>18</v>
      </c>
      <c r="J1302">
        <v>15</v>
      </c>
      <c r="K1302">
        <v>35</v>
      </c>
      <c r="L1302" s="1" t="s">
        <v>21</v>
      </c>
    </row>
    <row r="1303" spans="1:12" x14ac:dyDescent="0.3">
      <c r="A1303" s="1" t="s">
        <v>1360</v>
      </c>
      <c r="B1303" s="2">
        <v>45962</v>
      </c>
      <c r="C1303" s="2">
        <v>45987</v>
      </c>
      <c r="D1303" s="1" t="s">
        <v>28</v>
      </c>
      <c r="E1303" s="1" t="s">
        <v>14</v>
      </c>
      <c r="F1303" s="1" t="s">
        <v>15</v>
      </c>
      <c r="G1303" s="1" t="s">
        <v>16</v>
      </c>
      <c r="H1303" s="1" t="s">
        <v>54</v>
      </c>
      <c r="I1303" s="1" t="s">
        <v>18</v>
      </c>
      <c r="J1303">
        <v>30</v>
      </c>
      <c r="K1303">
        <v>25</v>
      </c>
      <c r="L1303" s="1" t="s">
        <v>19</v>
      </c>
    </row>
    <row r="1304" spans="1:12" x14ac:dyDescent="0.3">
      <c r="A1304" s="1" t="s">
        <v>1465</v>
      </c>
      <c r="B1304" s="2">
        <v>45962</v>
      </c>
      <c r="C1304" s="2">
        <v>45993</v>
      </c>
      <c r="D1304" s="1" t="s">
        <v>23</v>
      </c>
      <c r="E1304" s="1" t="s">
        <v>14</v>
      </c>
      <c r="F1304" s="1" t="s">
        <v>15</v>
      </c>
      <c r="G1304" s="1" t="s">
        <v>16</v>
      </c>
      <c r="H1304" s="1" t="s">
        <v>43</v>
      </c>
      <c r="I1304" s="1" t="s">
        <v>41</v>
      </c>
      <c r="J1304">
        <v>15</v>
      </c>
      <c r="K1304">
        <v>31</v>
      </c>
      <c r="L1304" s="1" t="s">
        <v>21</v>
      </c>
    </row>
    <row r="1305" spans="1:12" x14ac:dyDescent="0.3">
      <c r="A1305" s="1" t="s">
        <v>1875</v>
      </c>
      <c r="B1305" s="2">
        <v>45962</v>
      </c>
      <c r="C1305" s="2">
        <v>45982</v>
      </c>
      <c r="D1305" s="1" t="s">
        <v>23</v>
      </c>
      <c r="E1305" s="1" t="s">
        <v>24</v>
      </c>
      <c r="F1305" s="1" t="s">
        <v>15</v>
      </c>
      <c r="G1305" s="1" t="s">
        <v>16</v>
      </c>
      <c r="H1305" s="1" t="s">
        <v>25</v>
      </c>
      <c r="I1305" s="1" t="s">
        <v>26</v>
      </c>
      <c r="J1305">
        <v>30</v>
      </c>
      <c r="K1305">
        <v>20</v>
      </c>
      <c r="L1305" s="1" t="s">
        <v>19</v>
      </c>
    </row>
    <row r="1306" spans="1:12" x14ac:dyDescent="0.3">
      <c r="A1306" s="1" t="s">
        <v>2107</v>
      </c>
      <c r="B1306" s="2">
        <v>45962</v>
      </c>
      <c r="C1306" s="2">
        <v>45995</v>
      </c>
      <c r="D1306" s="1" t="s">
        <v>28</v>
      </c>
      <c r="E1306" s="1" t="s">
        <v>24</v>
      </c>
      <c r="F1306" s="1" t="s">
        <v>15</v>
      </c>
      <c r="G1306" s="1" t="s">
        <v>16</v>
      </c>
      <c r="H1306" s="1" t="s">
        <v>54</v>
      </c>
      <c r="I1306" s="1" t="s">
        <v>41</v>
      </c>
      <c r="J1306">
        <v>30</v>
      </c>
      <c r="K1306">
        <v>33</v>
      </c>
      <c r="L1306" s="1" t="s">
        <v>21</v>
      </c>
    </row>
    <row r="1307" spans="1:12" x14ac:dyDescent="0.3">
      <c r="A1307" s="1" t="s">
        <v>2277</v>
      </c>
      <c r="B1307" s="2">
        <v>45962</v>
      </c>
      <c r="C1307" s="2">
        <v>45970</v>
      </c>
      <c r="D1307" s="1" t="s">
        <v>32</v>
      </c>
      <c r="E1307" s="1" t="s">
        <v>14</v>
      </c>
      <c r="F1307" s="1" t="s">
        <v>15</v>
      </c>
      <c r="G1307" s="1" t="s">
        <v>16</v>
      </c>
      <c r="H1307" s="1" t="s">
        <v>71</v>
      </c>
      <c r="I1307" s="1" t="s">
        <v>41</v>
      </c>
      <c r="J1307">
        <v>30</v>
      </c>
      <c r="K1307">
        <v>8</v>
      </c>
      <c r="L1307" s="1" t="s">
        <v>30</v>
      </c>
    </row>
    <row r="1308" spans="1:12" x14ac:dyDescent="0.3">
      <c r="A1308" s="1" t="s">
        <v>2602</v>
      </c>
      <c r="B1308" s="2">
        <v>45962</v>
      </c>
      <c r="C1308" s="2">
        <v>45983</v>
      </c>
      <c r="D1308" s="1" t="s">
        <v>13</v>
      </c>
      <c r="E1308" s="1" t="s">
        <v>14</v>
      </c>
      <c r="F1308" s="1" t="s">
        <v>15</v>
      </c>
      <c r="G1308" s="1" t="s">
        <v>16</v>
      </c>
      <c r="H1308" s="1" t="s">
        <v>47</v>
      </c>
      <c r="I1308" s="1" t="s">
        <v>41</v>
      </c>
      <c r="J1308">
        <v>30</v>
      </c>
      <c r="K1308">
        <v>21</v>
      </c>
      <c r="L1308" s="1" t="s">
        <v>19</v>
      </c>
    </row>
    <row r="1309" spans="1:12" x14ac:dyDescent="0.3">
      <c r="A1309" s="1" t="s">
        <v>301</v>
      </c>
      <c r="B1309" s="2">
        <v>45961</v>
      </c>
      <c r="C1309" s="2">
        <v>45991</v>
      </c>
      <c r="D1309" s="1" t="s">
        <v>23</v>
      </c>
      <c r="E1309" s="1" t="s">
        <v>24</v>
      </c>
      <c r="F1309" s="1" t="s">
        <v>15</v>
      </c>
      <c r="G1309" s="1" t="s">
        <v>16</v>
      </c>
      <c r="H1309" s="1" t="s">
        <v>43</v>
      </c>
      <c r="I1309" s="1" t="s">
        <v>26</v>
      </c>
      <c r="J1309">
        <v>30</v>
      </c>
      <c r="K1309">
        <v>30</v>
      </c>
      <c r="L1309" s="1" t="s">
        <v>21</v>
      </c>
    </row>
    <row r="1310" spans="1:12" x14ac:dyDescent="0.3">
      <c r="A1310" s="1" t="s">
        <v>1027</v>
      </c>
      <c r="B1310" s="2">
        <v>45961</v>
      </c>
      <c r="C1310" s="2">
        <v>45995</v>
      </c>
      <c r="D1310" s="1" t="s">
        <v>32</v>
      </c>
      <c r="E1310" s="1" t="s">
        <v>14</v>
      </c>
      <c r="F1310" s="1" t="s">
        <v>15</v>
      </c>
      <c r="G1310" s="1" t="s">
        <v>16</v>
      </c>
      <c r="H1310" s="1" t="s">
        <v>34</v>
      </c>
      <c r="I1310" s="1" t="s">
        <v>26</v>
      </c>
      <c r="J1310">
        <v>15</v>
      </c>
      <c r="K1310">
        <v>34</v>
      </c>
      <c r="L1310" s="1" t="s">
        <v>21</v>
      </c>
    </row>
    <row r="1311" spans="1:12" x14ac:dyDescent="0.3">
      <c r="A1311" s="1" t="s">
        <v>1160</v>
      </c>
      <c r="B1311" s="2">
        <v>45961</v>
      </c>
      <c r="C1311" s="2">
        <v>46005</v>
      </c>
      <c r="D1311" s="1" t="s">
        <v>13</v>
      </c>
      <c r="E1311" s="1" t="s">
        <v>24</v>
      </c>
      <c r="F1311" s="1" t="s">
        <v>15</v>
      </c>
      <c r="G1311" s="1" t="s">
        <v>16</v>
      </c>
      <c r="H1311" s="1" t="s">
        <v>17</v>
      </c>
      <c r="I1311" s="1" t="s">
        <v>41</v>
      </c>
      <c r="J1311">
        <v>30</v>
      </c>
      <c r="K1311">
        <v>44</v>
      </c>
      <c r="L1311" s="1" t="s">
        <v>44</v>
      </c>
    </row>
    <row r="1312" spans="1:12" x14ac:dyDescent="0.3">
      <c r="A1312" s="1" t="s">
        <v>1198</v>
      </c>
      <c r="B1312" s="2">
        <v>45961</v>
      </c>
      <c r="C1312" s="2">
        <v>45997</v>
      </c>
      <c r="D1312" s="1" t="s">
        <v>23</v>
      </c>
      <c r="E1312" s="1" t="s">
        <v>14</v>
      </c>
      <c r="F1312" s="1" t="s">
        <v>38</v>
      </c>
      <c r="G1312" s="1" t="s">
        <v>53</v>
      </c>
      <c r="H1312" s="1" t="s">
        <v>25</v>
      </c>
      <c r="I1312" s="1" t="s">
        <v>41</v>
      </c>
      <c r="J1312">
        <v>15</v>
      </c>
      <c r="K1312">
        <v>36</v>
      </c>
      <c r="L1312" s="1" t="s">
        <v>21</v>
      </c>
    </row>
    <row r="1313" spans="1:12" x14ac:dyDescent="0.3">
      <c r="A1313" s="1" t="s">
        <v>2232</v>
      </c>
      <c r="B1313" s="2">
        <v>45961</v>
      </c>
      <c r="C1313" s="2">
        <v>46019</v>
      </c>
      <c r="D1313" s="1" t="s">
        <v>37</v>
      </c>
      <c r="E1313" s="1" t="s">
        <v>24</v>
      </c>
      <c r="F1313" s="1" t="s">
        <v>15</v>
      </c>
      <c r="G1313" s="1" t="s">
        <v>16</v>
      </c>
      <c r="H1313" s="1" t="s">
        <v>39</v>
      </c>
      <c r="I1313" s="1" t="s">
        <v>41</v>
      </c>
      <c r="J1313">
        <v>30</v>
      </c>
      <c r="K1313">
        <v>58</v>
      </c>
      <c r="L1313" s="1" t="s">
        <v>80</v>
      </c>
    </row>
    <row r="1314" spans="1:12" x14ac:dyDescent="0.3">
      <c r="A1314" s="1" t="s">
        <v>2387</v>
      </c>
      <c r="B1314" s="2">
        <v>45961</v>
      </c>
      <c r="C1314" s="2">
        <v>45966</v>
      </c>
      <c r="D1314" s="1" t="s">
        <v>28</v>
      </c>
      <c r="E1314" s="1" t="s">
        <v>14</v>
      </c>
      <c r="F1314" s="1" t="s">
        <v>15</v>
      </c>
      <c r="G1314" s="1" t="s">
        <v>16</v>
      </c>
      <c r="H1314" s="1" t="s">
        <v>54</v>
      </c>
      <c r="I1314" s="1" t="s">
        <v>26</v>
      </c>
      <c r="J1314">
        <v>15</v>
      </c>
      <c r="K1314">
        <v>5</v>
      </c>
      <c r="L1314" s="1" t="s">
        <v>30</v>
      </c>
    </row>
    <row r="1315" spans="1:12" x14ac:dyDescent="0.3">
      <c r="A1315" s="1" t="s">
        <v>2506</v>
      </c>
      <c r="B1315" s="2">
        <v>45961</v>
      </c>
      <c r="C1315" s="2">
        <v>45968</v>
      </c>
      <c r="D1315" s="1" t="s">
        <v>13</v>
      </c>
      <c r="E1315" s="1" t="s">
        <v>14</v>
      </c>
      <c r="F1315" s="1" t="s">
        <v>15</v>
      </c>
      <c r="G1315" s="1" t="s">
        <v>16</v>
      </c>
      <c r="H1315" s="1" t="s">
        <v>17</v>
      </c>
      <c r="I1315" s="1" t="s">
        <v>18</v>
      </c>
      <c r="J1315">
        <v>15</v>
      </c>
      <c r="K1315">
        <v>7</v>
      </c>
      <c r="L1315" s="1" t="s">
        <v>30</v>
      </c>
    </row>
    <row r="1316" spans="1:12" x14ac:dyDescent="0.3">
      <c r="A1316" s="1" t="s">
        <v>283</v>
      </c>
      <c r="B1316" s="2">
        <v>45960</v>
      </c>
      <c r="C1316" s="2">
        <v>46002</v>
      </c>
      <c r="D1316" s="1" t="s">
        <v>28</v>
      </c>
      <c r="E1316" s="1" t="s">
        <v>14</v>
      </c>
      <c r="F1316" s="1" t="s">
        <v>15</v>
      </c>
      <c r="G1316" s="1" t="s">
        <v>16</v>
      </c>
      <c r="H1316" s="1" t="s">
        <v>54</v>
      </c>
      <c r="I1316" s="1" t="s">
        <v>26</v>
      </c>
      <c r="J1316">
        <v>15</v>
      </c>
      <c r="K1316">
        <v>42</v>
      </c>
      <c r="L1316" s="1" t="s">
        <v>21</v>
      </c>
    </row>
    <row r="1317" spans="1:12" x14ac:dyDescent="0.3">
      <c r="A1317" s="1" t="s">
        <v>1203</v>
      </c>
      <c r="B1317" s="2">
        <v>45960</v>
      </c>
      <c r="C1317" s="2">
        <v>45998</v>
      </c>
      <c r="D1317" s="1" t="s">
        <v>13</v>
      </c>
      <c r="E1317" s="1" t="s">
        <v>14</v>
      </c>
      <c r="F1317" s="1" t="s">
        <v>15</v>
      </c>
      <c r="G1317" s="1" t="s">
        <v>16</v>
      </c>
      <c r="H1317" s="1" t="s">
        <v>17</v>
      </c>
      <c r="I1317" s="1" t="s">
        <v>26</v>
      </c>
      <c r="J1317">
        <v>15</v>
      </c>
      <c r="K1317">
        <v>38</v>
      </c>
      <c r="L1317" s="1" t="s">
        <v>21</v>
      </c>
    </row>
    <row r="1318" spans="1:12" x14ac:dyDescent="0.3">
      <c r="A1318" s="1" t="s">
        <v>1900</v>
      </c>
      <c r="B1318" s="2">
        <v>45960</v>
      </c>
      <c r="C1318" s="2">
        <v>46011</v>
      </c>
      <c r="D1318" s="1" t="s">
        <v>37</v>
      </c>
      <c r="E1318" s="1" t="s">
        <v>24</v>
      </c>
      <c r="F1318" s="1" t="s">
        <v>38</v>
      </c>
      <c r="G1318" s="1" t="s">
        <v>16</v>
      </c>
      <c r="H1318" s="1" t="s">
        <v>49</v>
      </c>
      <c r="I1318" s="1" t="s">
        <v>18</v>
      </c>
      <c r="J1318">
        <v>45</v>
      </c>
      <c r="K1318">
        <v>51</v>
      </c>
      <c r="L1318" s="1" t="s">
        <v>44</v>
      </c>
    </row>
    <row r="1319" spans="1:12" x14ac:dyDescent="0.3">
      <c r="A1319" s="1" t="s">
        <v>1457</v>
      </c>
      <c r="B1319" s="2">
        <v>45960</v>
      </c>
      <c r="C1319" s="2">
        <v>45997</v>
      </c>
      <c r="D1319" s="1" t="s">
        <v>37</v>
      </c>
      <c r="E1319" s="1" t="s">
        <v>14</v>
      </c>
      <c r="F1319" s="1" t="s">
        <v>38</v>
      </c>
      <c r="G1319" s="1" t="s">
        <v>16</v>
      </c>
      <c r="H1319" s="1" t="s">
        <v>49</v>
      </c>
      <c r="I1319" s="1" t="s">
        <v>26</v>
      </c>
      <c r="J1319">
        <v>30</v>
      </c>
      <c r="K1319">
        <v>37</v>
      </c>
      <c r="L1319" s="1" t="s">
        <v>21</v>
      </c>
    </row>
    <row r="1320" spans="1:12" x14ac:dyDescent="0.3">
      <c r="A1320" s="1" t="s">
        <v>1670</v>
      </c>
      <c r="B1320" s="2">
        <v>45960</v>
      </c>
      <c r="C1320" s="2">
        <v>45981</v>
      </c>
      <c r="D1320" s="1" t="s">
        <v>23</v>
      </c>
      <c r="E1320" s="1" t="s">
        <v>24</v>
      </c>
      <c r="F1320" s="1" t="s">
        <v>38</v>
      </c>
      <c r="G1320" s="1" t="s">
        <v>16</v>
      </c>
      <c r="H1320" s="1" t="s">
        <v>43</v>
      </c>
      <c r="I1320" s="1" t="s">
        <v>26</v>
      </c>
      <c r="J1320">
        <v>30</v>
      </c>
      <c r="K1320">
        <v>21</v>
      </c>
      <c r="L1320" s="1" t="s">
        <v>19</v>
      </c>
    </row>
    <row r="1321" spans="1:12" x14ac:dyDescent="0.3">
      <c r="A1321" s="1" t="s">
        <v>1833</v>
      </c>
      <c r="B1321" s="2">
        <v>45960</v>
      </c>
      <c r="C1321" s="2">
        <v>45996</v>
      </c>
      <c r="D1321" s="1" t="s">
        <v>23</v>
      </c>
      <c r="E1321" s="1" t="s">
        <v>24</v>
      </c>
      <c r="F1321" s="1" t="s">
        <v>15</v>
      </c>
      <c r="G1321" s="1" t="s">
        <v>33</v>
      </c>
      <c r="H1321" s="1" t="s">
        <v>43</v>
      </c>
      <c r="I1321" s="1" t="s">
        <v>26</v>
      </c>
      <c r="J1321">
        <v>30</v>
      </c>
      <c r="K1321">
        <v>36</v>
      </c>
      <c r="L1321" s="1" t="s">
        <v>21</v>
      </c>
    </row>
    <row r="1322" spans="1:12" x14ac:dyDescent="0.3">
      <c r="A1322" s="1" t="s">
        <v>2079</v>
      </c>
      <c r="B1322" s="2">
        <v>45960</v>
      </c>
      <c r="C1322" s="2">
        <v>45987</v>
      </c>
      <c r="D1322" s="1" t="s">
        <v>32</v>
      </c>
      <c r="E1322" s="1" t="s">
        <v>24</v>
      </c>
      <c r="F1322" s="1" t="s">
        <v>15</v>
      </c>
      <c r="G1322" s="1" t="s">
        <v>16</v>
      </c>
      <c r="H1322" s="1" t="s">
        <v>71</v>
      </c>
      <c r="I1322" s="1" t="s">
        <v>41</v>
      </c>
      <c r="J1322">
        <v>45</v>
      </c>
      <c r="K1322">
        <v>27</v>
      </c>
      <c r="L1322" s="1" t="s">
        <v>19</v>
      </c>
    </row>
    <row r="1323" spans="1:12" x14ac:dyDescent="0.3">
      <c r="A1323" s="1" t="s">
        <v>2590</v>
      </c>
      <c r="B1323" s="2">
        <v>45960</v>
      </c>
      <c r="C1323" s="2">
        <v>46017</v>
      </c>
      <c r="D1323" s="1" t="s">
        <v>23</v>
      </c>
      <c r="E1323" s="1" t="s">
        <v>14</v>
      </c>
      <c r="F1323" s="1" t="s">
        <v>15</v>
      </c>
      <c r="G1323" s="1" t="s">
        <v>16</v>
      </c>
      <c r="H1323" s="1" t="s">
        <v>25</v>
      </c>
      <c r="I1323" s="1" t="s">
        <v>26</v>
      </c>
      <c r="J1323">
        <v>15</v>
      </c>
      <c r="K1323">
        <v>57</v>
      </c>
      <c r="L1323" s="1" t="s">
        <v>80</v>
      </c>
    </row>
    <row r="1324" spans="1:12" x14ac:dyDescent="0.3">
      <c r="A1324" s="1" t="s">
        <v>2795</v>
      </c>
      <c r="B1324" s="2">
        <v>45960</v>
      </c>
      <c r="C1324" s="2">
        <v>45995</v>
      </c>
      <c r="D1324" s="1" t="s">
        <v>28</v>
      </c>
      <c r="E1324" s="1" t="s">
        <v>14</v>
      </c>
      <c r="F1324" s="1" t="s">
        <v>15</v>
      </c>
      <c r="G1324" s="1" t="s">
        <v>16</v>
      </c>
      <c r="H1324" s="1" t="s">
        <v>54</v>
      </c>
      <c r="I1324" s="1" t="s">
        <v>18</v>
      </c>
      <c r="J1324">
        <v>15</v>
      </c>
      <c r="K1324">
        <v>35</v>
      </c>
      <c r="L1324" s="1" t="s">
        <v>21</v>
      </c>
    </row>
    <row r="1325" spans="1:12" x14ac:dyDescent="0.3">
      <c r="A1325" s="1" t="s">
        <v>466</v>
      </c>
      <c r="B1325" s="2">
        <v>45959</v>
      </c>
      <c r="C1325" s="2">
        <v>45989</v>
      </c>
      <c r="D1325" s="1" t="s">
        <v>32</v>
      </c>
      <c r="E1325" s="1" t="s">
        <v>14</v>
      </c>
      <c r="F1325" s="1" t="s">
        <v>15</v>
      </c>
      <c r="G1325" s="1" t="s">
        <v>16</v>
      </c>
      <c r="H1325" s="1" t="s">
        <v>34</v>
      </c>
      <c r="I1325" s="1" t="s">
        <v>18</v>
      </c>
      <c r="J1325">
        <v>30</v>
      </c>
      <c r="K1325">
        <v>30</v>
      </c>
      <c r="L1325" s="1" t="s">
        <v>21</v>
      </c>
    </row>
    <row r="1326" spans="1:12" x14ac:dyDescent="0.3">
      <c r="A1326" s="1" t="s">
        <v>719</v>
      </c>
      <c r="B1326" s="2">
        <v>45959</v>
      </c>
      <c r="C1326" s="2">
        <v>45993</v>
      </c>
      <c r="D1326" s="1" t="s">
        <v>32</v>
      </c>
      <c r="E1326" s="1" t="s">
        <v>24</v>
      </c>
      <c r="F1326" s="1" t="s">
        <v>38</v>
      </c>
      <c r="G1326" s="1" t="s">
        <v>16</v>
      </c>
      <c r="H1326" s="1" t="s">
        <v>34</v>
      </c>
      <c r="I1326" s="1" t="s">
        <v>18</v>
      </c>
      <c r="J1326">
        <v>45</v>
      </c>
      <c r="K1326">
        <v>34</v>
      </c>
      <c r="L1326" s="1" t="s">
        <v>21</v>
      </c>
    </row>
    <row r="1327" spans="1:12" x14ac:dyDescent="0.3">
      <c r="A1327" s="1" t="s">
        <v>307</v>
      </c>
      <c r="B1327" s="2">
        <v>45959</v>
      </c>
      <c r="C1327" s="2">
        <v>46006</v>
      </c>
      <c r="D1327" s="1" t="s">
        <v>37</v>
      </c>
      <c r="E1327" s="1" t="s">
        <v>24</v>
      </c>
      <c r="F1327" s="1" t="s">
        <v>38</v>
      </c>
      <c r="G1327" s="1" t="s">
        <v>16</v>
      </c>
      <c r="H1327" s="1" t="s">
        <v>49</v>
      </c>
      <c r="I1327" s="1" t="s">
        <v>18</v>
      </c>
      <c r="J1327">
        <v>45</v>
      </c>
      <c r="K1327">
        <v>47</v>
      </c>
      <c r="L1327" s="1" t="s">
        <v>44</v>
      </c>
    </row>
    <row r="1328" spans="1:12" x14ac:dyDescent="0.3">
      <c r="A1328" s="1" t="s">
        <v>3117</v>
      </c>
      <c r="B1328" s="2">
        <v>45959</v>
      </c>
      <c r="C1328" s="2">
        <v>45999</v>
      </c>
      <c r="D1328" s="1" t="s">
        <v>37</v>
      </c>
      <c r="E1328" s="1" t="s">
        <v>24</v>
      </c>
      <c r="F1328" s="1" t="s">
        <v>15</v>
      </c>
      <c r="G1328" s="1" t="s">
        <v>16</v>
      </c>
      <c r="H1328" s="1" t="s">
        <v>39</v>
      </c>
      <c r="I1328" s="1" t="s">
        <v>26</v>
      </c>
      <c r="J1328">
        <v>30</v>
      </c>
      <c r="K1328">
        <v>40</v>
      </c>
      <c r="L1328" s="1" t="s">
        <v>21</v>
      </c>
    </row>
    <row r="1329" spans="1:12" x14ac:dyDescent="0.3">
      <c r="A1329" s="1" t="s">
        <v>2771</v>
      </c>
      <c r="B1329" s="2">
        <v>45959</v>
      </c>
      <c r="C1329" s="2">
        <v>45991</v>
      </c>
      <c r="D1329" s="1" t="s">
        <v>37</v>
      </c>
      <c r="E1329" s="1" t="s">
        <v>24</v>
      </c>
      <c r="F1329" s="1" t="s">
        <v>38</v>
      </c>
      <c r="G1329" s="1" t="s">
        <v>53</v>
      </c>
      <c r="H1329" s="1" t="s">
        <v>49</v>
      </c>
      <c r="I1329" s="1" t="s">
        <v>18</v>
      </c>
      <c r="J1329">
        <v>30</v>
      </c>
      <c r="K1329">
        <v>32</v>
      </c>
      <c r="L1329" s="1" t="s">
        <v>21</v>
      </c>
    </row>
    <row r="1330" spans="1:12" x14ac:dyDescent="0.3">
      <c r="A1330" s="1" t="s">
        <v>1802</v>
      </c>
      <c r="B1330" s="2">
        <v>45959</v>
      </c>
      <c r="C1330" s="2">
        <v>46007</v>
      </c>
      <c r="D1330" s="1" t="s">
        <v>32</v>
      </c>
      <c r="E1330" s="1" t="s">
        <v>14</v>
      </c>
      <c r="F1330" s="1" t="s">
        <v>15</v>
      </c>
      <c r="G1330" s="1" t="s">
        <v>16</v>
      </c>
      <c r="H1330" s="1" t="s">
        <v>34</v>
      </c>
      <c r="I1330" s="1" t="s">
        <v>18</v>
      </c>
      <c r="J1330">
        <v>15</v>
      </c>
      <c r="K1330">
        <v>48</v>
      </c>
      <c r="L1330" s="1" t="s">
        <v>44</v>
      </c>
    </row>
    <row r="1331" spans="1:12" x14ac:dyDescent="0.3">
      <c r="A1331" s="1" t="s">
        <v>2165</v>
      </c>
      <c r="B1331" s="2">
        <v>45959</v>
      </c>
      <c r="C1331" s="2">
        <v>45996</v>
      </c>
      <c r="D1331" s="1" t="s">
        <v>32</v>
      </c>
      <c r="E1331" s="1" t="s">
        <v>14</v>
      </c>
      <c r="F1331" s="1" t="s">
        <v>15</v>
      </c>
      <c r="G1331" s="1" t="s">
        <v>16</v>
      </c>
      <c r="H1331" s="1" t="s">
        <v>34</v>
      </c>
      <c r="I1331" s="1" t="s">
        <v>18</v>
      </c>
      <c r="J1331">
        <v>15</v>
      </c>
      <c r="K1331">
        <v>37</v>
      </c>
      <c r="L1331" s="1" t="s">
        <v>21</v>
      </c>
    </row>
    <row r="1332" spans="1:12" x14ac:dyDescent="0.3">
      <c r="A1332" s="1" t="s">
        <v>2761</v>
      </c>
      <c r="B1332" s="2">
        <v>45959</v>
      </c>
      <c r="C1332" s="2">
        <v>45987</v>
      </c>
      <c r="D1332" s="1" t="s">
        <v>13</v>
      </c>
      <c r="E1332" s="1" t="s">
        <v>24</v>
      </c>
      <c r="F1332" s="1" t="s">
        <v>15</v>
      </c>
      <c r="G1332" s="1" t="s">
        <v>16</v>
      </c>
      <c r="H1332" s="1" t="s">
        <v>47</v>
      </c>
      <c r="I1332" s="1" t="s">
        <v>26</v>
      </c>
      <c r="J1332">
        <v>30</v>
      </c>
      <c r="K1332">
        <v>28</v>
      </c>
      <c r="L1332" s="1" t="s">
        <v>19</v>
      </c>
    </row>
    <row r="1333" spans="1:12" x14ac:dyDescent="0.3">
      <c r="A1333" s="1" t="s">
        <v>3179</v>
      </c>
      <c r="B1333" s="2">
        <v>45959</v>
      </c>
      <c r="C1333" s="2">
        <v>46006</v>
      </c>
      <c r="D1333" s="1" t="s">
        <v>23</v>
      </c>
      <c r="E1333" s="1" t="s">
        <v>24</v>
      </c>
      <c r="F1333" s="1" t="s">
        <v>15</v>
      </c>
      <c r="G1333" s="1" t="s">
        <v>16</v>
      </c>
      <c r="H1333" s="1" t="s">
        <v>43</v>
      </c>
      <c r="I1333" s="1" t="s">
        <v>26</v>
      </c>
      <c r="J1333">
        <v>45</v>
      </c>
      <c r="K1333">
        <v>47</v>
      </c>
      <c r="L1333" s="1" t="s">
        <v>44</v>
      </c>
    </row>
    <row r="1334" spans="1:12" x14ac:dyDescent="0.3">
      <c r="A1334" s="1" t="s">
        <v>269</v>
      </c>
      <c r="B1334" s="2">
        <v>45958</v>
      </c>
      <c r="C1334" s="2">
        <v>45964</v>
      </c>
      <c r="D1334" s="1" t="s">
        <v>28</v>
      </c>
      <c r="E1334" s="1" t="s">
        <v>24</v>
      </c>
      <c r="F1334" s="1" t="s">
        <v>15</v>
      </c>
      <c r="G1334" s="1" t="s">
        <v>16</v>
      </c>
      <c r="H1334" s="1" t="s">
        <v>54</v>
      </c>
      <c r="I1334" s="1" t="s">
        <v>18</v>
      </c>
      <c r="J1334">
        <v>45</v>
      </c>
      <c r="K1334">
        <v>6</v>
      </c>
      <c r="L1334" s="1" t="s">
        <v>30</v>
      </c>
    </row>
    <row r="1335" spans="1:12" x14ac:dyDescent="0.3">
      <c r="A1335" s="1" t="s">
        <v>577</v>
      </c>
      <c r="B1335" s="2">
        <v>45958</v>
      </c>
      <c r="C1335" s="2">
        <v>45994</v>
      </c>
      <c r="D1335" s="1" t="s">
        <v>13</v>
      </c>
      <c r="E1335" s="1" t="s">
        <v>14</v>
      </c>
      <c r="F1335" s="1" t="s">
        <v>38</v>
      </c>
      <c r="G1335" s="1" t="s">
        <v>33</v>
      </c>
      <c r="H1335" s="1" t="s">
        <v>47</v>
      </c>
      <c r="I1335" s="1" t="s">
        <v>18</v>
      </c>
      <c r="J1335">
        <v>30</v>
      </c>
      <c r="K1335">
        <v>36</v>
      </c>
      <c r="L1335" s="1" t="s">
        <v>21</v>
      </c>
    </row>
    <row r="1336" spans="1:12" x14ac:dyDescent="0.3">
      <c r="A1336" s="1" t="s">
        <v>639</v>
      </c>
      <c r="B1336" s="2">
        <v>45958</v>
      </c>
      <c r="C1336" s="2">
        <v>45998</v>
      </c>
      <c r="D1336" s="1" t="s">
        <v>32</v>
      </c>
      <c r="E1336" s="1" t="s">
        <v>24</v>
      </c>
      <c r="F1336" s="1" t="s">
        <v>15</v>
      </c>
      <c r="G1336" s="1" t="s">
        <v>16</v>
      </c>
      <c r="H1336" s="1" t="s">
        <v>34</v>
      </c>
      <c r="I1336" s="1" t="s">
        <v>26</v>
      </c>
      <c r="J1336">
        <v>30</v>
      </c>
      <c r="K1336">
        <v>40</v>
      </c>
      <c r="L1336" s="1" t="s">
        <v>21</v>
      </c>
    </row>
    <row r="1337" spans="1:12" x14ac:dyDescent="0.3">
      <c r="A1337" s="1" t="s">
        <v>972</v>
      </c>
      <c r="B1337" s="2">
        <v>45958</v>
      </c>
      <c r="C1337" s="2">
        <v>45992</v>
      </c>
      <c r="D1337" s="1" t="s">
        <v>37</v>
      </c>
      <c r="E1337" s="1" t="s">
        <v>14</v>
      </c>
      <c r="F1337" s="1" t="s">
        <v>15</v>
      </c>
      <c r="G1337" s="1" t="s">
        <v>16</v>
      </c>
      <c r="H1337" s="1" t="s">
        <v>49</v>
      </c>
      <c r="I1337" s="1" t="s">
        <v>18</v>
      </c>
      <c r="J1337">
        <v>15</v>
      </c>
      <c r="K1337">
        <v>34</v>
      </c>
      <c r="L1337" s="1" t="s">
        <v>21</v>
      </c>
    </row>
    <row r="1338" spans="1:12" x14ac:dyDescent="0.3">
      <c r="A1338" s="1" t="s">
        <v>1669</v>
      </c>
      <c r="B1338" s="2">
        <v>45958</v>
      </c>
      <c r="C1338" s="2">
        <v>45975</v>
      </c>
      <c r="D1338" s="1" t="s">
        <v>37</v>
      </c>
      <c r="E1338" s="1" t="s">
        <v>24</v>
      </c>
      <c r="F1338" s="1" t="s">
        <v>15</v>
      </c>
      <c r="G1338" s="1" t="s">
        <v>16</v>
      </c>
      <c r="H1338" s="1" t="s">
        <v>49</v>
      </c>
      <c r="I1338" s="1" t="s">
        <v>26</v>
      </c>
      <c r="J1338">
        <v>45</v>
      </c>
      <c r="K1338">
        <v>17</v>
      </c>
      <c r="L1338" s="1" t="s">
        <v>19</v>
      </c>
    </row>
    <row r="1339" spans="1:12" x14ac:dyDescent="0.3">
      <c r="A1339" s="1" t="s">
        <v>2603</v>
      </c>
      <c r="B1339" s="2">
        <v>45958</v>
      </c>
      <c r="C1339" s="2">
        <v>45981</v>
      </c>
      <c r="D1339" s="1" t="s">
        <v>13</v>
      </c>
      <c r="E1339" s="1" t="s">
        <v>14</v>
      </c>
      <c r="F1339" s="1" t="s">
        <v>15</v>
      </c>
      <c r="G1339" s="1" t="s">
        <v>16</v>
      </c>
      <c r="H1339" s="1" t="s">
        <v>17</v>
      </c>
      <c r="I1339" s="1" t="s">
        <v>18</v>
      </c>
      <c r="J1339">
        <v>30</v>
      </c>
      <c r="K1339">
        <v>23</v>
      </c>
      <c r="L1339" s="1" t="s">
        <v>19</v>
      </c>
    </row>
    <row r="1340" spans="1:12" x14ac:dyDescent="0.3">
      <c r="A1340" s="1" t="s">
        <v>2668</v>
      </c>
      <c r="B1340" s="2">
        <v>45958</v>
      </c>
      <c r="C1340" s="2">
        <v>45999</v>
      </c>
      <c r="D1340" s="1" t="s">
        <v>28</v>
      </c>
      <c r="E1340" s="1" t="s">
        <v>14</v>
      </c>
      <c r="F1340" s="1" t="s">
        <v>15</v>
      </c>
      <c r="G1340" s="1" t="s">
        <v>53</v>
      </c>
      <c r="H1340" s="1" t="s">
        <v>29</v>
      </c>
      <c r="I1340" s="1" t="s">
        <v>41</v>
      </c>
      <c r="J1340">
        <v>15</v>
      </c>
      <c r="K1340">
        <v>41</v>
      </c>
      <c r="L1340" s="1" t="s">
        <v>21</v>
      </c>
    </row>
    <row r="1341" spans="1:12" x14ac:dyDescent="0.3">
      <c r="A1341" s="1" t="s">
        <v>2721</v>
      </c>
      <c r="B1341" s="2">
        <v>45958</v>
      </c>
      <c r="C1341" s="2">
        <v>45991</v>
      </c>
      <c r="D1341" s="1" t="s">
        <v>13</v>
      </c>
      <c r="E1341" s="1" t="s">
        <v>14</v>
      </c>
      <c r="F1341" s="1" t="s">
        <v>15</v>
      </c>
      <c r="G1341" s="1" t="s">
        <v>16</v>
      </c>
      <c r="H1341" s="1" t="s">
        <v>17</v>
      </c>
      <c r="I1341" s="1" t="s">
        <v>18</v>
      </c>
      <c r="J1341">
        <v>15</v>
      </c>
      <c r="K1341">
        <v>33</v>
      </c>
      <c r="L1341" s="1" t="s">
        <v>21</v>
      </c>
    </row>
    <row r="1342" spans="1:12" x14ac:dyDescent="0.3">
      <c r="A1342" s="1" t="s">
        <v>170</v>
      </c>
      <c r="B1342" s="2">
        <v>45957</v>
      </c>
      <c r="C1342" s="2">
        <v>45989</v>
      </c>
      <c r="D1342" s="1" t="s">
        <v>37</v>
      </c>
      <c r="E1342" s="1" t="s">
        <v>24</v>
      </c>
      <c r="F1342" s="1" t="s">
        <v>15</v>
      </c>
      <c r="G1342" s="1" t="s">
        <v>16</v>
      </c>
      <c r="H1342" s="1" t="s">
        <v>49</v>
      </c>
      <c r="I1342" s="1" t="s">
        <v>41</v>
      </c>
      <c r="J1342">
        <v>30</v>
      </c>
      <c r="K1342">
        <v>32</v>
      </c>
      <c r="L1342" s="1" t="s">
        <v>21</v>
      </c>
    </row>
    <row r="1343" spans="1:12" x14ac:dyDescent="0.3">
      <c r="A1343" s="1" t="s">
        <v>1386</v>
      </c>
      <c r="B1343" s="2">
        <v>45957</v>
      </c>
      <c r="C1343" s="2">
        <v>45982</v>
      </c>
      <c r="D1343" s="1" t="s">
        <v>23</v>
      </c>
      <c r="E1343" s="1" t="s">
        <v>24</v>
      </c>
      <c r="F1343" s="1" t="s">
        <v>15</v>
      </c>
      <c r="G1343" s="1" t="s">
        <v>16</v>
      </c>
      <c r="H1343" s="1" t="s">
        <v>25</v>
      </c>
      <c r="I1343" s="1" t="s">
        <v>18</v>
      </c>
      <c r="J1343">
        <v>30</v>
      </c>
      <c r="K1343">
        <v>25</v>
      </c>
      <c r="L1343" s="1" t="s">
        <v>19</v>
      </c>
    </row>
    <row r="1344" spans="1:12" x14ac:dyDescent="0.3">
      <c r="A1344" s="1" t="s">
        <v>1807</v>
      </c>
      <c r="B1344" s="2">
        <v>45957</v>
      </c>
      <c r="C1344" s="2">
        <v>46008</v>
      </c>
      <c r="D1344" s="1" t="s">
        <v>23</v>
      </c>
      <c r="E1344" s="1" t="s">
        <v>24</v>
      </c>
      <c r="F1344" s="1" t="s">
        <v>15</v>
      </c>
      <c r="G1344" s="1" t="s">
        <v>33</v>
      </c>
      <c r="H1344" s="1" t="s">
        <v>43</v>
      </c>
      <c r="I1344" s="1" t="s">
        <v>41</v>
      </c>
      <c r="J1344">
        <v>30</v>
      </c>
      <c r="K1344">
        <v>51</v>
      </c>
      <c r="L1344" s="1" t="s">
        <v>44</v>
      </c>
    </row>
    <row r="1345" spans="1:12" x14ac:dyDescent="0.3">
      <c r="A1345" s="1" t="s">
        <v>1939</v>
      </c>
      <c r="B1345" s="2">
        <v>45957</v>
      </c>
      <c r="C1345" s="2">
        <v>45996</v>
      </c>
      <c r="D1345" s="1" t="s">
        <v>28</v>
      </c>
      <c r="E1345" s="1" t="s">
        <v>14</v>
      </c>
      <c r="F1345" s="1" t="s">
        <v>15</v>
      </c>
      <c r="G1345" s="1" t="s">
        <v>16</v>
      </c>
      <c r="H1345" s="1" t="s">
        <v>54</v>
      </c>
      <c r="I1345" s="1" t="s">
        <v>26</v>
      </c>
      <c r="J1345">
        <v>15</v>
      </c>
      <c r="K1345">
        <v>39</v>
      </c>
      <c r="L1345" s="1" t="s">
        <v>21</v>
      </c>
    </row>
    <row r="1346" spans="1:12" x14ac:dyDescent="0.3">
      <c r="A1346" s="1" t="s">
        <v>2289</v>
      </c>
      <c r="B1346" s="2">
        <v>45957</v>
      </c>
      <c r="C1346" s="2">
        <v>45977</v>
      </c>
      <c r="D1346" s="1" t="s">
        <v>13</v>
      </c>
      <c r="E1346" s="1" t="s">
        <v>24</v>
      </c>
      <c r="F1346" s="1" t="s">
        <v>15</v>
      </c>
      <c r="G1346" s="1" t="s">
        <v>33</v>
      </c>
      <c r="H1346" s="1" t="s">
        <v>17</v>
      </c>
      <c r="I1346" s="1" t="s">
        <v>41</v>
      </c>
      <c r="J1346">
        <v>30</v>
      </c>
      <c r="K1346">
        <v>20</v>
      </c>
      <c r="L1346" s="1" t="s">
        <v>19</v>
      </c>
    </row>
    <row r="1347" spans="1:12" x14ac:dyDescent="0.3">
      <c r="A1347" s="1" t="s">
        <v>2572</v>
      </c>
      <c r="B1347" s="2">
        <v>45957</v>
      </c>
      <c r="C1347" s="2">
        <v>46005</v>
      </c>
      <c r="D1347" s="1" t="s">
        <v>28</v>
      </c>
      <c r="E1347" s="1" t="s">
        <v>14</v>
      </c>
      <c r="F1347" s="1" t="s">
        <v>15</v>
      </c>
      <c r="G1347" s="1" t="s">
        <v>16</v>
      </c>
      <c r="H1347" s="1" t="s">
        <v>54</v>
      </c>
      <c r="I1347" s="1" t="s">
        <v>26</v>
      </c>
      <c r="J1347">
        <v>30</v>
      </c>
      <c r="K1347">
        <v>48</v>
      </c>
      <c r="L1347" s="1" t="s">
        <v>44</v>
      </c>
    </row>
    <row r="1348" spans="1:12" x14ac:dyDescent="0.3">
      <c r="A1348" s="1" t="s">
        <v>2779</v>
      </c>
      <c r="B1348" s="2">
        <v>45957</v>
      </c>
      <c r="C1348" s="2">
        <v>45987</v>
      </c>
      <c r="D1348" s="1" t="s">
        <v>28</v>
      </c>
      <c r="E1348" s="1" t="s">
        <v>24</v>
      </c>
      <c r="F1348" s="1" t="s">
        <v>15</v>
      </c>
      <c r="G1348" s="1" t="s">
        <v>16</v>
      </c>
      <c r="H1348" s="1" t="s">
        <v>54</v>
      </c>
      <c r="I1348" s="1" t="s">
        <v>26</v>
      </c>
      <c r="J1348">
        <v>30</v>
      </c>
      <c r="K1348">
        <v>30</v>
      </c>
      <c r="L1348" s="1" t="s">
        <v>21</v>
      </c>
    </row>
    <row r="1349" spans="1:12" x14ac:dyDescent="0.3">
      <c r="A1349" s="1" t="s">
        <v>329</v>
      </c>
      <c r="B1349" s="2">
        <v>45956</v>
      </c>
      <c r="C1349" s="2">
        <v>45970</v>
      </c>
      <c r="D1349" s="1" t="s">
        <v>32</v>
      </c>
      <c r="E1349" s="1" t="s">
        <v>14</v>
      </c>
      <c r="F1349" s="1" t="s">
        <v>15</v>
      </c>
      <c r="G1349" s="1" t="s">
        <v>33</v>
      </c>
      <c r="H1349" s="1" t="s">
        <v>34</v>
      </c>
      <c r="I1349" s="1" t="s">
        <v>18</v>
      </c>
      <c r="J1349">
        <v>30</v>
      </c>
      <c r="K1349">
        <v>14</v>
      </c>
      <c r="L1349" s="1" t="s">
        <v>30</v>
      </c>
    </row>
    <row r="1350" spans="1:12" x14ac:dyDescent="0.3">
      <c r="A1350" s="1" t="s">
        <v>964</v>
      </c>
      <c r="B1350" s="2">
        <v>45956</v>
      </c>
      <c r="C1350" s="2">
        <v>45975</v>
      </c>
      <c r="D1350" s="1" t="s">
        <v>13</v>
      </c>
      <c r="E1350" s="1" t="s">
        <v>14</v>
      </c>
      <c r="F1350" s="1" t="s">
        <v>15</v>
      </c>
      <c r="G1350" s="1" t="s">
        <v>16</v>
      </c>
      <c r="H1350" s="1" t="s">
        <v>47</v>
      </c>
      <c r="I1350" s="1" t="s">
        <v>18</v>
      </c>
      <c r="J1350">
        <v>30</v>
      </c>
      <c r="K1350">
        <v>19</v>
      </c>
      <c r="L1350" s="1" t="s">
        <v>19</v>
      </c>
    </row>
    <row r="1351" spans="1:12" x14ac:dyDescent="0.3">
      <c r="A1351" s="1" t="s">
        <v>750</v>
      </c>
      <c r="B1351" s="2">
        <v>45956</v>
      </c>
      <c r="C1351" s="2">
        <v>45987</v>
      </c>
      <c r="D1351" s="1" t="s">
        <v>37</v>
      </c>
      <c r="E1351" s="1" t="s">
        <v>24</v>
      </c>
      <c r="F1351" s="1" t="s">
        <v>15</v>
      </c>
      <c r="G1351" s="1" t="s">
        <v>16</v>
      </c>
      <c r="H1351" s="1" t="s">
        <v>49</v>
      </c>
      <c r="I1351" s="1" t="s">
        <v>26</v>
      </c>
      <c r="J1351">
        <v>30</v>
      </c>
      <c r="K1351">
        <v>31</v>
      </c>
      <c r="L1351" s="1" t="s">
        <v>21</v>
      </c>
    </row>
    <row r="1352" spans="1:12" x14ac:dyDescent="0.3">
      <c r="A1352" s="1" t="s">
        <v>1020</v>
      </c>
      <c r="B1352" s="2">
        <v>45956</v>
      </c>
      <c r="C1352" s="2">
        <v>45961</v>
      </c>
      <c r="D1352" s="1" t="s">
        <v>37</v>
      </c>
      <c r="E1352" s="1" t="s">
        <v>14</v>
      </c>
      <c r="F1352" s="1" t="s">
        <v>38</v>
      </c>
      <c r="G1352" s="1" t="s">
        <v>53</v>
      </c>
      <c r="H1352" s="1" t="s">
        <v>49</v>
      </c>
      <c r="I1352" s="1" t="s">
        <v>26</v>
      </c>
      <c r="J1352">
        <v>15</v>
      </c>
      <c r="K1352">
        <v>5</v>
      </c>
      <c r="L1352" s="1" t="s">
        <v>30</v>
      </c>
    </row>
    <row r="1353" spans="1:12" x14ac:dyDescent="0.3">
      <c r="A1353" s="1" t="s">
        <v>1497</v>
      </c>
      <c r="B1353" s="2">
        <v>45956</v>
      </c>
      <c r="C1353" s="2">
        <v>46008</v>
      </c>
      <c r="D1353" s="1" t="s">
        <v>28</v>
      </c>
      <c r="E1353" s="1" t="s">
        <v>14</v>
      </c>
      <c r="F1353" s="1" t="s">
        <v>15</v>
      </c>
      <c r="G1353" s="1" t="s">
        <v>16</v>
      </c>
      <c r="H1353" s="1" t="s">
        <v>29</v>
      </c>
      <c r="I1353" s="1" t="s">
        <v>41</v>
      </c>
      <c r="J1353">
        <v>30</v>
      </c>
      <c r="K1353">
        <v>52</v>
      </c>
      <c r="L1353" s="1" t="s">
        <v>44</v>
      </c>
    </row>
    <row r="1354" spans="1:12" x14ac:dyDescent="0.3">
      <c r="A1354" s="1" t="s">
        <v>1673</v>
      </c>
      <c r="B1354" s="2">
        <v>45956</v>
      </c>
      <c r="C1354" s="2">
        <v>45965</v>
      </c>
      <c r="D1354" s="1" t="s">
        <v>28</v>
      </c>
      <c r="E1354" s="1" t="s">
        <v>14</v>
      </c>
      <c r="F1354" s="1" t="s">
        <v>15</v>
      </c>
      <c r="G1354" s="1" t="s">
        <v>33</v>
      </c>
      <c r="H1354" s="1" t="s">
        <v>54</v>
      </c>
      <c r="I1354" s="1" t="s">
        <v>26</v>
      </c>
      <c r="J1354">
        <v>15</v>
      </c>
      <c r="K1354">
        <v>9</v>
      </c>
      <c r="L1354" s="1" t="s">
        <v>30</v>
      </c>
    </row>
    <row r="1355" spans="1:12" x14ac:dyDescent="0.3">
      <c r="A1355" s="1" t="s">
        <v>157</v>
      </c>
      <c r="B1355" s="2">
        <v>45955</v>
      </c>
      <c r="C1355" s="2">
        <v>45960</v>
      </c>
      <c r="D1355" s="1" t="s">
        <v>13</v>
      </c>
      <c r="E1355" s="1" t="s">
        <v>14</v>
      </c>
      <c r="F1355" s="1" t="s">
        <v>15</v>
      </c>
      <c r="G1355" s="1" t="s">
        <v>53</v>
      </c>
      <c r="H1355" s="1" t="s">
        <v>17</v>
      </c>
      <c r="I1355" s="1" t="s">
        <v>26</v>
      </c>
      <c r="J1355">
        <v>15</v>
      </c>
      <c r="K1355">
        <v>5</v>
      </c>
      <c r="L1355" s="1" t="s">
        <v>30</v>
      </c>
    </row>
    <row r="1356" spans="1:12" x14ac:dyDescent="0.3">
      <c r="A1356" s="1" t="s">
        <v>612</v>
      </c>
      <c r="B1356" s="2">
        <v>45955</v>
      </c>
      <c r="C1356" s="2">
        <v>46009</v>
      </c>
      <c r="D1356" s="1" t="s">
        <v>13</v>
      </c>
      <c r="E1356" s="1" t="s">
        <v>24</v>
      </c>
      <c r="F1356" s="1" t="s">
        <v>15</v>
      </c>
      <c r="G1356" s="1" t="s">
        <v>16</v>
      </c>
      <c r="H1356" s="1" t="s">
        <v>47</v>
      </c>
      <c r="I1356" s="1" t="s">
        <v>18</v>
      </c>
      <c r="J1356">
        <v>30</v>
      </c>
      <c r="K1356">
        <v>54</v>
      </c>
      <c r="L1356" s="1" t="s">
        <v>44</v>
      </c>
    </row>
    <row r="1357" spans="1:12" x14ac:dyDescent="0.3">
      <c r="A1357" s="1" t="s">
        <v>1586</v>
      </c>
      <c r="B1357" s="2">
        <v>45955</v>
      </c>
      <c r="C1357" s="2">
        <v>46008</v>
      </c>
      <c r="D1357" s="1" t="s">
        <v>28</v>
      </c>
      <c r="E1357" s="1" t="s">
        <v>14</v>
      </c>
      <c r="F1357" s="1" t="s">
        <v>15</v>
      </c>
      <c r="G1357" s="1" t="s">
        <v>16</v>
      </c>
      <c r="H1357" s="1" t="s">
        <v>54</v>
      </c>
      <c r="I1357" s="1" t="s">
        <v>26</v>
      </c>
      <c r="J1357">
        <v>15</v>
      </c>
      <c r="K1357">
        <v>53</v>
      </c>
      <c r="L1357" s="1" t="s">
        <v>44</v>
      </c>
    </row>
    <row r="1358" spans="1:12" x14ac:dyDescent="0.3">
      <c r="A1358" s="1" t="s">
        <v>1770</v>
      </c>
      <c r="B1358" s="2">
        <v>45955</v>
      </c>
      <c r="C1358" s="2">
        <v>46009</v>
      </c>
      <c r="D1358" s="1" t="s">
        <v>23</v>
      </c>
      <c r="E1358" s="1" t="s">
        <v>14</v>
      </c>
      <c r="F1358" s="1" t="s">
        <v>15</v>
      </c>
      <c r="G1358" s="1" t="s">
        <v>16</v>
      </c>
      <c r="H1358" s="1" t="s">
        <v>43</v>
      </c>
      <c r="I1358" s="1" t="s">
        <v>26</v>
      </c>
      <c r="J1358">
        <v>15</v>
      </c>
      <c r="K1358">
        <v>54</v>
      </c>
      <c r="L1358" s="1" t="s">
        <v>44</v>
      </c>
    </row>
    <row r="1359" spans="1:12" x14ac:dyDescent="0.3">
      <c r="A1359" s="1" t="s">
        <v>1801</v>
      </c>
      <c r="B1359" s="2">
        <v>45955</v>
      </c>
      <c r="C1359" s="2">
        <v>46010</v>
      </c>
      <c r="D1359" s="1" t="s">
        <v>23</v>
      </c>
      <c r="E1359" s="1" t="s">
        <v>24</v>
      </c>
      <c r="F1359" s="1" t="s">
        <v>38</v>
      </c>
      <c r="G1359" s="1" t="s">
        <v>33</v>
      </c>
      <c r="H1359" s="1" t="s">
        <v>25</v>
      </c>
      <c r="I1359" s="1" t="s">
        <v>18</v>
      </c>
      <c r="J1359">
        <v>30</v>
      </c>
      <c r="K1359">
        <v>55</v>
      </c>
      <c r="L1359" s="1" t="s">
        <v>44</v>
      </c>
    </row>
    <row r="1360" spans="1:12" x14ac:dyDescent="0.3">
      <c r="A1360" s="1" t="s">
        <v>2241</v>
      </c>
      <c r="B1360" s="2">
        <v>45955</v>
      </c>
      <c r="C1360" s="2">
        <v>45997</v>
      </c>
      <c r="D1360" s="1" t="s">
        <v>13</v>
      </c>
      <c r="E1360" s="1" t="s">
        <v>14</v>
      </c>
      <c r="F1360" s="1" t="s">
        <v>15</v>
      </c>
      <c r="G1360" s="1" t="s">
        <v>33</v>
      </c>
      <c r="H1360" s="1" t="s">
        <v>17</v>
      </c>
      <c r="I1360" s="1" t="s">
        <v>18</v>
      </c>
      <c r="J1360">
        <v>15</v>
      </c>
      <c r="K1360">
        <v>42</v>
      </c>
      <c r="L1360" s="1" t="s">
        <v>21</v>
      </c>
    </row>
    <row r="1361" spans="1:12" x14ac:dyDescent="0.3">
      <c r="A1361" s="1" t="s">
        <v>2345</v>
      </c>
      <c r="B1361" s="2">
        <v>45955</v>
      </c>
      <c r="C1361" s="2">
        <v>45968</v>
      </c>
      <c r="D1361" s="1" t="s">
        <v>13</v>
      </c>
      <c r="E1361" s="1" t="s">
        <v>14</v>
      </c>
      <c r="F1361" s="1" t="s">
        <v>15</v>
      </c>
      <c r="G1361" s="1" t="s">
        <v>16</v>
      </c>
      <c r="H1361" s="1" t="s">
        <v>17</v>
      </c>
      <c r="I1361" s="1" t="s">
        <v>26</v>
      </c>
      <c r="J1361">
        <v>15</v>
      </c>
      <c r="K1361">
        <v>13</v>
      </c>
      <c r="L1361" s="1" t="s">
        <v>30</v>
      </c>
    </row>
    <row r="1362" spans="1:12" x14ac:dyDescent="0.3">
      <c r="A1362" s="1" t="s">
        <v>479</v>
      </c>
      <c r="B1362" s="2">
        <v>45954</v>
      </c>
      <c r="C1362" s="2">
        <v>45994</v>
      </c>
      <c r="D1362" s="1" t="s">
        <v>13</v>
      </c>
      <c r="E1362" s="1" t="s">
        <v>24</v>
      </c>
      <c r="F1362" s="1" t="s">
        <v>38</v>
      </c>
      <c r="G1362" s="1" t="s">
        <v>16</v>
      </c>
      <c r="H1362" s="1" t="s">
        <v>17</v>
      </c>
      <c r="I1362" s="1" t="s">
        <v>26</v>
      </c>
      <c r="J1362">
        <v>30</v>
      </c>
      <c r="K1362">
        <v>40</v>
      </c>
      <c r="L1362" s="1" t="s">
        <v>21</v>
      </c>
    </row>
    <row r="1363" spans="1:12" x14ac:dyDescent="0.3">
      <c r="A1363" s="1" t="s">
        <v>1231</v>
      </c>
      <c r="B1363" s="2">
        <v>45954</v>
      </c>
      <c r="C1363" s="2">
        <v>45985</v>
      </c>
      <c r="D1363" s="1" t="s">
        <v>28</v>
      </c>
      <c r="E1363" s="1" t="s">
        <v>14</v>
      </c>
      <c r="F1363" s="1" t="s">
        <v>15</v>
      </c>
      <c r="G1363" s="1" t="s">
        <v>16</v>
      </c>
      <c r="H1363" s="1" t="s">
        <v>54</v>
      </c>
      <c r="I1363" s="1" t="s">
        <v>18</v>
      </c>
      <c r="J1363">
        <v>30</v>
      </c>
      <c r="K1363">
        <v>31</v>
      </c>
      <c r="L1363" s="1" t="s">
        <v>21</v>
      </c>
    </row>
    <row r="1364" spans="1:12" x14ac:dyDescent="0.3">
      <c r="A1364" s="1" t="s">
        <v>2899</v>
      </c>
      <c r="B1364" s="2">
        <v>45954</v>
      </c>
      <c r="C1364" s="2">
        <v>46011</v>
      </c>
      <c r="D1364" s="1" t="s">
        <v>37</v>
      </c>
      <c r="E1364" s="1" t="s">
        <v>24</v>
      </c>
      <c r="F1364" s="1" t="s">
        <v>15</v>
      </c>
      <c r="G1364" s="1" t="s">
        <v>16</v>
      </c>
      <c r="H1364" s="1" t="s">
        <v>39</v>
      </c>
      <c r="I1364" s="1" t="s">
        <v>26</v>
      </c>
      <c r="J1364">
        <v>45</v>
      </c>
      <c r="K1364">
        <v>57</v>
      </c>
      <c r="L1364" s="1" t="s">
        <v>80</v>
      </c>
    </row>
    <row r="1365" spans="1:12" x14ac:dyDescent="0.3">
      <c r="A1365" s="1" t="s">
        <v>2622</v>
      </c>
      <c r="B1365" s="2">
        <v>45954</v>
      </c>
      <c r="C1365" s="2">
        <v>45994</v>
      </c>
      <c r="D1365" s="1" t="s">
        <v>37</v>
      </c>
      <c r="E1365" s="1" t="s">
        <v>14</v>
      </c>
      <c r="F1365" s="1" t="s">
        <v>15</v>
      </c>
      <c r="G1365" s="1" t="s">
        <v>53</v>
      </c>
      <c r="H1365" s="1" t="s">
        <v>49</v>
      </c>
      <c r="I1365" s="1" t="s">
        <v>26</v>
      </c>
      <c r="J1365">
        <v>15</v>
      </c>
      <c r="K1365">
        <v>40</v>
      </c>
      <c r="L1365" s="1" t="s">
        <v>21</v>
      </c>
    </row>
    <row r="1366" spans="1:12" x14ac:dyDescent="0.3">
      <c r="A1366" s="1" t="s">
        <v>1714</v>
      </c>
      <c r="B1366" s="2">
        <v>45954</v>
      </c>
      <c r="C1366" s="2">
        <v>46016</v>
      </c>
      <c r="D1366" s="1" t="s">
        <v>13</v>
      </c>
      <c r="E1366" s="1" t="s">
        <v>24</v>
      </c>
      <c r="F1366" s="1" t="s">
        <v>38</v>
      </c>
      <c r="G1366" s="1" t="s">
        <v>16</v>
      </c>
      <c r="H1366" s="1" t="s">
        <v>47</v>
      </c>
      <c r="I1366" s="1" t="s">
        <v>26</v>
      </c>
      <c r="J1366">
        <v>30</v>
      </c>
      <c r="K1366">
        <v>62</v>
      </c>
      <c r="L1366" s="1" t="s">
        <v>80</v>
      </c>
    </row>
    <row r="1367" spans="1:12" x14ac:dyDescent="0.3">
      <c r="A1367" s="1" t="s">
        <v>2444</v>
      </c>
      <c r="B1367" s="2">
        <v>45954</v>
      </c>
      <c r="C1367" s="2">
        <v>46013</v>
      </c>
      <c r="D1367" s="1" t="s">
        <v>32</v>
      </c>
      <c r="E1367" s="1" t="s">
        <v>14</v>
      </c>
      <c r="F1367" s="1" t="s">
        <v>15</v>
      </c>
      <c r="G1367" s="1" t="s">
        <v>16</v>
      </c>
      <c r="H1367" s="1" t="s">
        <v>34</v>
      </c>
      <c r="I1367" s="1" t="s">
        <v>26</v>
      </c>
      <c r="J1367">
        <v>30</v>
      </c>
      <c r="K1367">
        <v>59</v>
      </c>
      <c r="L1367" s="1" t="s">
        <v>80</v>
      </c>
    </row>
    <row r="1368" spans="1:12" x14ac:dyDescent="0.3">
      <c r="A1368" s="1" t="s">
        <v>2689</v>
      </c>
      <c r="B1368" s="2">
        <v>45954</v>
      </c>
      <c r="C1368" s="2">
        <v>45989</v>
      </c>
      <c r="D1368" s="1" t="s">
        <v>23</v>
      </c>
      <c r="E1368" s="1" t="s">
        <v>14</v>
      </c>
      <c r="F1368" s="1" t="s">
        <v>15</v>
      </c>
      <c r="G1368" s="1" t="s">
        <v>16</v>
      </c>
      <c r="H1368" s="1" t="s">
        <v>43</v>
      </c>
      <c r="I1368" s="1" t="s">
        <v>18</v>
      </c>
      <c r="J1368">
        <v>15</v>
      </c>
      <c r="K1368">
        <v>35</v>
      </c>
      <c r="L1368" s="1" t="s">
        <v>21</v>
      </c>
    </row>
    <row r="1369" spans="1:12" x14ac:dyDescent="0.3">
      <c r="A1369" s="1" t="s">
        <v>2840</v>
      </c>
      <c r="B1369" s="2">
        <v>45954</v>
      </c>
      <c r="C1369" s="2">
        <v>45982</v>
      </c>
      <c r="D1369" s="1" t="s">
        <v>28</v>
      </c>
      <c r="E1369" s="1" t="s">
        <v>14</v>
      </c>
      <c r="F1369" s="1" t="s">
        <v>15</v>
      </c>
      <c r="G1369" s="1" t="s">
        <v>16</v>
      </c>
      <c r="H1369" s="1" t="s">
        <v>54</v>
      </c>
      <c r="I1369" s="1" t="s">
        <v>26</v>
      </c>
      <c r="J1369">
        <v>15</v>
      </c>
      <c r="K1369">
        <v>28</v>
      </c>
      <c r="L1369" s="1" t="s">
        <v>19</v>
      </c>
    </row>
    <row r="1370" spans="1:12" x14ac:dyDescent="0.3">
      <c r="A1370" s="1" t="s">
        <v>2934</v>
      </c>
      <c r="B1370" s="2">
        <v>45954</v>
      </c>
      <c r="C1370" s="2">
        <v>45984</v>
      </c>
      <c r="D1370" s="1" t="s">
        <v>32</v>
      </c>
      <c r="E1370" s="1" t="s">
        <v>24</v>
      </c>
      <c r="F1370" s="1" t="s">
        <v>15</v>
      </c>
      <c r="G1370" s="1" t="s">
        <v>16</v>
      </c>
      <c r="H1370" s="1" t="s">
        <v>34</v>
      </c>
      <c r="I1370" s="1" t="s">
        <v>26</v>
      </c>
      <c r="J1370">
        <v>45</v>
      </c>
      <c r="K1370">
        <v>30</v>
      </c>
      <c r="L1370" s="1" t="s">
        <v>21</v>
      </c>
    </row>
    <row r="1371" spans="1:12" x14ac:dyDescent="0.3">
      <c r="A1371" s="1" t="s">
        <v>3186</v>
      </c>
      <c r="B1371" s="2">
        <v>45954</v>
      </c>
      <c r="C1371" s="2">
        <v>45993</v>
      </c>
      <c r="D1371" s="1" t="s">
        <v>13</v>
      </c>
      <c r="E1371" s="1" t="s">
        <v>14</v>
      </c>
      <c r="F1371" s="1" t="s">
        <v>15</v>
      </c>
      <c r="G1371" s="1" t="s">
        <v>16</v>
      </c>
      <c r="H1371" s="1" t="s">
        <v>47</v>
      </c>
      <c r="I1371" s="1" t="s">
        <v>26</v>
      </c>
      <c r="J1371">
        <v>15</v>
      </c>
      <c r="K1371">
        <v>39</v>
      </c>
      <c r="L1371" s="1" t="s">
        <v>21</v>
      </c>
    </row>
    <row r="1372" spans="1:12" x14ac:dyDescent="0.3">
      <c r="A1372" s="1" t="s">
        <v>167</v>
      </c>
      <c r="B1372" s="2">
        <v>45953</v>
      </c>
      <c r="C1372" s="2">
        <v>45999</v>
      </c>
      <c r="D1372" s="1" t="s">
        <v>23</v>
      </c>
      <c r="E1372" s="1" t="s">
        <v>14</v>
      </c>
      <c r="F1372" s="1" t="s">
        <v>15</v>
      </c>
      <c r="G1372" s="1" t="s">
        <v>53</v>
      </c>
      <c r="H1372" s="1" t="s">
        <v>25</v>
      </c>
      <c r="I1372" s="1" t="s">
        <v>18</v>
      </c>
      <c r="J1372">
        <v>30</v>
      </c>
      <c r="K1372">
        <v>46</v>
      </c>
      <c r="L1372" s="1" t="s">
        <v>44</v>
      </c>
    </row>
    <row r="1373" spans="1:12" x14ac:dyDescent="0.3">
      <c r="A1373" s="1" t="s">
        <v>172</v>
      </c>
      <c r="B1373" s="2">
        <v>45953</v>
      </c>
      <c r="C1373" s="2">
        <v>45978</v>
      </c>
      <c r="D1373" s="1" t="s">
        <v>32</v>
      </c>
      <c r="E1373" s="1" t="s">
        <v>14</v>
      </c>
      <c r="F1373" s="1" t="s">
        <v>15</v>
      </c>
      <c r="G1373" s="1" t="s">
        <v>16</v>
      </c>
      <c r="H1373" s="1" t="s">
        <v>71</v>
      </c>
      <c r="I1373" s="1" t="s">
        <v>18</v>
      </c>
      <c r="J1373">
        <v>15</v>
      </c>
      <c r="K1373">
        <v>25</v>
      </c>
      <c r="L1373" s="1" t="s">
        <v>19</v>
      </c>
    </row>
    <row r="1374" spans="1:12" x14ac:dyDescent="0.3">
      <c r="A1374" s="1" t="s">
        <v>748</v>
      </c>
      <c r="B1374" s="2">
        <v>45953</v>
      </c>
      <c r="C1374" s="2">
        <v>46002</v>
      </c>
      <c r="D1374" s="1" t="s">
        <v>32</v>
      </c>
      <c r="E1374" s="1" t="s">
        <v>24</v>
      </c>
      <c r="F1374" s="1" t="s">
        <v>15</v>
      </c>
      <c r="G1374" s="1" t="s">
        <v>16</v>
      </c>
      <c r="H1374" s="1" t="s">
        <v>34</v>
      </c>
      <c r="I1374" s="1" t="s">
        <v>18</v>
      </c>
      <c r="J1374">
        <v>45</v>
      </c>
      <c r="K1374">
        <v>49</v>
      </c>
      <c r="L1374" s="1" t="s">
        <v>44</v>
      </c>
    </row>
    <row r="1375" spans="1:12" x14ac:dyDescent="0.3">
      <c r="A1375" s="1" t="s">
        <v>1022</v>
      </c>
      <c r="B1375" s="2">
        <v>45953</v>
      </c>
      <c r="C1375" s="2">
        <v>45999</v>
      </c>
      <c r="D1375" s="1" t="s">
        <v>28</v>
      </c>
      <c r="E1375" s="1" t="s">
        <v>14</v>
      </c>
      <c r="F1375" s="1" t="s">
        <v>15</v>
      </c>
      <c r="G1375" s="1" t="s">
        <v>16</v>
      </c>
      <c r="H1375" s="1" t="s">
        <v>29</v>
      </c>
      <c r="I1375" s="1" t="s">
        <v>26</v>
      </c>
      <c r="J1375">
        <v>30</v>
      </c>
      <c r="K1375">
        <v>46</v>
      </c>
      <c r="L1375" s="1" t="s">
        <v>44</v>
      </c>
    </row>
    <row r="1376" spans="1:12" x14ac:dyDescent="0.3">
      <c r="A1376" s="1" t="s">
        <v>1071</v>
      </c>
      <c r="B1376" s="2">
        <v>45953</v>
      </c>
      <c r="C1376" s="2">
        <v>45993</v>
      </c>
      <c r="D1376" s="1" t="s">
        <v>32</v>
      </c>
      <c r="E1376" s="1" t="s">
        <v>24</v>
      </c>
      <c r="F1376" s="1" t="s">
        <v>15</v>
      </c>
      <c r="G1376" s="1" t="s">
        <v>53</v>
      </c>
      <c r="H1376" s="1" t="s">
        <v>71</v>
      </c>
      <c r="I1376" s="1" t="s">
        <v>26</v>
      </c>
      <c r="J1376">
        <v>30</v>
      </c>
      <c r="K1376">
        <v>40</v>
      </c>
      <c r="L1376" s="1" t="s">
        <v>21</v>
      </c>
    </row>
    <row r="1377" spans="1:12" x14ac:dyDescent="0.3">
      <c r="A1377" s="1" t="s">
        <v>2730</v>
      </c>
      <c r="B1377" s="2">
        <v>45953</v>
      </c>
      <c r="C1377" s="2">
        <v>45997</v>
      </c>
      <c r="D1377" s="1" t="s">
        <v>37</v>
      </c>
      <c r="E1377" s="1" t="s">
        <v>24</v>
      </c>
      <c r="F1377" s="1" t="s">
        <v>38</v>
      </c>
      <c r="G1377" s="1" t="s">
        <v>16</v>
      </c>
      <c r="H1377" s="1" t="s">
        <v>39</v>
      </c>
      <c r="I1377" s="1" t="s">
        <v>26</v>
      </c>
      <c r="J1377">
        <v>30</v>
      </c>
      <c r="K1377">
        <v>44</v>
      </c>
      <c r="L1377" s="1" t="s">
        <v>44</v>
      </c>
    </row>
    <row r="1378" spans="1:12" x14ac:dyDescent="0.3">
      <c r="A1378" s="1" t="s">
        <v>3075</v>
      </c>
      <c r="B1378" s="2">
        <v>45953</v>
      </c>
      <c r="C1378" s="2">
        <v>45992</v>
      </c>
      <c r="D1378" s="1" t="s">
        <v>37</v>
      </c>
      <c r="E1378" s="1" t="s">
        <v>24</v>
      </c>
      <c r="F1378" s="1" t="s">
        <v>15</v>
      </c>
      <c r="G1378" s="1" t="s">
        <v>33</v>
      </c>
      <c r="H1378" s="1" t="s">
        <v>49</v>
      </c>
      <c r="I1378" s="1" t="s">
        <v>18</v>
      </c>
      <c r="J1378">
        <v>45</v>
      </c>
      <c r="K1378">
        <v>39</v>
      </c>
      <c r="L1378" s="1" t="s">
        <v>21</v>
      </c>
    </row>
    <row r="1379" spans="1:12" x14ac:dyDescent="0.3">
      <c r="A1379" s="1" t="s">
        <v>120</v>
      </c>
      <c r="B1379" s="2">
        <v>45953</v>
      </c>
      <c r="C1379" s="2">
        <v>45988</v>
      </c>
      <c r="D1379" s="1" t="s">
        <v>37</v>
      </c>
      <c r="E1379" s="1" t="s">
        <v>14</v>
      </c>
      <c r="F1379" s="1" t="s">
        <v>15</v>
      </c>
      <c r="G1379" s="1" t="s">
        <v>16</v>
      </c>
      <c r="H1379" s="1" t="s">
        <v>39</v>
      </c>
      <c r="I1379" s="1" t="s">
        <v>26</v>
      </c>
      <c r="J1379">
        <v>15</v>
      </c>
      <c r="K1379">
        <v>35</v>
      </c>
      <c r="L1379" s="1" t="s">
        <v>21</v>
      </c>
    </row>
    <row r="1380" spans="1:12" x14ac:dyDescent="0.3">
      <c r="A1380" s="1" t="s">
        <v>2478</v>
      </c>
      <c r="B1380" s="2">
        <v>45953</v>
      </c>
      <c r="C1380" s="2">
        <v>45975</v>
      </c>
      <c r="D1380" s="1" t="s">
        <v>32</v>
      </c>
      <c r="E1380" s="1" t="s">
        <v>24</v>
      </c>
      <c r="F1380" s="1" t="s">
        <v>15</v>
      </c>
      <c r="G1380" s="1" t="s">
        <v>16</v>
      </c>
      <c r="H1380" s="1" t="s">
        <v>34</v>
      </c>
      <c r="I1380" s="1" t="s">
        <v>26</v>
      </c>
      <c r="J1380">
        <v>30</v>
      </c>
      <c r="K1380">
        <v>22</v>
      </c>
      <c r="L1380" s="1" t="s">
        <v>19</v>
      </c>
    </row>
    <row r="1381" spans="1:12" x14ac:dyDescent="0.3">
      <c r="A1381" s="1" t="s">
        <v>2698</v>
      </c>
      <c r="B1381" s="2">
        <v>45953</v>
      </c>
      <c r="C1381" s="2">
        <v>46012</v>
      </c>
      <c r="D1381" s="1" t="s">
        <v>23</v>
      </c>
      <c r="E1381" s="1" t="s">
        <v>14</v>
      </c>
      <c r="F1381" s="1" t="s">
        <v>15</v>
      </c>
      <c r="G1381" s="1" t="s">
        <v>16</v>
      </c>
      <c r="H1381" s="1" t="s">
        <v>43</v>
      </c>
      <c r="I1381" s="1" t="s">
        <v>26</v>
      </c>
      <c r="J1381">
        <v>30</v>
      </c>
      <c r="K1381">
        <v>59</v>
      </c>
      <c r="L1381" s="1" t="s">
        <v>80</v>
      </c>
    </row>
    <row r="1382" spans="1:12" x14ac:dyDescent="0.3">
      <c r="A1382" s="1" t="s">
        <v>1476</v>
      </c>
      <c r="B1382" s="2">
        <v>45952</v>
      </c>
      <c r="C1382" s="2">
        <v>46030</v>
      </c>
      <c r="D1382" s="1" t="s">
        <v>37</v>
      </c>
      <c r="E1382" s="1" t="s">
        <v>14</v>
      </c>
      <c r="F1382" s="1" t="s">
        <v>15</v>
      </c>
      <c r="G1382" s="1" t="s">
        <v>16</v>
      </c>
      <c r="H1382" s="1" t="s">
        <v>39</v>
      </c>
      <c r="I1382" s="1" t="s">
        <v>26</v>
      </c>
      <c r="J1382">
        <v>30</v>
      </c>
      <c r="K1382">
        <v>78</v>
      </c>
      <c r="L1382" s="1" t="s">
        <v>80</v>
      </c>
    </row>
    <row r="1383" spans="1:12" x14ac:dyDescent="0.3">
      <c r="A1383" s="1" t="s">
        <v>1454</v>
      </c>
      <c r="B1383" s="2">
        <v>45952</v>
      </c>
      <c r="C1383" s="2">
        <v>45986</v>
      </c>
      <c r="D1383" s="1" t="s">
        <v>37</v>
      </c>
      <c r="E1383" s="1" t="s">
        <v>14</v>
      </c>
      <c r="F1383" s="1" t="s">
        <v>15</v>
      </c>
      <c r="G1383" s="1" t="s">
        <v>16</v>
      </c>
      <c r="H1383" s="1" t="s">
        <v>49</v>
      </c>
      <c r="I1383" s="1" t="s">
        <v>18</v>
      </c>
      <c r="J1383">
        <v>15</v>
      </c>
      <c r="K1383">
        <v>34</v>
      </c>
      <c r="L1383" s="1" t="s">
        <v>21</v>
      </c>
    </row>
    <row r="1384" spans="1:12" x14ac:dyDescent="0.3">
      <c r="A1384" s="1" t="s">
        <v>2646</v>
      </c>
      <c r="B1384" s="2">
        <v>45952</v>
      </c>
      <c r="C1384" s="2">
        <v>45962</v>
      </c>
      <c r="D1384" s="1" t="s">
        <v>37</v>
      </c>
      <c r="E1384" s="1" t="s">
        <v>14</v>
      </c>
      <c r="F1384" s="1" t="s">
        <v>15</v>
      </c>
      <c r="G1384" s="1" t="s">
        <v>16</v>
      </c>
      <c r="H1384" s="1" t="s">
        <v>49</v>
      </c>
      <c r="I1384" s="1" t="s">
        <v>26</v>
      </c>
      <c r="J1384">
        <v>15</v>
      </c>
      <c r="K1384">
        <v>10</v>
      </c>
      <c r="L1384" s="1" t="s">
        <v>30</v>
      </c>
    </row>
    <row r="1385" spans="1:12" x14ac:dyDescent="0.3">
      <c r="A1385" s="1" t="s">
        <v>1429</v>
      </c>
      <c r="B1385" s="2">
        <v>45952</v>
      </c>
      <c r="C1385" s="2">
        <v>46015</v>
      </c>
      <c r="D1385" s="1" t="s">
        <v>28</v>
      </c>
      <c r="E1385" s="1" t="s">
        <v>14</v>
      </c>
      <c r="F1385" s="1" t="s">
        <v>15</v>
      </c>
      <c r="G1385" s="1" t="s">
        <v>16</v>
      </c>
      <c r="H1385" s="1" t="s">
        <v>54</v>
      </c>
      <c r="I1385" s="1" t="s">
        <v>41</v>
      </c>
      <c r="J1385">
        <v>30</v>
      </c>
      <c r="K1385">
        <v>63</v>
      </c>
      <c r="L1385" s="1" t="s">
        <v>80</v>
      </c>
    </row>
    <row r="1386" spans="1:12" x14ac:dyDescent="0.3">
      <c r="A1386" s="1" t="s">
        <v>2104</v>
      </c>
      <c r="B1386" s="2">
        <v>45952</v>
      </c>
      <c r="C1386" s="2">
        <v>45975</v>
      </c>
      <c r="D1386" s="1" t="s">
        <v>13</v>
      </c>
      <c r="E1386" s="1" t="s">
        <v>24</v>
      </c>
      <c r="F1386" s="1" t="s">
        <v>15</v>
      </c>
      <c r="G1386" s="1" t="s">
        <v>16</v>
      </c>
      <c r="H1386" s="1" t="s">
        <v>17</v>
      </c>
      <c r="I1386" s="1" t="s">
        <v>26</v>
      </c>
      <c r="J1386">
        <v>30</v>
      </c>
      <c r="K1386">
        <v>23</v>
      </c>
      <c r="L1386" s="1" t="s">
        <v>19</v>
      </c>
    </row>
    <row r="1387" spans="1:12" x14ac:dyDescent="0.3">
      <c r="A1387" s="1" t="s">
        <v>2468</v>
      </c>
      <c r="B1387" s="2">
        <v>45952</v>
      </c>
      <c r="C1387" s="2">
        <v>45975</v>
      </c>
      <c r="D1387" s="1" t="s">
        <v>28</v>
      </c>
      <c r="E1387" s="1" t="s">
        <v>14</v>
      </c>
      <c r="F1387" s="1" t="s">
        <v>15</v>
      </c>
      <c r="G1387" s="1" t="s">
        <v>33</v>
      </c>
      <c r="H1387" s="1" t="s">
        <v>54</v>
      </c>
      <c r="I1387" s="1" t="s">
        <v>18</v>
      </c>
      <c r="J1387">
        <v>15</v>
      </c>
      <c r="K1387">
        <v>23</v>
      </c>
      <c r="L1387" s="1" t="s">
        <v>19</v>
      </c>
    </row>
    <row r="1388" spans="1:12" x14ac:dyDescent="0.3">
      <c r="A1388" s="1" t="s">
        <v>2676</v>
      </c>
      <c r="B1388" s="2">
        <v>45952</v>
      </c>
      <c r="C1388" s="2">
        <v>45968</v>
      </c>
      <c r="D1388" s="1" t="s">
        <v>28</v>
      </c>
      <c r="E1388" s="1" t="s">
        <v>14</v>
      </c>
      <c r="F1388" s="1" t="s">
        <v>15</v>
      </c>
      <c r="G1388" s="1" t="s">
        <v>16</v>
      </c>
      <c r="H1388" s="1" t="s">
        <v>54</v>
      </c>
      <c r="I1388" s="1" t="s">
        <v>18</v>
      </c>
      <c r="J1388">
        <v>30</v>
      </c>
      <c r="K1388">
        <v>16</v>
      </c>
      <c r="L1388" s="1" t="s">
        <v>19</v>
      </c>
    </row>
    <row r="1389" spans="1:12" x14ac:dyDescent="0.3">
      <c r="A1389" s="1" t="s">
        <v>2925</v>
      </c>
      <c r="B1389" s="2">
        <v>45952</v>
      </c>
      <c r="C1389" s="2">
        <v>45986</v>
      </c>
      <c r="D1389" s="1" t="s">
        <v>13</v>
      </c>
      <c r="E1389" s="1" t="s">
        <v>24</v>
      </c>
      <c r="F1389" s="1" t="s">
        <v>15</v>
      </c>
      <c r="G1389" s="1" t="s">
        <v>53</v>
      </c>
      <c r="H1389" s="1" t="s">
        <v>17</v>
      </c>
      <c r="I1389" s="1" t="s">
        <v>26</v>
      </c>
      <c r="J1389">
        <v>30</v>
      </c>
      <c r="K1389">
        <v>34</v>
      </c>
      <c r="L1389" s="1" t="s">
        <v>21</v>
      </c>
    </row>
    <row r="1390" spans="1:12" x14ac:dyDescent="0.3">
      <c r="A1390" s="1" t="s">
        <v>175</v>
      </c>
      <c r="B1390" s="2">
        <v>45951</v>
      </c>
      <c r="C1390" s="2">
        <v>45976</v>
      </c>
      <c r="D1390" s="1" t="s">
        <v>28</v>
      </c>
      <c r="E1390" s="1" t="s">
        <v>14</v>
      </c>
      <c r="F1390" s="1" t="s">
        <v>15</v>
      </c>
      <c r="G1390" s="1" t="s">
        <v>16</v>
      </c>
      <c r="H1390" s="1" t="s">
        <v>54</v>
      </c>
      <c r="I1390" s="1" t="s">
        <v>26</v>
      </c>
      <c r="J1390">
        <v>15</v>
      </c>
      <c r="K1390">
        <v>25</v>
      </c>
      <c r="L1390" s="1" t="s">
        <v>19</v>
      </c>
    </row>
    <row r="1391" spans="1:12" x14ac:dyDescent="0.3">
      <c r="A1391" s="1" t="s">
        <v>1045</v>
      </c>
      <c r="B1391" s="2">
        <v>45951</v>
      </c>
      <c r="C1391" s="2">
        <v>46009</v>
      </c>
      <c r="D1391" s="1" t="s">
        <v>13</v>
      </c>
      <c r="E1391" s="1" t="s">
        <v>14</v>
      </c>
      <c r="F1391" s="1" t="s">
        <v>15</v>
      </c>
      <c r="G1391" s="1" t="s">
        <v>16</v>
      </c>
      <c r="H1391" s="1" t="s">
        <v>47</v>
      </c>
      <c r="I1391" s="1" t="s">
        <v>26</v>
      </c>
      <c r="J1391">
        <v>30</v>
      </c>
      <c r="K1391">
        <v>58</v>
      </c>
      <c r="L1391" s="1" t="s">
        <v>80</v>
      </c>
    </row>
    <row r="1392" spans="1:12" x14ac:dyDescent="0.3">
      <c r="A1392" s="1" t="s">
        <v>2017</v>
      </c>
      <c r="B1392" s="2">
        <v>45951</v>
      </c>
      <c r="C1392" s="2">
        <v>45994</v>
      </c>
      <c r="D1392" s="1" t="s">
        <v>32</v>
      </c>
      <c r="E1392" s="1" t="s">
        <v>14</v>
      </c>
      <c r="F1392" s="1" t="s">
        <v>15</v>
      </c>
      <c r="G1392" s="1" t="s">
        <v>16</v>
      </c>
      <c r="H1392" s="1" t="s">
        <v>34</v>
      </c>
      <c r="I1392" s="1" t="s">
        <v>41</v>
      </c>
      <c r="J1392">
        <v>15</v>
      </c>
      <c r="K1392">
        <v>43</v>
      </c>
      <c r="L1392" s="1" t="s">
        <v>44</v>
      </c>
    </row>
    <row r="1393" spans="1:12" x14ac:dyDescent="0.3">
      <c r="A1393" s="1" t="s">
        <v>154</v>
      </c>
      <c r="B1393" s="2">
        <v>45950</v>
      </c>
      <c r="C1393" s="2">
        <v>45987</v>
      </c>
      <c r="D1393" s="1" t="s">
        <v>23</v>
      </c>
      <c r="E1393" s="1" t="s">
        <v>14</v>
      </c>
      <c r="F1393" s="1" t="s">
        <v>15</v>
      </c>
      <c r="G1393" s="1" t="s">
        <v>53</v>
      </c>
      <c r="H1393" s="1" t="s">
        <v>25</v>
      </c>
      <c r="I1393" s="1" t="s">
        <v>26</v>
      </c>
      <c r="J1393">
        <v>30</v>
      </c>
      <c r="K1393">
        <v>37</v>
      </c>
      <c r="L1393" s="1" t="s">
        <v>21</v>
      </c>
    </row>
    <row r="1394" spans="1:12" x14ac:dyDescent="0.3">
      <c r="A1394" s="1" t="s">
        <v>199</v>
      </c>
      <c r="B1394" s="2">
        <v>45950</v>
      </c>
      <c r="C1394" s="2">
        <v>45975</v>
      </c>
      <c r="D1394" s="1" t="s">
        <v>23</v>
      </c>
      <c r="E1394" s="1" t="s">
        <v>24</v>
      </c>
      <c r="F1394" s="1" t="s">
        <v>15</v>
      </c>
      <c r="G1394" s="1" t="s">
        <v>16</v>
      </c>
      <c r="H1394" s="1" t="s">
        <v>25</v>
      </c>
      <c r="I1394" s="1" t="s">
        <v>18</v>
      </c>
      <c r="J1394">
        <v>30</v>
      </c>
      <c r="K1394">
        <v>25</v>
      </c>
      <c r="L1394" s="1" t="s">
        <v>19</v>
      </c>
    </row>
    <row r="1395" spans="1:12" x14ac:dyDescent="0.3">
      <c r="A1395" s="1" t="s">
        <v>498</v>
      </c>
      <c r="B1395" s="2">
        <v>45950</v>
      </c>
      <c r="C1395" s="2">
        <v>45987</v>
      </c>
      <c r="D1395" s="1" t="s">
        <v>23</v>
      </c>
      <c r="E1395" s="1" t="s">
        <v>14</v>
      </c>
      <c r="F1395" s="1" t="s">
        <v>15</v>
      </c>
      <c r="G1395" s="1" t="s">
        <v>16</v>
      </c>
      <c r="H1395" s="1" t="s">
        <v>25</v>
      </c>
      <c r="I1395" s="1" t="s">
        <v>41</v>
      </c>
      <c r="J1395">
        <v>30</v>
      </c>
      <c r="K1395">
        <v>37</v>
      </c>
      <c r="L1395" s="1" t="s">
        <v>21</v>
      </c>
    </row>
    <row r="1396" spans="1:12" x14ac:dyDescent="0.3">
      <c r="A1396" s="1" t="s">
        <v>797</v>
      </c>
      <c r="B1396" s="2">
        <v>45950</v>
      </c>
      <c r="C1396" s="2">
        <v>45993</v>
      </c>
      <c r="D1396" s="1" t="s">
        <v>28</v>
      </c>
      <c r="E1396" s="1" t="s">
        <v>24</v>
      </c>
      <c r="F1396" s="1" t="s">
        <v>15</v>
      </c>
      <c r="G1396" s="1" t="s">
        <v>16</v>
      </c>
      <c r="H1396" s="1" t="s">
        <v>54</v>
      </c>
      <c r="I1396" s="1" t="s">
        <v>18</v>
      </c>
      <c r="J1396">
        <v>45</v>
      </c>
      <c r="K1396">
        <v>43</v>
      </c>
      <c r="L1396" s="1" t="s">
        <v>44</v>
      </c>
    </row>
    <row r="1397" spans="1:12" x14ac:dyDescent="0.3">
      <c r="A1397" s="1" t="s">
        <v>1126</v>
      </c>
      <c r="B1397" s="2">
        <v>45950</v>
      </c>
      <c r="C1397" s="2">
        <v>45967</v>
      </c>
      <c r="D1397" s="1" t="s">
        <v>23</v>
      </c>
      <c r="E1397" s="1" t="s">
        <v>14</v>
      </c>
      <c r="F1397" s="1" t="s">
        <v>15</v>
      </c>
      <c r="G1397" s="1" t="s">
        <v>53</v>
      </c>
      <c r="H1397" s="1" t="s">
        <v>25</v>
      </c>
      <c r="I1397" s="1" t="s">
        <v>26</v>
      </c>
      <c r="J1397">
        <v>30</v>
      </c>
      <c r="K1397">
        <v>17</v>
      </c>
      <c r="L1397" s="1" t="s">
        <v>19</v>
      </c>
    </row>
    <row r="1398" spans="1:12" x14ac:dyDescent="0.3">
      <c r="A1398" s="1" t="s">
        <v>1171</v>
      </c>
      <c r="B1398" s="2">
        <v>45950</v>
      </c>
      <c r="C1398" s="2">
        <v>46008</v>
      </c>
      <c r="D1398" s="1" t="s">
        <v>32</v>
      </c>
      <c r="E1398" s="1" t="s">
        <v>14</v>
      </c>
      <c r="F1398" s="1" t="s">
        <v>15</v>
      </c>
      <c r="G1398" s="1" t="s">
        <v>16</v>
      </c>
      <c r="H1398" s="1" t="s">
        <v>34</v>
      </c>
      <c r="I1398" s="1" t="s">
        <v>18</v>
      </c>
      <c r="J1398">
        <v>15</v>
      </c>
      <c r="K1398">
        <v>58</v>
      </c>
      <c r="L1398" s="1" t="s">
        <v>80</v>
      </c>
    </row>
    <row r="1399" spans="1:12" x14ac:dyDescent="0.3">
      <c r="A1399" s="1" t="s">
        <v>1300</v>
      </c>
      <c r="B1399" s="2">
        <v>45950</v>
      </c>
      <c r="C1399" s="2">
        <v>45999</v>
      </c>
      <c r="D1399" s="1" t="s">
        <v>13</v>
      </c>
      <c r="E1399" s="1" t="s">
        <v>14</v>
      </c>
      <c r="F1399" s="1" t="s">
        <v>38</v>
      </c>
      <c r="G1399" s="1" t="s">
        <v>33</v>
      </c>
      <c r="H1399" s="1" t="s">
        <v>17</v>
      </c>
      <c r="I1399" s="1" t="s">
        <v>26</v>
      </c>
      <c r="J1399">
        <v>15</v>
      </c>
      <c r="K1399">
        <v>49</v>
      </c>
      <c r="L1399" s="1" t="s">
        <v>44</v>
      </c>
    </row>
    <row r="1400" spans="1:12" x14ac:dyDescent="0.3">
      <c r="A1400" s="1" t="s">
        <v>1607</v>
      </c>
      <c r="B1400" s="2">
        <v>45950</v>
      </c>
      <c r="C1400" s="2">
        <v>45989</v>
      </c>
      <c r="D1400" s="1" t="s">
        <v>37</v>
      </c>
      <c r="E1400" s="1" t="s">
        <v>14</v>
      </c>
      <c r="F1400" s="1" t="s">
        <v>38</v>
      </c>
      <c r="G1400" s="1" t="s">
        <v>16</v>
      </c>
      <c r="H1400" s="1" t="s">
        <v>39</v>
      </c>
      <c r="I1400" s="1" t="s">
        <v>26</v>
      </c>
      <c r="J1400">
        <v>15</v>
      </c>
      <c r="K1400">
        <v>39</v>
      </c>
      <c r="L1400" s="1" t="s">
        <v>21</v>
      </c>
    </row>
    <row r="1401" spans="1:12" x14ac:dyDescent="0.3">
      <c r="A1401" s="1" t="s">
        <v>2073</v>
      </c>
      <c r="B1401" s="2">
        <v>45950</v>
      </c>
      <c r="C1401" s="2">
        <v>45984</v>
      </c>
      <c r="D1401" s="1" t="s">
        <v>37</v>
      </c>
      <c r="E1401" s="1" t="s">
        <v>14</v>
      </c>
      <c r="F1401" s="1" t="s">
        <v>15</v>
      </c>
      <c r="G1401" s="1" t="s">
        <v>16</v>
      </c>
      <c r="H1401" s="1" t="s">
        <v>49</v>
      </c>
      <c r="I1401" s="1" t="s">
        <v>41</v>
      </c>
      <c r="J1401">
        <v>15</v>
      </c>
      <c r="K1401">
        <v>34</v>
      </c>
      <c r="L1401" s="1" t="s">
        <v>21</v>
      </c>
    </row>
    <row r="1402" spans="1:12" x14ac:dyDescent="0.3">
      <c r="A1402" s="1" t="s">
        <v>3218</v>
      </c>
      <c r="B1402" s="2">
        <v>45950</v>
      </c>
      <c r="C1402" s="2">
        <v>45984</v>
      </c>
      <c r="D1402" s="1" t="s">
        <v>32</v>
      </c>
      <c r="E1402" s="1" t="s">
        <v>24</v>
      </c>
      <c r="F1402" s="1" t="s">
        <v>15</v>
      </c>
      <c r="G1402" s="1" t="s">
        <v>33</v>
      </c>
      <c r="H1402" s="1" t="s">
        <v>71</v>
      </c>
      <c r="I1402" s="1" t="s">
        <v>26</v>
      </c>
      <c r="J1402">
        <v>30</v>
      </c>
      <c r="K1402">
        <v>34</v>
      </c>
      <c r="L1402" s="1" t="s">
        <v>21</v>
      </c>
    </row>
    <row r="1403" spans="1:12" x14ac:dyDescent="0.3">
      <c r="A1403" s="1" t="s">
        <v>74</v>
      </c>
      <c r="B1403" s="2">
        <v>45949</v>
      </c>
      <c r="C1403" s="2">
        <v>45970</v>
      </c>
      <c r="D1403" s="1" t="s">
        <v>28</v>
      </c>
      <c r="E1403" s="1" t="s">
        <v>24</v>
      </c>
      <c r="F1403" s="1" t="s">
        <v>15</v>
      </c>
      <c r="G1403" s="1" t="s">
        <v>53</v>
      </c>
      <c r="H1403" s="1" t="s">
        <v>54</v>
      </c>
      <c r="I1403" s="1" t="s">
        <v>41</v>
      </c>
      <c r="J1403">
        <v>45</v>
      </c>
      <c r="K1403">
        <v>21</v>
      </c>
      <c r="L1403" s="1" t="s">
        <v>19</v>
      </c>
    </row>
    <row r="1404" spans="1:12" x14ac:dyDescent="0.3">
      <c r="A1404" s="1" t="s">
        <v>173</v>
      </c>
      <c r="B1404" s="2">
        <v>45949</v>
      </c>
      <c r="C1404" s="2">
        <v>45955</v>
      </c>
      <c r="D1404" s="1" t="s">
        <v>28</v>
      </c>
      <c r="E1404" s="1" t="s">
        <v>14</v>
      </c>
      <c r="F1404" s="1" t="s">
        <v>15</v>
      </c>
      <c r="G1404" s="1" t="s">
        <v>53</v>
      </c>
      <c r="H1404" s="1" t="s">
        <v>29</v>
      </c>
      <c r="I1404" s="1" t="s">
        <v>41</v>
      </c>
      <c r="J1404">
        <v>15</v>
      </c>
      <c r="K1404">
        <v>6</v>
      </c>
      <c r="L1404" s="1" t="s">
        <v>30</v>
      </c>
    </row>
    <row r="1405" spans="1:12" x14ac:dyDescent="0.3">
      <c r="A1405" s="1" t="s">
        <v>697</v>
      </c>
      <c r="B1405" s="2">
        <v>45949</v>
      </c>
      <c r="C1405" s="2">
        <v>45968</v>
      </c>
      <c r="D1405" s="1" t="s">
        <v>28</v>
      </c>
      <c r="E1405" s="1" t="s">
        <v>24</v>
      </c>
      <c r="F1405" s="1" t="s">
        <v>15</v>
      </c>
      <c r="G1405" s="1" t="s">
        <v>33</v>
      </c>
      <c r="H1405" s="1" t="s">
        <v>29</v>
      </c>
      <c r="I1405" s="1" t="s">
        <v>26</v>
      </c>
      <c r="J1405">
        <v>30</v>
      </c>
      <c r="K1405">
        <v>19</v>
      </c>
      <c r="L1405" s="1" t="s">
        <v>19</v>
      </c>
    </row>
    <row r="1406" spans="1:12" x14ac:dyDescent="0.3">
      <c r="A1406" s="1" t="s">
        <v>804</v>
      </c>
      <c r="B1406" s="2">
        <v>45949</v>
      </c>
      <c r="C1406" s="2">
        <v>46006</v>
      </c>
      <c r="D1406" s="1" t="s">
        <v>28</v>
      </c>
      <c r="E1406" s="1" t="s">
        <v>14</v>
      </c>
      <c r="F1406" s="1" t="s">
        <v>15</v>
      </c>
      <c r="G1406" s="1" t="s">
        <v>16</v>
      </c>
      <c r="H1406" s="1" t="s">
        <v>29</v>
      </c>
      <c r="I1406" s="1" t="s">
        <v>26</v>
      </c>
      <c r="J1406">
        <v>15</v>
      </c>
      <c r="K1406">
        <v>57</v>
      </c>
      <c r="L1406" s="1" t="s">
        <v>80</v>
      </c>
    </row>
    <row r="1407" spans="1:12" x14ac:dyDescent="0.3">
      <c r="A1407" s="1" t="s">
        <v>1264</v>
      </c>
      <c r="B1407" s="2">
        <v>45949</v>
      </c>
      <c r="C1407" s="2">
        <v>45972</v>
      </c>
      <c r="D1407" s="1" t="s">
        <v>23</v>
      </c>
      <c r="E1407" s="1" t="s">
        <v>24</v>
      </c>
      <c r="F1407" s="1" t="s">
        <v>15</v>
      </c>
      <c r="G1407" s="1" t="s">
        <v>16</v>
      </c>
      <c r="H1407" s="1" t="s">
        <v>25</v>
      </c>
      <c r="I1407" s="1" t="s">
        <v>26</v>
      </c>
      <c r="J1407">
        <v>30</v>
      </c>
      <c r="K1407">
        <v>23</v>
      </c>
      <c r="L1407" s="1" t="s">
        <v>19</v>
      </c>
    </row>
    <row r="1408" spans="1:12" x14ac:dyDescent="0.3">
      <c r="A1408" s="1" t="s">
        <v>1407</v>
      </c>
      <c r="B1408" s="2">
        <v>45949</v>
      </c>
      <c r="C1408" s="2">
        <v>45971</v>
      </c>
      <c r="D1408" s="1" t="s">
        <v>23</v>
      </c>
      <c r="E1408" s="1" t="s">
        <v>14</v>
      </c>
      <c r="F1408" s="1" t="s">
        <v>15</v>
      </c>
      <c r="G1408" s="1" t="s">
        <v>16</v>
      </c>
      <c r="H1408" s="1" t="s">
        <v>25</v>
      </c>
      <c r="I1408" s="1" t="s">
        <v>18</v>
      </c>
      <c r="J1408">
        <v>15</v>
      </c>
      <c r="K1408">
        <v>22</v>
      </c>
      <c r="L1408" s="1" t="s">
        <v>19</v>
      </c>
    </row>
    <row r="1409" spans="1:12" x14ac:dyDescent="0.3">
      <c r="A1409" s="1" t="s">
        <v>349</v>
      </c>
      <c r="B1409" s="2">
        <v>45949</v>
      </c>
      <c r="C1409" s="2">
        <v>45996</v>
      </c>
      <c r="D1409" s="1" t="s">
        <v>37</v>
      </c>
      <c r="E1409" s="1" t="s">
        <v>24</v>
      </c>
      <c r="F1409" s="1" t="s">
        <v>38</v>
      </c>
      <c r="G1409" s="1" t="s">
        <v>16</v>
      </c>
      <c r="H1409" s="1" t="s">
        <v>39</v>
      </c>
      <c r="I1409" s="1" t="s">
        <v>18</v>
      </c>
      <c r="J1409">
        <v>30</v>
      </c>
      <c r="K1409">
        <v>47</v>
      </c>
      <c r="L1409" s="1" t="s">
        <v>44</v>
      </c>
    </row>
    <row r="1410" spans="1:12" x14ac:dyDescent="0.3">
      <c r="A1410" s="1" t="s">
        <v>371</v>
      </c>
      <c r="B1410" s="2">
        <v>45949</v>
      </c>
      <c r="C1410" s="2">
        <v>45993</v>
      </c>
      <c r="D1410" s="1" t="s">
        <v>37</v>
      </c>
      <c r="E1410" s="1" t="s">
        <v>14</v>
      </c>
      <c r="F1410" s="1" t="s">
        <v>15</v>
      </c>
      <c r="G1410" s="1" t="s">
        <v>16</v>
      </c>
      <c r="H1410" s="1" t="s">
        <v>49</v>
      </c>
      <c r="I1410" s="1" t="s">
        <v>41</v>
      </c>
      <c r="J1410">
        <v>15</v>
      </c>
      <c r="K1410">
        <v>44</v>
      </c>
      <c r="L1410" s="1" t="s">
        <v>44</v>
      </c>
    </row>
    <row r="1411" spans="1:12" x14ac:dyDescent="0.3">
      <c r="A1411" s="1" t="s">
        <v>1882</v>
      </c>
      <c r="B1411" s="2">
        <v>45949</v>
      </c>
      <c r="C1411" s="2">
        <v>45975</v>
      </c>
      <c r="D1411" s="1" t="s">
        <v>37</v>
      </c>
      <c r="E1411" s="1" t="s">
        <v>24</v>
      </c>
      <c r="F1411" s="1" t="s">
        <v>38</v>
      </c>
      <c r="G1411" s="1" t="s">
        <v>16</v>
      </c>
      <c r="H1411" s="1" t="s">
        <v>39</v>
      </c>
      <c r="I1411" s="1" t="s">
        <v>26</v>
      </c>
      <c r="J1411">
        <v>30</v>
      </c>
      <c r="K1411">
        <v>26</v>
      </c>
      <c r="L1411" s="1" t="s">
        <v>19</v>
      </c>
    </row>
    <row r="1412" spans="1:12" x14ac:dyDescent="0.3">
      <c r="A1412" s="1" t="s">
        <v>2628</v>
      </c>
      <c r="B1412" s="2">
        <v>45949</v>
      </c>
      <c r="C1412" s="2">
        <v>45951</v>
      </c>
      <c r="D1412" s="1" t="s">
        <v>37</v>
      </c>
      <c r="E1412" s="1" t="s">
        <v>14</v>
      </c>
      <c r="F1412" s="1" t="s">
        <v>15</v>
      </c>
      <c r="G1412" s="1" t="s">
        <v>16</v>
      </c>
      <c r="H1412" s="1" t="s">
        <v>39</v>
      </c>
      <c r="I1412" s="1" t="s">
        <v>26</v>
      </c>
      <c r="J1412">
        <v>30</v>
      </c>
      <c r="K1412">
        <v>2</v>
      </c>
      <c r="L1412" s="1" t="s">
        <v>30</v>
      </c>
    </row>
    <row r="1413" spans="1:12" x14ac:dyDescent="0.3">
      <c r="A1413" s="1" t="s">
        <v>1667</v>
      </c>
      <c r="B1413" s="2">
        <v>45949</v>
      </c>
      <c r="C1413" s="2">
        <v>45996</v>
      </c>
      <c r="D1413" s="1" t="s">
        <v>28</v>
      </c>
      <c r="E1413" s="1" t="s">
        <v>14</v>
      </c>
      <c r="F1413" s="1" t="s">
        <v>15</v>
      </c>
      <c r="G1413" s="1" t="s">
        <v>16</v>
      </c>
      <c r="H1413" s="1" t="s">
        <v>29</v>
      </c>
      <c r="I1413" s="1" t="s">
        <v>26</v>
      </c>
      <c r="J1413">
        <v>15</v>
      </c>
      <c r="K1413">
        <v>47</v>
      </c>
      <c r="L1413" s="1" t="s">
        <v>44</v>
      </c>
    </row>
    <row r="1414" spans="1:12" x14ac:dyDescent="0.3">
      <c r="A1414" s="1" t="s">
        <v>1706</v>
      </c>
      <c r="B1414" s="2">
        <v>45949</v>
      </c>
      <c r="C1414" s="2">
        <v>45951</v>
      </c>
      <c r="D1414" s="1" t="s">
        <v>13</v>
      </c>
      <c r="E1414" s="1" t="s">
        <v>24</v>
      </c>
      <c r="F1414" s="1" t="s">
        <v>15</v>
      </c>
      <c r="G1414" s="1" t="s">
        <v>16</v>
      </c>
      <c r="H1414" s="1" t="s">
        <v>17</v>
      </c>
      <c r="I1414" s="1" t="s">
        <v>18</v>
      </c>
      <c r="J1414">
        <v>45</v>
      </c>
      <c r="K1414">
        <v>2</v>
      </c>
      <c r="L1414" s="1" t="s">
        <v>30</v>
      </c>
    </row>
    <row r="1415" spans="1:12" x14ac:dyDescent="0.3">
      <c r="A1415" s="1" t="s">
        <v>1980</v>
      </c>
      <c r="B1415" s="2">
        <v>45949</v>
      </c>
      <c r="C1415" s="2">
        <v>46003</v>
      </c>
      <c r="D1415" s="1" t="s">
        <v>23</v>
      </c>
      <c r="E1415" s="1" t="s">
        <v>24</v>
      </c>
      <c r="F1415" s="1" t="s">
        <v>15</v>
      </c>
      <c r="G1415" s="1" t="s">
        <v>16</v>
      </c>
      <c r="H1415" s="1" t="s">
        <v>25</v>
      </c>
      <c r="I1415" s="1" t="s">
        <v>18</v>
      </c>
      <c r="J1415">
        <v>30</v>
      </c>
      <c r="K1415">
        <v>54</v>
      </c>
      <c r="L1415" s="1" t="s">
        <v>44</v>
      </c>
    </row>
    <row r="1416" spans="1:12" x14ac:dyDescent="0.3">
      <c r="A1416" s="1" t="s">
        <v>2039</v>
      </c>
      <c r="B1416" s="2">
        <v>45949</v>
      </c>
      <c r="C1416" s="2">
        <v>45980</v>
      </c>
      <c r="D1416" s="1" t="s">
        <v>13</v>
      </c>
      <c r="E1416" s="1" t="s">
        <v>24</v>
      </c>
      <c r="F1416" s="1" t="s">
        <v>15</v>
      </c>
      <c r="G1416" s="1" t="s">
        <v>16</v>
      </c>
      <c r="H1416" s="1" t="s">
        <v>47</v>
      </c>
      <c r="I1416" s="1" t="s">
        <v>26</v>
      </c>
      <c r="J1416">
        <v>30</v>
      </c>
      <c r="K1416">
        <v>31</v>
      </c>
      <c r="L1416" s="1" t="s">
        <v>21</v>
      </c>
    </row>
    <row r="1417" spans="1:12" x14ac:dyDescent="0.3">
      <c r="A1417" s="1" t="s">
        <v>2377</v>
      </c>
      <c r="B1417" s="2">
        <v>45949</v>
      </c>
      <c r="C1417" s="2">
        <v>45995</v>
      </c>
      <c r="D1417" s="1" t="s">
        <v>32</v>
      </c>
      <c r="E1417" s="1" t="s">
        <v>24</v>
      </c>
      <c r="F1417" s="1" t="s">
        <v>15</v>
      </c>
      <c r="G1417" s="1" t="s">
        <v>33</v>
      </c>
      <c r="H1417" s="1" t="s">
        <v>34</v>
      </c>
      <c r="I1417" s="1" t="s">
        <v>18</v>
      </c>
      <c r="J1417">
        <v>45</v>
      </c>
      <c r="K1417">
        <v>46</v>
      </c>
      <c r="L1417" s="1" t="s">
        <v>44</v>
      </c>
    </row>
    <row r="1418" spans="1:12" x14ac:dyDescent="0.3">
      <c r="A1418" s="1" t="s">
        <v>1365</v>
      </c>
      <c r="B1418" s="2">
        <v>45948</v>
      </c>
      <c r="C1418" s="2">
        <v>45996</v>
      </c>
      <c r="D1418" s="1" t="s">
        <v>28</v>
      </c>
      <c r="E1418" s="1" t="s">
        <v>14</v>
      </c>
      <c r="F1418" s="1" t="s">
        <v>15</v>
      </c>
      <c r="G1418" s="1" t="s">
        <v>16</v>
      </c>
      <c r="H1418" s="1" t="s">
        <v>54</v>
      </c>
      <c r="I1418" s="1" t="s">
        <v>18</v>
      </c>
      <c r="J1418">
        <v>15</v>
      </c>
      <c r="K1418">
        <v>48</v>
      </c>
      <c r="L1418" s="1" t="s">
        <v>44</v>
      </c>
    </row>
    <row r="1419" spans="1:12" x14ac:dyDescent="0.3">
      <c r="A1419" s="1" t="s">
        <v>1539</v>
      </c>
      <c r="B1419" s="2">
        <v>45948</v>
      </c>
      <c r="C1419" s="2">
        <v>45975</v>
      </c>
      <c r="D1419" s="1" t="s">
        <v>13</v>
      </c>
      <c r="E1419" s="1" t="s">
        <v>24</v>
      </c>
      <c r="F1419" s="1" t="s">
        <v>15</v>
      </c>
      <c r="G1419" s="1" t="s">
        <v>16</v>
      </c>
      <c r="H1419" s="1" t="s">
        <v>17</v>
      </c>
      <c r="I1419" s="1" t="s">
        <v>18</v>
      </c>
      <c r="J1419">
        <v>45</v>
      </c>
      <c r="K1419">
        <v>27</v>
      </c>
      <c r="L1419" s="1" t="s">
        <v>19</v>
      </c>
    </row>
    <row r="1420" spans="1:12" x14ac:dyDescent="0.3">
      <c r="A1420" s="1" t="s">
        <v>2294</v>
      </c>
      <c r="B1420" s="2">
        <v>45948</v>
      </c>
      <c r="C1420" s="2">
        <v>45977</v>
      </c>
      <c r="D1420" s="1" t="s">
        <v>13</v>
      </c>
      <c r="E1420" s="1" t="s">
        <v>14</v>
      </c>
      <c r="F1420" s="1" t="s">
        <v>15</v>
      </c>
      <c r="G1420" s="1" t="s">
        <v>33</v>
      </c>
      <c r="H1420" s="1" t="s">
        <v>47</v>
      </c>
      <c r="I1420" s="1" t="s">
        <v>18</v>
      </c>
      <c r="J1420">
        <v>15</v>
      </c>
      <c r="K1420">
        <v>29</v>
      </c>
      <c r="L1420" s="1" t="s">
        <v>21</v>
      </c>
    </row>
    <row r="1421" spans="1:12" x14ac:dyDescent="0.3">
      <c r="A1421" s="1" t="s">
        <v>2446</v>
      </c>
      <c r="B1421" s="2">
        <v>45948</v>
      </c>
      <c r="C1421" s="2">
        <v>45974</v>
      </c>
      <c r="D1421" s="1" t="s">
        <v>23</v>
      </c>
      <c r="E1421" s="1" t="s">
        <v>24</v>
      </c>
      <c r="F1421" s="1" t="s">
        <v>15</v>
      </c>
      <c r="G1421" s="1" t="s">
        <v>16</v>
      </c>
      <c r="H1421" s="1" t="s">
        <v>25</v>
      </c>
      <c r="I1421" s="1" t="s">
        <v>41</v>
      </c>
      <c r="J1421">
        <v>45</v>
      </c>
      <c r="K1421">
        <v>26</v>
      </c>
      <c r="L1421" s="1" t="s">
        <v>19</v>
      </c>
    </row>
    <row r="1422" spans="1:12" x14ac:dyDescent="0.3">
      <c r="A1422" s="1" t="s">
        <v>3108</v>
      </c>
      <c r="B1422" s="2">
        <v>45948</v>
      </c>
      <c r="C1422" s="2">
        <v>45989</v>
      </c>
      <c r="D1422" s="1" t="s">
        <v>28</v>
      </c>
      <c r="E1422" s="1" t="s">
        <v>24</v>
      </c>
      <c r="F1422" s="1" t="s">
        <v>15</v>
      </c>
      <c r="G1422" s="1" t="s">
        <v>16</v>
      </c>
      <c r="H1422" s="1" t="s">
        <v>29</v>
      </c>
      <c r="I1422" s="1" t="s">
        <v>41</v>
      </c>
      <c r="J1422">
        <v>30</v>
      </c>
      <c r="K1422">
        <v>41</v>
      </c>
      <c r="L1422" s="1" t="s">
        <v>21</v>
      </c>
    </row>
    <row r="1423" spans="1:12" x14ac:dyDescent="0.3">
      <c r="A1423" s="1" t="s">
        <v>3188</v>
      </c>
      <c r="B1423" s="2">
        <v>45948</v>
      </c>
      <c r="C1423" s="2">
        <v>45993</v>
      </c>
      <c r="D1423" s="1" t="s">
        <v>28</v>
      </c>
      <c r="E1423" s="1" t="s">
        <v>14</v>
      </c>
      <c r="F1423" s="1" t="s">
        <v>38</v>
      </c>
      <c r="G1423" s="1" t="s">
        <v>16</v>
      </c>
      <c r="H1423" s="1" t="s">
        <v>54</v>
      </c>
      <c r="I1423" s="1" t="s">
        <v>18</v>
      </c>
      <c r="J1423">
        <v>30</v>
      </c>
      <c r="K1423">
        <v>45</v>
      </c>
      <c r="L1423" s="1" t="s">
        <v>44</v>
      </c>
    </row>
    <row r="1424" spans="1:12" x14ac:dyDescent="0.3">
      <c r="A1424" s="1" t="s">
        <v>270</v>
      </c>
      <c r="B1424" s="2">
        <v>45947</v>
      </c>
      <c r="C1424" s="2">
        <v>45987</v>
      </c>
      <c r="D1424" s="1" t="s">
        <v>23</v>
      </c>
      <c r="E1424" s="1" t="s">
        <v>14</v>
      </c>
      <c r="F1424" s="1" t="s">
        <v>15</v>
      </c>
      <c r="G1424" s="1" t="s">
        <v>16</v>
      </c>
      <c r="H1424" s="1" t="s">
        <v>43</v>
      </c>
      <c r="I1424" s="1" t="s">
        <v>18</v>
      </c>
      <c r="J1424">
        <v>15</v>
      </c>
      <c r="K1424">
        <v>40</v>
      </c>
      <c r="L1424" s="1" t="s">
        <v>21</v>
      </c>
    </row>
    <row r="1425" spans="1:12" x14ac:dyDescent="0.3">
      <c r="A1425" s="1" t="s">
        <v>372</v>
      </c>
      <c r="B1425" s="2">
        <v>45947</v>
      </c>
      <c r="C1425" s="2">
        <v>46000</v>
      </c>
      <c r="D1425" s="1" t="s">
        <v>23</v>
      </c>
      <c r="E1425" s="1" t="s">
        <v>14</v>
      </c>
      <c r="F1425" s="1" t="s">
        <v>15</v>
      </c>
      <c r="G1425" s="1" t="s">
        <v>16</v>
      </c>
      <c r="H1425" s="1" t="s">
        <v>25</v>
      </c>
      <c r="I1425" s="1" t="s">
        <v>26</v>
      </c>
      <c r="J1425">
        <v>15</v>
      </c>
      <c r="K1425">
        <v>53</v>
      </c>
      <c r="L1425" s="1" t="s">
        <v>44</v>
      </c>
    </row>
    <row r="1426" spans="1:12" x14ac:dyDescent="0.3">
      <c r="A1426" s="1" t="s">
        <v>921</v>
      </c>
      <c r="B1426" s="2">
        <v>45947</v>
      </c>
      <c r="C1426" s="2">
        <v>45999</v>
      </c>
      <c r="D1426" s="1" t="s">
        <v>23</v>
      </c>
      <c r="E1426" s="1" t="s">
        <v>14</v>
      </c>
      <c r="F1426" s="1" t="s">
        <v>38</v>
      </c>
      <c r="G1426" s="1" t="s">
        <v>16</v>
      </c>
      <c r="H1426" s="1" t="s">
        <v>25</v>
      </c>
      <c r="I1426" s="1" t="s">
        <v>26</v>
      </c>
      <c r="J1426">
        <v>15</v>
      </c>
      <c r="K1426">
        <v>52</v>
      </c>
      <c r="L1426" s="1" t="s">
        <v>44</v>
      </c>
    </row>
    <row r="1427" spans="1:12" x14ac:dyDescent="0.3">
      <c r="A1427" s="1" t="s">
        <v>1025</v>
      </c>
      <c r="B1427" s="2">
        <v>45947</v>
      </c>
      <c r="C1427" s="2">
        <v>45976</v>
      </c>
      <c r="D1427" s="1" t="s">
        <v>32</v>
      </c>
      <c r="E1427" s="1" t="s">
        <v>14</v>
      </c>
      <c r="F1427" s="1" t="s">
        <v>15</v>
      </c>
      <c r="G1427" s="1" t="s">
        <v>16</v>
      </c>
      <c r="H1427" s="1" t="s">
        <v>34</v>
      </c>
      <c r="I1427" s="1" t="s">
        <v>41</v>
      </c>
      <c r="J1427">
        <v>15</v>
      </c>
      <c r="K1427">
        <v>29</v>
      </c>
      <c r="L1427" s="1" t="s">
        <v>21</v>
      </c>
    </row>
    <row r="1428" spans="1:12" x14ac:dyDescent="0.3">
      <c r="A1428" s="1" t="s">
        <v>1034</v>
      </c>
      <c r="B1428" s="2">
        <v>45947</v>
      </c>
      <c r="C1428" s="2">
        <v>45980</v>
      </c>
      <c r="D1428" s="1" t="s">
        <v>23</v>
      </c>
      <c r="E1428" s="1" t="s">
        <v>24</v>
      </c>
      <c r="F1428" s="1" t="s">
        <v>15</v>
      </c>
      <c r="G1428" s="1" t="s">
        <v>16</v>
      </c>
      <c r="H1428" s="1" t="s">
        <v>43</v>
      </c>
      <c r="I1428" s="1" t="s">
        <v>26</v>
      </c>
      <c r="J1428">
        <v>30</v>
      </c>
      <c r="K1428">
        <v>33</v>
      </c>
      <c r="L1428" s="1" t="s">
        <v>21</v>
      </c>
    </row>
    <row r="1429" spans="1:12" x14ac:dyDescent="0.3">
      <c r="A1429" s="1" t="s">
        <v>1619</v>
      </c>
      <c r="B1429" s="2">
        <v>45947</v>
      </c>
      <c r="C1429" s="2">
        <v>46004</v>
      </c>
      <c r="D1429" s="1" t="s">
        <v>32</v>
      </c>
      <c r="E1429" s="1" t="s">
        <v>14</v>
      </c>
      <c r="F1429" s="1" t="s">
        <v>38</v>
      </c>
      <c r="G1429" s="1" t="s">
        <v>16</v>
      </c>
      <c r="H1429" s="1" t="s">
        <v>71</v>
      </c>
      <c r="I1429" s="1" t="s">
        <v>18</v>
      </c>
      <c r="J1429">
        <v>15</v>
      </c>
      <c r="K1429">
        <v>57</v>
      </c>
      <c r="L1429" s="1" t="s">
        <v>80</v>
      </c>
    </row>
    <row r="1430" spans="1:12" x14ac:dyDescent="0.3">
      <c r="A1430" s="1" t="s">
        <v>98</v>
      </c>
      <c r="B1430" s="2">
        <v>45946</v>
      </c>
      <c r="C1430" s="2">
        <v>46033</v>
      </c>
      <c r="D1430" s="1" t="s">
        <v>32</v>
      </c>
      <c r="E1430" s="1" t="s">
        <v>24</v>
      </c>
      <c r="F1430" s="1" t="s">
        <v>15</v>
      </c>
      <c r="G1430" s="1" t="s">
        <v>53</v>
      </c>
      <c r="H1430" s="1" t="s">
        <v>71</v>
      </c>
      <c r="I1430" s="1" t="s">
        <v>41</v>
      </c>
      <c r="J1430">
        <v>45</v>
      </c>
      <c r="K1430">
        <v>87</v>
      </c>
      <c r="L1430" s="1" t="s">
        <v>80</v>
      </c>
    </row>
    <row r="1431" spans="1:12" x14ac:dyDescent="0.3">
      <c r="A1431" s="1" t="s">
        <v>831</v>
      </c>
      <c r="B1431" s="2">
        <v>45946</v>
      </c>
      <c r="C1431" s="2">
        <v>46008</v>
      </c>
      <c r="D1431" s="1" t="s">
        <v>13</v>
      </c>
      <c r="E1431" s="1" t="s">
        <v>24</v>
      </c>
      <c r="F1431" s="1" t="s">
        <v>15</v>
      </c>
      <c r="G1431" s="1" t="s">
        <v>16</v>
      </c>
      <c r="H1431" s="1" t="s">
        <v>47</v>
      </c>
      <c r="I1431" s="1" t="s">
        <v>26</v>
      </c>
      <c r="J1431">
        <v>30</v>
      </c>
      <c r="K1431">
        <v>62</v>
      </c>
      <c r="L1431" s="1" t="s">
        <v>80</v>
      </c>
    </row>
    <row r="1432" spans="1:12" x14ac:dyDescent="0.3">
      <c r="A1432" s="1" t="s">
        <v>849</v>
      </c>
      <c r="B1432" s="2">
        <v>45946</v>
      </c>
      <c r="C1432" s="2">
        <v>46001</v>
      </c>
      <c r="D1432" s="1" t="s">
        <v>28</v>
      </c>
      <c r="E1432" s="1" t="s">
        <v>14</v>
      </c>
      <c r="F1432" s="1" t="s">
        <v>38</v>
      </c>
      <c r="G1432" s="1" t="s">
        <v>16</v>
      </c>
      <c r="H1432" s="1" t="s">
        <v>29</v>
      </c>
      <c r="I1432" s="1" t="s">
        <v>41</v>
      </c>
      <c r="J1432">
        <v>15</v>
      </c>
      <c r="K1432">
        <v>55</v>
      </c>
      <c r="L1432" s="1" t="s">
        <v>44</v>
      </c>
    </row>
    <row r="1433" spans="1:12" x14ac:dyDescent="0.3">
      <c r="A1433" s="1" t="s">
        <v>336</v>
      </c>
      <c r="B1433" s="2">
        <v>45946</v>
      </c>
      <c r="C1433" s="2">
        <v>45989</v>
      </c>
      <c r="D1433" s="1" t="s">
        <v>37</v>
      </c>
      <c r="E1433" s="1" t="s">
        <v>24</v>
      </c>
      <c r="F1433" s="1" t="s">
        <v>15</v>
      </c>
      <c r="G1433" s="1" t="s">
        <v>16</v>
      </c>
      <c r="H1433" s="1" t="s">
        <v>39</v>
      </c>
      <c r="I1433" s="1" t="s">
        <v>41</v>
      </c>
      <c r="J1433">
        <v>30</v>
      </c>
      <c r="K1433">
        <v>43</v>
      </c>
      <c r="L1433" s="1" t="s">
        <v>44</v>
      </c>
    </row>
    <row r="1434" spans="1:12" x14ac:dyDescent="0.3">
      <c r="A1434" s="1" t="s">
        <v>2876</v>
      </c>
      <c r="B1434" s="2">
        <v>45946</v>
      </c>
      <c r="C1434" s="2">
        <v>45964</v>
      </c>
      <c r="D1434" s="1" t="s">
        <v>37</v>
      </c>
      <c r="E1434" s="1" t="s">
        <v>14</v>
      </c>
      <c r="F1434" s="1" t="s">
        <v>15</v>
      </c>
      <c r="G1434" s="1" t="s">
        <v>16</v>
      </c>
      <c r="H1434" s="1" t="s">
        <v>39</v>
      </c>
      <c r="I1434" s="1" t="s">
        <v>18</v>
      </c>
      <c r="J1434">
        <v>15</v>
      </c>
      <c r="K1434">
        <v>18</v>
      </c>
      <c r="L1434" s="1" t="s">
        <v>19</v>
      </c>
    </row>
    <row r="1435" spans="1:12" x14ac:dyDescent="0.3">
      <c r="A1435" s="1" t="s">
        <v>68</v>
      </c>
      <c r="B1435" s="2">
        <v>45946</v>
      </c>
      <c r="C1435" s="2">
        <v>45963</v>
      </c>
      <c r="D1435" s="1" t="s">
        <v>37</v>
      </c>
      <c r="E1435" s="1" t="s">
        <v>24</v>
      </c>
      <c r="F1435" s="1" t="s">
        <v>15</v>
      </c>
      <c r="G1435" s="1" t="s">
        <v>16</v>
      </c>
      <c r="H1435" s="1" t="s">
        <v>39</v>
      </c>
      <c r="I1435" s="1" t="s">
        <v>26</v>
      </c>
      <c r="J1435">
        <v>30</v>
      </c>
      <c r="K1435">
        <v>17</v>
      </c>
      <c r="L1435" s="1" t="s">
        <v>19</v>
      </c>
    </row>
    <row r="1436" spans="1:12" x14ac:dyDescent="0.3">
      <c r="A1436" s="1" t="s">
        <v>2161</v>
      </c>
      <c r="B1436" s="2">
        <v>45946</v>
      </c>
      <c r="C1436" s="2">
        <v>45968</v>
      </c>
      <c r="D1436" s="1" t="s">
        <v>32</v>
      </c>
      <c r="E1436" s="1" t="s">
        <v>24</v>
      </c>
      <c r="F1436" s="1" t="s">
        <v>15</v>
      </c>
      <c r="G1436" s="1" t="s">
        <v>16</v>
      </c>
      <c r="H1436" s="1" t="s">
        <v>34</v>
      </c>
      <c r="I1436" s="1" t="s">
        <v>26</v>
      </c>
      <c r="J1436">
        <v>30</v>
      </c>
      <c r="K1436">
        <v>22</v>
      </c>
      <c r="L1436" s="1" t="s">
        <v>19</v>
      </c>
    </row>
    <row r="1437" spans="1:12" x14ac:dyDescent="0.3">
      <c r="A1437" s="1" t="s">
        <v>2179</v>
      </c>
      <c r="B1437" s="2">
        <v>45946</v>
      </c>
      <c r="C1437" s="2">
        <v>45968</v>
      </c>
      <c r="D1437" s="1" t="s">
        <v>13</v>
      </c>
      <c r="E1437" s="1" t="s">
        <v>14</v>
      </c>
      <c r="F1437" s="1" t="s">
        <v>15</v>
      </c>
      <c r="G1437" s="1" t="s">
        <v>16</v>
      </c>
      <c r="H1437" s="1" t="s">
        <v>47</v>
      </c>
      <c r="I1437" s="1" t="s">
        <v>41</v>
      </c>
      <c r="J1437">
        <v>15</v>
      </c>
      <c r="K1437">
        <v>22</v>
      </c>
      <c r="L1437" s="1" t="s">
        <v>19</v>
      </c>
    </row>
    <row r="1438" spans="1:12" x14ac:dyDescent="0.3">
      <c r="A1438" s="1" t="s">
        <v>2196</v>
      </c>
      <c r="B1438" s="2">
        <v>45946</v>
      </c>
      <c r="C1438" s="2">
        <v>45982</v>
      </c>
      <c r="D1438" s="1" t="s">
        <v>13</v>
      </c>
      <c r="E1438" s="1" t="s">
        <v>14</v>
      </c>
      <c r="F1438" s="1" t="s">
        <v>15</v>
      </c>
      <c r="G1438" s="1" t="s">
        <v>16</v>
      </c>
      <c r="H1438" s="1" t="s">
        <v>47</v>
      </c>
      <c r="I1438" s="1" t="s">
        <v>41</v>
      </c>
      <c r="J1438">
        <v>15</v>
      </c>
      <c r="K1438">
        <v>36</v>
      </c>
      <c r="L1438" s="1" t="s">
        <v>21</v>
      </c>
    </row>
    <row r="1439" spans="1:12" x14ac:dyDescent="0.3">
      <c r="A1439" s="1" t="s">
        <v>2385</v>
      </c>
      <c r="B1439" s="2">
        <v>45946</v>
      </c>
      <c r="C1439" s="2">
        <v>45953</v>
      </c>
      <c r="D1439" s="1" t="s">
        <v>23</v>
      </c>
      <c r="E1439" s="1" t="s">
        <v>24</v>
      </c>
      <c r="F1439" s="1" t="s">
        <v>15</v>
      </c>
      <c r="G1439" s="1" t="s">
        <v>16</v>
      </c>
      <c r="H1439" s="1" t="s">
        <v>25</v>
      </c>
      <c r="I1439" s="1" t="s">
        <v>18</v>
      </c>
      <c r="J1439">
        <v>30</v>
      </c>
      <c r="K1439">
        <v>7</v>
      </c>
      <c r="L1439" s="1" t="s">
        <v>30</v>
      </c>
    </row>
    <row r="1440" spans="1:12" x14ac:dyDescent="0.3">
      <c r="A1440" s="1" t="s">
        <v>2817</v>
      </c>
      <c r="B1440" s="2">
        <v>45946</v>
      </c>
      <c r="C1440" s="2">
        <v>45991</v>
      </c>
      <c r="D1440" s="1" t="s">
        <v>28</v>
      </c>
      <c r="E1440" s="1" t="s">
        <v>14</v>
      </c>
      <c r="F1440" s="1" t="s">
        <v>38</v>
      </c>
      <c r="G1440" s="1" t="s">
        <v>53</v>
      </c>
      <c r="H1440" s="1" t="s">
        <v>29</v>
      </c>
      <c r="I1440" s="1" t="s">
        <v>26</v>
      </c>
      <c r="J1440">
        <v>15</v>
      </c>
      <c r="K1440">
        <v>45</v>
      </c>
      <c r="L1440" s="1" t="s">
        <v>44</v>
      </c>
    </row>
    <row r="1441" spans="1:12" x14ac:dyDescent="0.3">
      <c r="A1441" s="1" t="s">
        <v>330</v>
      </c>
      <c r="B1441" s="2">
        <v>45945</v>
      </c>
      <c r="C1441" s="2">
        <v>45973</v>
      </c>
      <c r="D1441" s="1" t="s">
        <v>13</v>
      </c>
      <c r="E1441" s="1" t="s">
        <v>24</v>
      </c>
      <c r="F1441" s="1" t="s">
        <v>15</v>
      </c>
      <c r="G1441" s="1" t="s">
        <v>16</v>
      </c>
      <c r="H1441" s="1" t="s">
        <v>17</v>
      </c>
      <c r="I1441" s="1" t="s">
        <v>41</v>
      </c>
      <c r="J1441">
        <v>45</v>
      </c>
      <c r="K1441">
        <v>28</v>
      </c>
      <c r="L1441" s="1" t="s">
        <v>19</v>
      </c>
    </row>
    <row r="1442" spans="1:12" x14ac:dyDescent="0.3">
      <c r="A1442" s="1" t="s">
        <v>346</v>
      </c>
      <c r="B1442" s="2">
        <v>45945</v>
      </c>
      <c r="C1442" s="2">
        <v>45985</v>
      </c>
      <c r="D1442" s="1" t="s">
        <v>23</v>
      </c>
      <c r="E1442" s="1" t="s">
        <v>24</v>
      </c>
      <c r="F1442" s="1" t="s">
        <v>15</v>
      </c>
      <c r="G1442" s="1" t="s">
        <v>16</v>
      </c>
      <c r="H1442" s="1" t="s">
        <v>43</v>
      </c>
      <c r="I1442" s="1" t="s">
        <v>26</v>
      </c>
      <c r="J1442">
        <v>45</v>
      </c>
      <c r="K1442">
        <v>40</v>
      </c>
      <c r="L1442" s="1" t="s">
        <v>21</v>
      </c>
    </row>
    <row r="1443" spans="1:12" x14ac:dyDescent="0.3">
      <c r="A1443" s="1" t="s">
        <v>969</v>
      </c>
      <c r="B1443" s="2">
        <v>45945</v>
      </c>
      <c r="C1443" s="2">
        <v>45981</v>
      </c>
      <c r="D1443" s="1" t="s">
        <v>28</v>
      </c>
      <c r="E1443" s="1" t="s">
        <v>24</v>
      </c>
      <c r="F1443" s="1" t="s">
        <v>15</v>
      </c>
      <c r="G1443" s="1" t="s">
        <v>16</v>
      </c>
      <c r="H1443" s="1" t="s">
        <v>29</v>
      </c>
      <c r="I1443" s="1" t="s">
        <v>18</v>
      </c>
      <c r="J1443">
        <v>30</v>
      </c>
      <c r="K1443">
        <v>36</v>
      </c>
      <c r="L1443" s="1" t="s">
        <v>21</v>
      </c>
    </row>
    <row r="1444" spans="1:12" x14ac:dyDescent="0.3">
      <c r="A1444" s="1" t="s">
        <v>2160</v>
      </c>
      <c r="B1444" s="2">
        <v>45945</v>
      </c>
      <c r="C1444" s="2">
        <v>45990</v>
      </c>
      <c r="D1444" s="1" t="s">
        <v>37</v>
      </c>
      <c r="E1444" s="1" t="s">
        <v>14</v>
      </c>
      <c r="F1444" s="1" t="s">
        <v>38</v>
      </c>
      <c r="G1444" s="1" t="s">
        <v>16</v>
      </c>
      <c r="H1444" s="1" t="s">
        <v>39</v>
      </c>
      <c r="I1444" s="1" t="s">
        <v>26</v>
      </c>
      <c r="J1444">
        <v>30</v>
      </c>
      <c r="K1444">
        <v>45</v>
      </c>
      <c r="L1444" s="1" t="s">
        <v>44</v>
      </c>
    </row>
    <row r="1445" spans="1:12" x14ac:dyDescent="0.3">
      <c r="A1445" s="1" t="s">
        <v>959</v>
      </c>
      <c r="B1445" s="2">
        <v>45945</v>
      </c>
      <c r="C1445" s="2">
        <v>45947</v>
      </c>
      <c r="D1445" s="1" t="s">
        <v>37</v>
      </c>
      <c r="E1445" s="1" t="s">
        <v>14</v>
      </c>
      <c r="F1445" s="1" t="s">
        <v>15</v>
      </c>
      <c r="G1445" s="1" t="s">
        <v>16</v>
      </c>
      <c r="H1445" s="1" t="s">
        <v>39</v>
      </c>
      <c r="I1445" s="1" t="s">
        <v>18</v>
      </c>
      <c r="J1445">
        <v>15</v>
      </c>
      <c r="K1445">
        <v>2</v>
      </c>
      <c r="L1445" s="1" t="s">
        <v>30</v>
      </c>
    </row>
    <row r="1446" spans="1:12" x14ac:dyDescent="0.3">
      <c r="A1446" s="1" t="s">
        <v>1890</v>
      </c>
      <c r="B1446" s="2">
        <v>45945</v>
      </c>
      <c r="C1446" s="2">
        <v>46010</v>
      </c>
      <c r="D1446" s="1" t="s">
        <v>13</v>
      </c>
      <c r="E1446" s="1" t="s">
        <v>14</v>
      </c>
      <c r="F1446" s="1" t="s">
        <v>15</v>
      </c>
      <c r="G1446" s="1" t="s">
        <v>16</v>
      </c>
      <c r="H1446" s="1" t="s">
        <v>47</v>
      </c>
      <c r="I1446" s="1" t="s">
        <v>41</v>
      </c>
      <c r="J1446">
        <v>30</v>
      </c>
      <c r="K1446">
        <v>65</v>
      </c>
      <c r="L1446" s="1" t="s">
        <v>80</v>
      </c>
    </row>
    <row r="1447" spans="1:12" x14ac:dyDescent="0.3">
      <c r="A1447" s="1" t="s">
        <v>2878</v>
      </c>
      <c r="B1447" s="2">
        <v>45945</v>
      </c>
      <c r="C1447" s="2">
        <v>45984</v>
      </c>
      <c r="D1447" s="1" t="s">
        <v>13</v>
      </c>
      <c r="E1447" s="1" t="s">
        <v>14</v>
      </c>
      <c r="F1447" s="1" t="s">
        <v>15</v>
      </c>
      <c r="G1447" s="1" t="s">
        <v>53</v>
      </c>
      <c r="H1447" s="1" t="s">
        <v>47</v>
      </c>
      <c r="I1447" s="1" t="s">
        <v>26</v>
      </c>
      <c r="J1447">
        <v>15</v>
      </c>
      <c r="K1447">
        <v>39</v>
      </c>
      <c r="L1447" s="1" t="s">
        <v>21</v>
      </c>
    </row>
    <row r="1448" spans="1:12" x14ac:dyDescent="0.3">
      <c r="A1448" s="1" t="s">
        <v>581</v>
      </c>
      <c r="B1448" s="2">
        <v>45944</v>
      </c>
      <c r="C1448" s="2">
        <v>45946</v>
      </c>
      <c r="D1448" s="1" t="s">
        <v>23</v>
      </c>
      <c r="E1448" s="1" t="s">
        <v>14</v>
      </c>
      <c r="F1448" s="1" t="s">
        <v>15</v>
      </c>
      <c r="G1448" s="1" t="s">
        <v>16</v>
      </c>
      <c r="H1448" s="1" t="s">
        <v>25</v>
      </c>
      <c r="I1448" s="1" t="s">
        <v>26</v>
      </c>
      <c r="J1448">
        <v>15</v>
      </c>
      <c r="K1448">
        <v>2</v>
      </c>
      <c r="L1448" s="1" t="s">
        <v>30</v>
      </c>
    </row>
    <row r="1449" spans="1:12" x14ac:dyDescent="0.3">
      <c r="A1449" s="1" t="s">
        <v>919</v>
      </c>
      <c r="B1449" s="2">
        <v>45944</v>
      </c>
      <c r="C1449" s="2">
        <v>45961</v>
      </c>
      <c r="D1449" s="1" t="s">
        <v>23</v>
      </c>
      <c r="E1449" s="1" t="s">
        <v>14</v>
      </c>
      <c r="F1449" s="1" t="s">
        <v>15</v>
      </c>
      <c r="G1449" s="1" t="s">
        <v>16</v>
      </c>
      <c r="H1449" s="1" t="s">
        <v>43</v>
      </c>
      <c r="I1449" s="1" t="s">
        <v>18</v>
      </c>
      <c r="J1449">
        <v>15</v>
      </c>
      <c r="K1449">
        <v>17</v>
      </c>
      <c r="L1449" s="1" t="s">
        <v>19</v>
      </c>
    </row>
    <row r="1450" spans="1:12" x14ac:dyDescent="0.3">
      <c r="A1450" s="1" t="s">
        <v>1422</v>
      </c>
      <c r="B1450" s="2">
        <v>45944</v>
      </c>
      <c r="C1450" s="2">
        <v>45965</v>
      </c>
      <c r="D1450" s="1" t="s">
        <v>23</v>
      </c>
      <c r="E1450" s="1" t="s">
        <v>24</v>
      </c>
      <c r="F1450" s="1" t="s">
        <v>15</v>
      </c>
      <c r="G1450" s="1" t="s">
        <v>16</v>
      </c>
      <c r="H1450" s="1" t="s">
        <v>43</v>
      </c>
      <c r="I1450" s="1" t="s">
        <v>26</v>
      </c>
      <c r="J1450">
        <v>30</v>
      </c>
      <c r="K1450">
        <v>21</v>
      </c>
      <c r="L1450" s="1" t="s">
        <v>19</v>
      </c>
    </row>
    <row r="1451" spans="1:12" x14ac:dyDescent="0.3">
      <c r="A1451" s="1" t="s">
        <v>1301</v>
      </c>
      <c r="B1451" s="2">
        <v>45944</v>
      </c>
      <c r="C1451" s="2">
        <v>45992</v>
      </c>
      <c r="D1451" s="1" t="s">
        <v>37</v>
      </c>
      <c r="E1451" s="1" t="s">
        <v>14</v>
      </c>
      <c r="F1451" s="1" t="s">
        <v>15</v>
      </c>
      <c r="G1451" s="1" t="s">
        <v>16</v>
      </c>
      <c r="H1451" s="1" t="s">
        <v>39</v>
      </c>
      <c r="I1451" s="1" t="s">
        <v>18</v>
      </c>
      <c r="J1451">
        <v>15</v>
      </c>
      <c r="K1451">
        <v>48</v>
      </c>
      <c r="L1451" s="1" t="s">
        <v>44</v>
      </c>
    </row>
    <row r="1452" spans="1:12" x14ac:dyDescent="0.3">
      <c r="A1452" s="1" t="s">
        <v>2966</v>
      </c>
      <c r="B1452" s="2">
        <v>45944</v>
      </c>
      <c r="C1452" s="2">
        <v>45983</v>
      </c>
      <c r="D1452" s="1" t="s">
        <v>37</v>
      </c>
      <c r="E1452" s="1" t="s">
        <v>24</v>
      </c>
      <c r="F1452" s="1" t="s">
        <v>38</v>
      </c>
      <c r="G1452" s="1" t="s">
        <v>16</v>
      </c>
      <c r="H1452" s="1" t="s">
        <v>49</v>
      </c>
      <c r="I1452" s="1" t="s">
        <v>41</v>
      </c>
      <c r="J1452">
        <v>45</v>
      </c>
      <c r="K1452">
        <v>39</v>
      </c>
      <c r="L1452" s="1" t="s">
        <v>21</v>
      </c>
    </row>
    <row r="1453" spans="1:12" x14ac:dyDescent="0.3">
      <c r="A1453" s="1" t="s">
        <v>1182</v>
      </c>
      <c r="B1453" s="2">
        <v>45944</v>
      </c>
      <c r="C1453" s="2">
        <v>45963</v>
      </c>
      <c r="D1453" s="1" t="s">
        <v>37</v>
      </c>
      <c r="E1453" s="1" t="s">
        <v>14</v>
      </c>
      <c r="F1453" s="1" t="s">
        <v>15</v>
      </c>
      <c r="G1453" s="1" t="s">
        <v>16</v>
      </c>
      <c r="H1453" s="1" t="s">
        <v>49</v>
      </c>
      <c r="I1453" s="1" t="s">
        <v>41</v>
      </c>
      <c r="J1453">
        <v>15</v>
      </c>
      <c r="K1453">
        <v>19</v>
      </c>
      <c r="L1453" s="1" t="s">
        <v>19</v>
      </c>
    </row>
    <row r="1454" spans="1:12" x14ac:dyDescent="0.3">
      <c r="A1454" s="1" t="s">
        <v>2181</v>
      </c>
      <c r="B1454" s="2">
        <v>45944</v>
      </c>
      <c r="C1454" s="2">
        <v>45959</v>
      </c>
      <c r="D1454" s="1" t="s">
        <v>13</v>
      </c>
      <c r="E1454" s="1" t="s">
        <v>14</v>
      </c>
      <c r="F1454" s="1" t="s">
        <v>38</v>
      </c>
      <c r="G1454" s="1" t="s">
        <v>16</v>
      </c>
      <c r="H1454" s="1" t="s">
        <v>17</v>
      </c>
      <c r="I1454" s="1" t="s">
        <v>18</v>
      </c>
      <c r="J1454">
        <v>15</v>
      </c>
      <c r="K1454">
        <v>15</v>
      </c>
      <c r="L1454" s="1" t="s">
        <v>19</v>
      </c>
    </row>
    <row r="1455" spans="1:12" x14ac:dyDescent="0.3">
      <c r="A1455" s="1" t="s">
        <v>2378</v>
      </c>
      <c r="B1455" s="2">
        <v>45944</v>
      </c>
      <c r="C1455" s="2">
        <v>45950</v>
      </c>
      <c r="D1455" s="1" t="s">
        <v>32</v>
      </c>
      <c r="E1455" s="1" t="s">
        <v>14</v>
      </c>
      <c r="F1455" s="1" t="s">
        <v>15</v>
      </c>
      <c r="G1455" s="1" t="s">
        <v>16</v>
      </c>
      <c r="H1455" s="1" t="s">
        <v>34</v>
      </c>
      <c r="I1455" s="1" t="s">
        <v>26</v>
      </c>
      <c r="J1455">
        <v>15</v>
      </c>
      <c r="K1455">
        <v>6</v>
      </c>
      <c r="L1455" s="1" t="s">
        <v>30</v>
      </c>
    </row>
    <row r="1456" spans="1:12" x14ac:dyDescent="0.3">
      <c r="A1456" s="1" t="s">
        <v>2393</v>
      </c>
      <c r="B1456" s="2">
        <v>45944</v>
      </c>
      <c r="C1456" s="2">
        <v>46003</v>
      </c>
      <c r="D1456" s="1" t="s">
        <v>23</v>
      </c>
      <c r="E1456" s="1" t="s">
        <v>14</v>
      </c>
      <c r="F1456" s="1" t="s">
        <v>38</v>
      </c>
      <c r="G1456" s="1" t="s">
        <v>16</v>
      </c>
      <c r="H1456" s="1" t="s">
        <v>43</v>
      </c>
      <c r="I1456" s="1" t="s">
        <v>18</v>
      </c>
      <c r="J1456">
        <v>15</v>
      </c>
      <c r="K1456">
        <v>59</v>
      </c>
      <c r="L1456" s="1" t="s">
        <v>80</v>
      </c>
    </row>
    <row r="1457" spans="1:12" x14ac:dyDescent="0.3">
      <c r="A1457" s="1" t="s">
        <v>2863</v>
      </c>
      <c r="B1457" s="2">
        <v>45944</v>
      </c>
      <c r="C1457" s="2">
        <v>46014</v>
      </c>
      <c r="D1457" s="1" t="s">
        <v>23</v>
      </c>
      <c r="E1457" s="1" t="s">
        <v>24</v>
      </c>
      <c r="F1457" s="1" t="s">
        <v>38</v>
      </c>
      <c r="G1457" s="1" t="s">
        <v>16</v>
      </c>
      <c r="H1457" s="1" t="s">
        <v>25</v>
      </c>
      <c r="I1457" s="1" t="s">
        <v>41</v>
      </c>
      <c r="J1457">
        <v>30</v>
      </c>
      <c r="K1457">
        <v>70</v>
      </c>
      <c r="L1457" s="1" t="s">
        <v>80</v>
      </c>
    </row>
    <row r="1458" spans="1:12" x14ac:dyDescent="0.3">
      <c r="A1458" s="1" t="s">
        <v>3153</v>
      </c>
      <c r="B1458" s="2">
        <v>45944</v>
      </c>
      <c r="C1458" s="2">
        <v>45946</v>
      </c>
      <c r="D1458" s="1" t="s">
        <v>32</v>
      </c>
      <c r="E1458" s="1" t="s">
        <v>24</v>
      </c>
      <c r="F1458" s="1" t="s">
        <v>15</v>
      </c>
      <c r="G1458" s="1" t="s">
        <v>16</v>
      </c>
      <c r="H1458" s="1" t="s">
        <v>71</v>
      </c>
      <c r="I1458" s="1" t="s">
        <v>26</v>
      </c>
      <c r="J1458">
        <v>30</v>
      </c>
      <c r="K1458">
        <v>2</v>
      </c>
      <c r="L1458" s="1" t="s">
        <v>30</v>
      </c>
    </row>
    <row r="1459" spans="1:12" x14ac:dyDescent="0.3">
      <c r="A1459" s="1" t="s">
        <v>648</v>
      </c>
      <c r="B1459" s="2">
        <v>45943</v>
      </c>
      <c r="C1459" s="2">
        <v>46000</v>
      </c>
      <c r="D1459" s="1" t="s">
        <v>13</v>
      </c>
      <c r="E1459" s="1" t="s">
        <v>14</v>
      </c>
      <c r="F1459" s="1" t="s">
        <v>38</v>
      </c>
      <c r="G1459" s="1" t="s">
        <v>16</v>
      </c>
      <c r="H1459" s="1" t="s">
        <v>17</v>
      </c>
      <c r="I1459" s="1" t="s">
        <v>26</v>
      </c>
      <c r="J1459">
        <v>30</v>
      </c>
      <c r="K1459">
        <v>57</v>
      </c>
      <c r="L1459" s="1" t="s">
        <v>80</v>
      </c>
    </row>
    <row r="1460" spans="1:12" x14ac:dyDescent="0.3">
      <c r="A1460" s="1" t="s">
        <v>973</v>
      </c>
      <c r="B1460" s="2">
        <v>45943</v>
      </c>
      <c r="C1460" s="2">
        <v>45992</v>
      </c>
      <c r="D1460" s="1" t="s">
        <v>23</v>
      </c>
      <c r="E1460" s="1" t="s">
        <v>14</v>
      </c>
      <c r="F1460" s="1" t="s">
        <v>15</v>
      </c>
      <c r="G1460" s="1" t="s">
        <v>16</v>
      </c>
      <c r="H1460" s="1" t="s">
        <v>25</v>
      </c>
      <c r="I1460" s="1" t="s">
        <v>26</v>
      </c>
      <c r="J1460">
        <v>15</v>
      </c>
      <c r="K1460">
        <v>49</v>
      </c>
      <c r="L1460" s="1" t="s">
        <v>44</v>
      </c>
    </row>
    <row r="1461" spans="1:12" x14ac:dyDescent="0.3">
      <c r="A1461" s="1" t="s">
        <v>2938</v>
      </c>
      <c r="B1461" s="2">
        <v>45943</v>
      </c>
      <c r="C1461" s="2">
        <v>46022</v>
      </c>
      <c r="D1461" s="1" t="s">
        <v>37</v>
      </c>
      <c r="E1461" s="1" t="s">
        <v>24</v>
      </c>
      <c r="F1461" s="1" t="s">
        <v>15</v>
      </c>
      <c r="G1461" s="1" t="s">
        <v>16</v>
      </c>
      <c r="H1461" s="1" t="s">
        <v>49</v>
      </c>
      <c r="I1461" s="1" t="s">
        <v>26</v>
      </c>
      <c r="J1461">
        <v>30</v>
      </c>
      <c r="K1461">
        <v>79</v>
      </c>
      <c r="L1461" s="1" t="s">
        <v>80</v>
      </c>
    </row>
    <row r="1462" spans="1:12" x14ac:dyDescent="0.3">
      <c r="A1462" s="1" t="s">
        <v>1678</v>
      </c>
      <c r="B1462" s="2">
        <v>45943</v>
      </c>
      <c r="C1462" s="2">
        <v>45997</v>
      </c>
      <c r="D1462" s="1" t="s">
        <v>37</v>
      </c>
      <c r="E1462" s="1" t="s">
        <v>14</v>
      </c>
      <c r="F1462" s="1" t="s">
        <v>38</v>
      </c>
      <c r="G1462" s="1" t="s">
        <v>53</v>
      </c>
      <c r="H1462" s="1" t="s">
        <v>49</v>
      </c>
      <c r="I1462" s="1" t="s">
        <v>41</v>
      </c>
      <c r="J1462">
        <v>30</v>
      </c>
      <c r="K1462">
        <v>54</v>
      </c>
      <c r="L1462" s="1" t="s">
        <v>44</v>
      </c>
    </row>
    <row r="1463" spans="1:12" x14ac:dyDescent="0.3">
      <c r="A1463" s="1" t="s">
        <v>603</v>
      </c>
      <c r="B1463" s="2">
        <v>45943</v>
      </c>
      <c r="C1463" s="2">
        <v>45987</v>
      </c>
      <c r="D1463" s="1" t="s">
        <v>37</v>
      </c>
      <c r="E1463" s="1" t="s">
        <v>14</v>
      </c>
      <c r="F1463" s="1" t="s">
        <v>15</v>
      </c>
      <c r="G1463" s="1" t="s">
        <v>16</v>
      </c>
      <c r="H1463" s="1" t="s">
        <v>49</v>
      </c>
      <c r="I1463" s="1" t="s">
        <v>18</v>
      </c>
      <c r="J1463">
        <v>15</v>
      </c>
      <c r="K1463">
        <v>44</v>
      </c>
      <c r="L1463" s="1" t="s">
        <v>44</v>
      </c>
    </row>
    <row r="1464" spans="1:12" x14ac:dyDescent="0.3">
      <c r="A1464" s="1" t="s">
        <v>2708</v>
      </c>
      <c r="B1464" s="2">
        <v>45943</v>
      </c>
      <c r="C1464" s="2">
        <v>45985</v>
      </c>
      <c r="D1464" s="1" t="s">
        <v>37</v>
      </c>
      <c r="E1464" s="1" t="s">
        <v>14</v>
      </c>
      <c r="F1464" s="1" t="s">
        <v>15</v>
      </c>
      <c r="G1464" s="1" t="s">
        <v>16</v>
      </c>
      <c r="H1464" s="1" t="s">
        <v>39</v>
      </c>
      <c r="I1464" s="1" t="s">
        <v>18</v>
      </c>
      <c r="J1464">
        <v>30</v>
      </c>
      <c r="K1464">
        <v>42</v>
      </c>
      <c r="L1464" s="1" t="s">
        <v>21</v>
      </c>
    </row>
    <row r="1465" spans="1:12" x14ac:dyDescent="0.3">
      <c r="A1465" s="1" t="s">
        <v>1964</v>
      </c>
      <c r="B1465" s="2">
        <v>45943</v>
      </c>
      <c r="C1465" s="2">
        <v>45994</v>
      </c>
      <c r="D1465" s="1" t="s">
        <v>23</v>
      </c>
      <c r="E1465" s="1" t="s">
        <v>14</v>
      </c>
      <c r="F1465" s="1" t="s">
        <v>15</v>
      </c>
      <c r="G1465" s="1" t="s">
        <v>16</v>
      </c>
      <c r="H1465" s="1" t="s">
        <v>43</v>
      </c>
      <c r="I1465" s="1" t="s">
        <v>18</v>
      </c>
      <c r="J1465">
        <v>30</v>
      </c>
      <c r="K1465">
        <v>51</v>
      </c>
      <c r="L1465" s="1" t="s">
        <v>44</v>
      </c>
    </row>
    <row r="1466" spans="1:12" x14ac:dyDescent="0.3">
      <c r="A1466" s="1" t="s">
        <v>392</v>
      </c>
      <c r="B1466" s="2">
        <v>45942</v>
      </c>
      <c r="C1466" s="2">
        <v>45962</v>
      </c>
      <c r="D1466" s="1" t="s">
        <v>23</v>
      </c>
      <c r="E1466" s="1" t="s">
        <v>14</v>
      </c>
      <c r="F1466" s="1" t="s">
        <v>15</v>
      </c>
      <c r="G1466" s="1" t="s">
        <v>16</v>
      </c>
      <c r="H1466" s="1" t="s">
        <v>43</v>
      </c>
      <c r="I1466" s="1" t="s">
        <v>26</v>
      </c>
      <c r="J1466">
        <v>15</v>
      </c>
      <c r="K1466">
        <v>20</v>
      </c>
      <c r="L1466" s="1" t="s">
        <v>19</v>
      </c>
    </row>
    <row r="1467" spans="1:12" x14ac:dyDescent="0.3">
      <c r="A1467" s="1" t="s">
        <v>1377</v>
      </c>
      <c r="B1467" s="2">
        <v>45942</v>
      </c>
      <c r="C1467" s="2">
        <v>45965</v>
      </c>
      <c r="D1467" s="1" t="s">
        <v>13</v>
      </c>
      <c r="E1467" s="1" t="s">
        <v>24</v>
      </c>
      <c r="F1467" s="1" t="s">
        <v>15</v>
      </c>
      <c r="G1467" s="1" t="s">
        <v>16</v>
      </c>
      <c r="H1467" s="1" t="s">
        <v>17</v>
      </c>
      <c r="I1467" s="1" t="s">
        <v>26</v>
      </c>
      <c r="J1467">
        <v>30</v>
      </c>
      <c r="K1467">
        <v>23</v>
      </c>
      <c r="L1467" s="1" t="s">
        <v>19</v>
      </c>
    </row>
    <row r="1468" spans="1:12" x14ac:dyDescent="0.3">
      <c r="A1468" s="1" t="s">
        <v>1383</v>
      </c>
      <c r="B1468" s="2">
        <v>45942</v>
      </c>
      <c r="C1468" s="2">
        <v>45966</v>
      </c>
      <c r="D1468" s="1" t="s">
        <v>23</v>
      </c>
      <c r="E1468" s="1" t="s">
        <v>14</v>
      </c>
      <c r="F1468" s="1" t="s">
        <v>15</v>
      </c>
      <c r="G1468" s="1" t="s">
        <v>16</v>
      </c>
      <c r="H1468" s="1" t="s">
        <v>43</v>
      </c>
      <c r="I1468" s="1" t="s">
        <v>41</v>
      </c>
      <c r="J1468">
        <v>30</v>
      </c>
      <c r="K1468">
        <v>24</v>
      </c>
      <c r="L1468" s="1" t="s">
        <v>19</v>
      </c>
    </row>
    <row r="1469" spans="1:12" x14ac:dyDescent="0.3">
      <c r="A1469" s="1" t="s">
        <v>690</v>
      </c>
      <c r="B1469" s="2">
        <v>45942</v>
      </c>
      <c r="C1469" s="2">
        <v>45984</v>
      </c>
      <c r="D1469" s="1" t="s">
        <v>37</v>
      </c>
      <c r="E1469" s="1" t="s">
        <v>14</v>
      </c>
      <c r="F1469" s="1" t="s">
        <v>15</v>
      </c>
      <c r="G1469" s="1" t="s">
        <v>16</v>
      </c>
      <c r="H1469" s="1" t="s">
        <v>49</v>
      </c>
      <c r="I1469" s="1" t="s">
        <v>18</v>
      </c>
      <c r="J1469">
        <v>15</v>
      </c>
      <c r="K1469">
        <v>42</v>
      </c>
      <c r="L1469" s="1" t="s">
        <v>21</v>
      </c>
    </row>
    <row r="1470" spans="1:12" x14ac:dyDescent="0.3">
      <c r="A1470" s="1" t="s">
        <v>1595</v>
      </c>
      <c r="B1470" s="2">
        <v>45942</v>
      </c>
      <c r="C1470" s="2">
        <v>46006</v>
      </c>
      <c r="D1470" s="1" t="s">
        <v>28</v>
      </c>
      <c r="E1470" s="1" t="s">
        <v>14</v>
      </c>
      <c r="F1470" s="1" t="s">
        <v>15</v>
      </c>
      <c r="G1470" s="1" t="s">
        <v>53</v>
      </c>
      <c r="H1470" s="1" t="s">
        <v>29</v>
      </c>
      <c r="I1470" s="1" t="s">
        <v>26</v>
      </c>
      <c r="J1470">
        <v>15</v>
      </c>
      <c r="K1470">
        <v>64</v>
      </c>
      <c r="L1470" s="1" t="s">
        <v>80</v>
      </c>
    </row>
    <row r="1471" spans="1:12" x14ac:dyDescent="0.3">
      <c r="A1471" s="1" t="s">
        <v>1767</v>
      </c>
      <c r="B1471" s="2">
        <v>45942</v>
      </c>
      <c r="C1471" s="2">
        <v>45963</v>
      </c>
      <c r="D1471" s="1" t="s">
        <v>13</v>
      </c>
      <c r="E1471" s="1" t="s">
        <v>14</v>
      </c>
      <c r="F1471" s="1" t="s">
        <v>15</v>
      </c>
      <c r="G1471" s="1" t="s">
        <v>16</v>
      </c>
      <c r="H1471" s="1" t="s">
        <v>17</v>
      </c>
      <c r="I1471" s="1" t="s">
        <v>18</v>
      </c>
      <c r="J1471">
        <v>15</v>
      </c>
      <c r="K1471">
        <v>21</v>
      </c>
      <c r="L1471" s="1" t="s">
        <v>19</v>
      </c>
    </row>
    <row r="1472" spans="1:12" x14ac:dyDescent="0.3">
      <c r="A1472" s="1" t="s">
        <v>1943</v>
      </c>
      <c r="B1472" s="2">
        <v>45942</v>
      </c>
      <c r="C1472" s="2">
        <v>45978</v>
      </c>
      <c r="D1472" s="1" t="s">
        <v>13</v>
      </c>
      <c r="E1472" s="1" t="s">
        <v>24</v>
      </c>
      <c r="F1472" s="1" t="s">
        <v>15</v>
      </c>
      <c r="G1472" s="1" t="s">
        <v>16</v>
      </c>
      <c r="H1472" s="1" t="s">
        <v>47</v>
      </c>
      <c r="I1472" s="1" t="s">
        <v>26</v>
      </c>
      <c r="J1472">
        <v>30</v>
      </c>
      <c r="K1472">
        <v>36</v>
      </c>
      <c r="L1472" s="1" t="s">
        <v>21</v>
      </c>
    </row>
    <row r="1473" spans="1:12" x14ac:dyDescent="0.3">
      <c r="A1473" s="1" t="s">
        <v>2352</v>
      </c>
      <c r="B1473" s="2">
        <v>45942</v>
      </c>
      <c r="C1473" s="2">
        <v>45987</v>
      </c>
      <c r="D1473" s="1" t="s">
        <v>13</v>
      </c>
      <c r="E1473" s="1" t="s">
        <v>14</v>
      </c>
      <c r="F1473" s="1" t="s">
        <v>15</v>
      </c>
      <c r="G1473" s="1" t="s">
        <v>16</v>
      </c>
      <c r="H1473" s="1" t="s">
        <v>17</v>
      </c>
      <c r="I1473" s="1" t="s">
        <v>26</v>
      </c>
      <c r="J1473">
        <v>15</v>
      </c>
      <c r="K1473">
        <v>45</v>
      </c>
      <c r="L1473" s="1" t="s">
        <v>44</v>
      </c>
    </row>
    <row r="1474" spans="1:12" x14ac:dyDescent="0.3">
      <c r="A1474" s="1" t="s">
        <v>2808</v>
      </c>
      <c r="B1474" s="2">
        <v>45942</v>
      </c>
      <c r="C1474" s="2">
        <v>45969</v>
      </c>
      <c r="D1474" s="1" t="s">
        <v>32</v>
      </c>
      <c r="E1474" s="1" t="s">
        <v>14</v>
      </c>
      <c r="F1474" s="1" t="s">
        <v>38</v>
      </c>
      <c r="G1474" s="1" t="s">
        <v>16</v>
      </c>
      <c r="H1474" s="1" t="s">
        <v>34</v>
      </c>
      <c r="I1474" s="1" t="s">
        <v>26</v>
      </c>
      <c r="J1474">
        <v>30</v>
      </c>
      <c r="K1474">
        <v>27</v>
      </c>
      <c r="L1474" s="1" t="s">
        <v>19</v>
      </c>
    </row>
    <row r="1475" spans="1:12" x14ac:dyDescent="0.3">
      <c r="A1475" s="1" t="s">
        <v>2836</v>
      </c>
      <c r="B1475" s="2">
        <v>45942</v>
      </c>
      <c r="C1475" s="2">
        <v>45950</v>
      </c>
      <c r="D1475" s="1" t="s">
        <v>23</v>
      </c>
      <c r="E1475" s="1" t="s">
        <v>24</v>
      </c>
      <c r="F1475" s="1" t="s">
        <v>15</v>
      </c>
      <c r="G1475" s="1" t="s">
        <v>16</v>
      </c>
      <c r="H1475" s="1" t="s">
        <v>25</v>
      </c>
      <c r="I1475" s="1" t="s">
        <v>26</v>
      </c>
      <c r="J1475">
        <v>30</v>
      </c>
      <c r="K1475">
        <v>8</v>
      </c>
      <c r="L1475" s="1" t="s">
        <v>30</v>
      </c>
    </row>
    <row r="1476" spans="1:12" x14ac:dyDescent="0.3">
      <c r="A1476" s="1" t="s">
        <v>549</v>
      </c>
      <c r="B1476" s="2">
        <v>45941</v>
      </c>
      <c r="C1476" s="2">
        <v>45993</v>
      </c>
      <c r="D1476" s="1" t="s">
        <v>13</v>
      </c>
      <c r="E1476" s="1" t="s">
        <v>14</v>
      </c>
      <c r="F1476" s="1" t="s">
        <v>15</v>
      </c>
      <c r="G1476" s="1" t="s">
        <v>33</v>
      </c>
      <c r="H1476" s="1" t="s">
        <v>47</v>
      </c>
      <c r="I1476" s="1" t="s">
        <v>26</v>
      </c>
      <c r="J1476">
        <v>15</v>
      </c>
      <c r="K1476">
        <v>52</v>
      </c>
      <c r="L1476" s="1" t="s">
        <v>44</v>
      </c>
    </row>
    <row r="1477" spans="1:12" x14ac:dyDescent="0.3">
      <c r="A1477" s="1" t="s">
        <v>698</v>
      </c>
      <c r="B1477" s="2">
        <v>45941</v>
      </c>
      <c r="C1477" s="2">
        <v>45976</v>
      </c>
      <c r="D1477" s="1" t="s">
        <v>13</v>
      </c>
      <c r="E1477" s="1" t="s">
        <v>14</v>
      </c>
      <c r="F1477" s="1" t="s">
        <v>15</v>
      </c>
      <c r="G1477" s="1" t="s">
        <v>16</v>
      </c>
      <c r="H1477" s="1" t="s">
        <v>17</v>
      </c>
      <c r="I1477" s="1" t="s">
        <v>26</v>
      </c>
      <c r="J1477">
        <v>30</v>
      </c>
      <c r="K1477">
        <v>35</v>
      </c>
      <c r="L1477" s="1" t="s">
        <v>21</v>
      </c>
    </row>
    <row r="1478" spans="1:12" x14ac:dyDescent="0.3">
      <c r="A1478" s="1" t="s">
        <v>789</v>
      </c>
      <c r="B1478" s="2">
        <v>45941</v>
      </c>
      <c r="C1478" s="2">
        <v>46010</v>
      </c>
      <c r="D1478" s="1" t="s">
        <v>23</v>
      </c>
      <c r="E1478" s="1" t="s">
        <v>14</v>
      </c>
      <c r="F1478" s="1" t="s">
        <v>15</v>
      </c>
      <c r="G1478" s="1" t="s">
        <v>16</v>
      </c>
      <c r="H1478" s="1" t="s">
        <v>43</v>
      </c>
      <c r="I1478" s="1" t="s">
        <v>41</v>
      </c>
      <c r="J1478">
        <v>15</v>
      </c>
      <c r="K1478">
        <v>69</v>
      </c>
      <c r="L1478" s="1" t="s">
        <v>80</v>
      </c>
    </row>
    <row r="1479" spans="1:12" x14ac:dyDescent="0.3">
      <c r="A1479" s="1" t="s">
        <v>1206</v>
      </c>
      <c r="B1479" s="2">
        <v>45941</v>
      </c>
      <c r="C1479" s="2">
        <v>45979</v>
      </c>
      <c r="D1479" s="1" t="s">
        <v>23</v>
      </c>
      <c r="E1479" s="1" t="s">
        <v>14</v>
      </c>
      <c r="F1479" s="1" t="s">
        <v>15</v>
      </c>
      <c r="G1479" s="1" t="s">
        <v>16</v>
      </c>
      <c r="H1479" s="1" t="s">
        <v>43</v>
      </c>
      <c r="I1479" s="1" t="s">
        <v>41</v>
      </c>
      <c r="J1479">
        <v>15</v>
      </c>
      <c r="K1479">
        <v>38</v>
      </c>
      <c r="L1479" s="1" t="s">
        <v>21</v>
      </c>
    </row>
    <row r="1480" spans="1:12" x14ac:dyDescent="0.3">
      <c r="A1480" s="1" t="s">
        <v>1341</v>
      </c>
      <c r="B1480" s="2">
        <v>45941</v>
      </c>
      <c r="C1480" s="2">
        <v>45969</v>
      </c>
      <c r="D1480" s="1" t="s">
        <v>32</v>
      </c>
      <c r="E1480" s="1" t="s">
        <v>14</v>
      </c>
      <c r="F1480" s="1" t="s">
        <v>15</v>
      </c>
      <c r="G1480" s="1" t="s">
        <v>16</v>
      </c>
      <c r="H1480" s="1" t="s">
        <v>34</v>
      </c>
      <c r="I1480" s="1" t="s">
        <v>26</v>
      </c>
      <c r="J1480">
        <v>30</v>
      </c>
      <c r="K1480">
        <v>28</v>
      </c>
      <c r="L1480" s="1" t="s">
        <v>19</v>
      </c>
    </row>
    <row r="1481" spans="1:12" x14ac:dyDescent="0.3">
      <c r="A1481" s="1" t="s">
        <v>530</v>
      </c>
      <c r="B1481" s="2">
        <v>45941</v>
      </c>
      <c r="C1481" s="2">
        <v>45984</v>
      </c>
      <c r="D1481" s="1" t="s">
        <v>37</v>
      </c>
      <c r="E1481" s="1" t="s">
        <v>24</v>
      </c>
      <c r="F1481" s="1" t="s">
        <v>15</v>
      </c>
      <c r="G1481" s="1" t="s">
        <v>16</v>
      </c>
      <c r="H1481" s="1" t="s">
        <v>49</v>
      </c>
      <c r="I1481" s="1" t="s">
        <v>41</v>
      </c>
      <c r="J1481">
        <v>30</v>
      </c>
      <c r="K1481">
        <v>43</v>
      </c>
      <c r="L1481" s="1" t="s">
        <v>44</v>
      </c>
    </row>
    <row r="1482" spans="1:12" x14ac:dyDescent="0.3">
      <c r="A1482" s="1" t="s">
        <v>1189</v>
      </c>
      <c r="B1482" s="2">
        <v>45941</v>
      </c>
      <c r="C1482" s="2">
        <v>45983</v>
      </c>
      <c r="D1482" s="1" t="s">
        <v>37</v>
      </c>
      <c r="E1482" s="1" t="s">
        <v>24</v>
      </c>
      <c r="F1482" s="1" t="s">
        <v>15</v>
      </c>
      <c r="G1482" s="1" t="s">
        <v>16</v>
      </c>
      <c r="H1482" s="1" t="s">
        <v>49</v>
      </c>
      <c r="I1482" s="1" t="s">
        <v>41</v>
      </c>
      <c r="J1482">
        <v>30</v>
      </c>
      <c r="K1482">
        <v>42</v>
      </c>
      <c r="L1482" s="1" t="s">
        <v>21</v>
      </c>
    </row>
    <row r="1483" spans="1:12" x14ac:dyDescent="0.3">
      <c r="A1483" s="1" t="s">
        <v>2991</v>
      </c>
      <c r="B1483" s="2">
        <v>45941</v>
      </c>
      <c r="C1483" s="2">
        <v>45959</v>
      </c>
      <c r="D1483" s="1" t="s">
        <v>37</v>
      </c>
      <c r="E1483" s="1" t="s">
        <v>24</v>
      </c>
      <c r="F1483" s="1" t="s">
        <v>15</v>
      </c>
      <c r="G1483" s="1" t="s">
        <v>16</v>
      </c>
      <c r="H1483" s="1" t="s">
        <v>49</v>
      </c>
      <c r="I1483" s="1" t="s">
        <v>26</v>
      </c>
      <c r="J1483">
        <v>30</v>
      </c>
      <c r="K1483">
        <v>18</v>
      </c>
      <c r="L1483" s="1" t="s">
        <v>19</v>
      </c>
    </row>
    <row r="1484" spans="1:12" x14ac:dyDescent="0.3">
      <c r="A1484" s="1" t="s">
        <v>1711</v>
      </c>
      <c r="B1484" s="2">
        <v>45941</v>
      </c>
      <c r="C1484" s="2">
        <v>45987</v>
      </c>
      <c r="D1484" s="1" t="s">
        <v>23</v>
      </c>
      <c r="E1484" s="1" t="s">
        <v>14</v>
      </c>
      <c r="F1484" s="1" t="s">
        <v>15</v>
      </c>
      <c r="G1484" s="1" t="s">
        <v>16</v>
      </c>
      <c r="H1484" s="1" t="s">
        <v>25</v>
      </c>
      <c r="I1484" s="1" t="s">
        <v>18</v>
      </c>
      <c r="J1484">
        <v>30</v>
      </c>
      <c r="K1484">
        <v>46</v>
      </c>
      <c r="L1484" s="1" t="s">
        <v>44</v>
      </c>
    </row>
    <row r="1485" spans="1:12" x14ac:dyDescent="0.3">
      <c r="A1485" s="1" t="s">
        <v>1944</v>
      </c>
      <c r="B1485" s="2">
        <v>45941</v>
      </c>
      <c r="C1485" s="2">
        <v>45950</v>
      </c>
      <c r="D1485" s="1" t="s">
        <v>32</v>
      </c>
      <c r="E1485" s="1" t="s">
        <v>24</v>
      </c>
      <c r="F1485" s="1" t="s">
        <v>38</v>
      </c>
      <c r="G1485" s="1" t="s">
        <v>16</v>
      </c>
      <c r="H1485" s="1" t="s">
        <v>34</v>
      </c>
      <c r="I1485" s="1" t="s">
        <v>41</v>
      </c>
      <c r="J1485">
        <v>30</v>
      </c>
      <c r="K1485">
        <v>9</v>
      </c>
      <c r="L1485" s="1" t="s">
        <v>30</v>
      </c>
    </row>
    <row r="1486" spans="1:12" x14ac:dyDescent="0.3">
      <c r="A1486" s="1" t="s">
        <v>2000</v>
      </c>
      <c r="B1486" s="2">
        <v>45941</v>
      </c>
      <c r="C1486" s="2">
        <v>45974</v>
      </c>
      <c r="D1486" s="1" t="s">
        <v>23</v>
      </c>
      <c r="E1486" s="1" t="s">
        <v>14</v>
      </c>
      <c r="F1486" s="1" t="s">
        <v>15</v>
      </c>
      <c r="G1486" s="1" t="s">
        <v>16</v>
      </c>
      <c r="H1486" s="1" t="s">
        <v>43</v>
      </c>
      <c r="I1486" s="1" t="s">
        <v>18</v>
      </c>
      <c r="J1486">
        <v>30</v>
      </c>
      <c r="K1486">
        <v>33</v>
      </c>
      <c r="L1486" s="1" t="s">
        <v>21</v>
      </c>
    </row>
    <row r="1487" spans="1:12" x14ac:dyDescent="0.3">
      <c r="A1487" s="1" t="s">
        <v>2033</v>
      </c>
      <c r="B1487" s="2">
        <v>45941</v>
      </c>
      <c r="C1487" s="2">
        <v>45962</v>
      </c>
      <c r="D1487" s="1" t="s">
        <v>32</v>
      </c>
      <c r="E1487" s="1" t="s">
        <v>24</v>
      </c>
      <c r="F1487" s="1" t="s">
        <v>15</v>
      </c>
      <c r="G1487" s="1" t="s">
        <v>16</v>
      </c>
      <c r="H1487" s="1" t="s">
        <v>71</v>
      </c>
      <c r="I1487" s="1" t="s">
        <v>41</v>
      </c>
      <c r="J1487">
        <v>30</v>
      </c>
      <c r="K1487">
        <v>21</v>
      </c>
      <c r="L1487" s="1" t="s">
        <v>19</v>
      </c>
    </row>
    <row r="1488" spans="1:12" x14ac:dyDescent="0.3">
      <c r="A1488" s="1" t="s">
        <v>2090</v>
      </c>
      <c r="B1488" s="2">
        <v>45941</v>
      </c>
      <c r="C1488" s="2">
        <v>46002</v>
      </c>
      <c r="D1488" s="1" t="s">
        <v>23</v>
      </c>
      <c r="E1488" s="1" t="s">
        <v>24</v>
      </c>
      <c r="F1488" s="1" t="s">
        <v>15</v>
      </c>
      <c r="G1488" s="1" t="s">
        <v>16</v>
      </c>
      <c r="H1488" s="1" t="s">
        <v>43</v>
      </c>
      <c r="I1488" s="1" t="s">
        <v>41</v>
      </c>
      <c r="J1488">
        <v>30</v>
      </c>
      <c r="K1488">
        <v>61</v>
      </c>
      <c r="L1488" s="1" t="s">
        <v>80</v>
      </c>
    </row>
    <row r="1489" spans="1:12" x14ac:dyDescent="0.3">
      <c r="A1489" s="1" t="s">
        <v>2453</v>
      </c>
      <c r="B1489" s="2">
        <v>45941</v>
      </c>
      <c r="C1489" s="2">
        <v>45947</v>
      </c>
      <c r="D1489" s="1" t="s">
        <v>28</v>
      </c>
      <c r="E1489" s="1" t="s">
        <v>14</v>
      </c>
      <c r="F1489" s="1" t="s">
        <v>15</v>
      </c>
      <c r="G1489" s="1" t="s">
        <v>16</v>
      </c>
      <c r="H1489" s="1" t="s">
        <v>29</v>
      </c>
      <c r="I1489" s="1" t="s">
        <v>41</v>
      </c>
      <c r="J1489">
        <v>15</v>
      </c>
      <c r="K1489">
        <v>6</v>
      </c>
      <c r="L1489" s="1" t="s">
        <v>30</v>
      </c>
    </row>
    <row r="1490" spans="1:12" x14ac:dyDescent="0.3">
      <c r="A1490" s="1" t="s">
        <v>2581</v>
      </c>
      <c r="B1490" s="2">
        <v>45941</v>
      </c>
      <c r="C1490" s="2">
        <v>45983</v>
      </c>
      <c r="D1490" s="1" t="s">
        <v>23</v>
      </c>
      <c r="E1490" s="1" t="s">
        <v>24</v>
      </c>
      <c r="F1490" s="1" t="s">
        <v>15</v>
      </c>
      <c r="G1490" s="1" t="s">
        <v>16</v>
      </c>
      <c r="H1490" s="1" t="s">
        <v>43</v>
      </c>
      <c r="I1490" s="1" t="s">
        <v>26</v>
      </c>
      <c r="J1490">
        <v>30</v>
      </c>
      <c r="K1490">
        <v>42</v>
      </c>
      <c r="L1490" s="1" t="s">
        <v>21</v>
      </c>
    </row>
    <row r="1491" spans="1:12" x14ac:dyDescent="0.3">
      <c r="A1491" s="1" t="s">
        <v>2635</v>
      </c>
      <c r="B1491" s="2">
        <v>45941</v>
      </c>
      <c r="C1491" s="2">
        <v>45982</v>
      </c>
      <c r="D1491" s="1" t="s">
        <v>23</v>
      </c>
      <c r="E1491" s="1" t="s">
        <v>24</v>
      </c>
      <c r="F1491" s="1" t="s">
        <v>15</v>
      </c>
      <c r="G1491" s="1" t="s">
        <v>53</v>
      </c>
      <c r="H1491" s="1" t="s">
        <v>25</v>
      </c>
      <c r="I1491" s="1" t="s">
        <v>41</v>
      </c>
      <c r="J1491">
        <v>30</v>
      </c>
      <c r="K1491">
        <v>41</v>
      </c>
      <c r="L1491" s="1" t="s">
        <v>21</v>
      </c>
    </row>
    <row r="1492" spans="1:12" x14ac:dyDescent="0.3">
      <c r="A1492" s="1" t="s">
        <v>2649</v>
      </c>
      <c r="B1492" s="2">
        <v>45941</v>
      </c>
      <c r="C1492" s="2">
        <v>45955</v>
      </c>
      <c r="D1492" s="1" t="s">
        <v>13</v>
      </c>
      <c r="E1492" s="1" t="s">
        <v>14</v>
      </c>
      <c r="F1492" s="1" t="s">
        <v>15</v>
      </c>
      <c r="G1492" s="1" t="s">
        <v>53</v>
      </c>
      <c r="H1492" s="1" t="s">
        <v>47</v>
      </c>
      <c r="I1492" s="1" t="s">
        <v>26</v>
      </c>
      <c r="J1492">
        <v>15</v>
      </c>
      <c r="K1492">
        <v>14</v>
      </c>
      <c r="L1492" s="1" t="s">
        <v>30</v>
      </c>
    </row>
    <row r="1493" spans="1:12" x14ac:dyDescent="0.3">
      <c r="A1493" s="1" t="s">
        <v>3059</v>
      </c>
      <c r="B1493" s="2">
        <v>45941</v>
      </c>
      <c r="C1493" s="2">
        <v>45959</v>
      </c>
      <c r="D1493" s="1" t="s">
        <v>13</v>
      </c>
      <c r="E1493" s="1" t="s">
        <v>24</v>
      </c>
      <c r="F1493" s="1" t="s">
        <v>15</v>
      </c>
      <c r="G1493" s="1" t="s">
        <v>16</v>
      </c>
      <c r="H1493" s="1" t="s">
        <v>47</v>
      </c>
      <c r="I1493" s="1" t="s">
        <v>26</v>
      </c>
      <c r="J1493">
        <v>30</v>
      </c>
      <c r="K1493">
        <v>18</v>
      </c>
      <c r="L1493" s="1" t="s">
        <v>19</v>
      </c>
    </row>
    <row r="1494" spans="1:12" x14ac:dyDescent="0.3">
      <c r="A1494" s="1" t="s">
        <v>1037</v>
      </c>
      <c r="B1494" s="2">
        <v>45940</v>
      </c>
      <c r="C1494" s="2">
        <v>45982</v>
      </c>
      <c r="D1494" s="1" t="s">
        <v>23</v>
      </c>
      <c r="E1494" s="1" t="s">
        <v>14</v>
      </c>
      <c r="F1494" s="1" t="s">
        <v>15</v>
      </c>
      <c r="G1494" s="1" t="s">
        <v>16</v>
      </c>
      <c r="H1494" s="1" t="s">
        <v>25</v>
      </c>
      <c r="I1494" s="1" t="s">
        <v>26</v>
      </c>
      <c r="J1494">
        <v>30</v>
      </c>
      <c r="K1494">
        <v>42</v>
      </c>
      <c r="L1494" s="1" t="s">
        <v>21</v>
      </c>
    </row>
    <row r="1495" spans="1:12" x14ac:dyDescent="0.3">
      <c r="A1495" s="1" t="s">
        <v>1434</v>
      </c>
      <c r="B1495" s="2">
        <v>45940</v>
      </c>
      <c r="C1495" s="2">
        <v>45988</v>
      </c>
      <c r="D1495" s="1" t="s">
        <v>23</v>
      </c>
      <c r="E1495" s="1" t="s">
        <v>24</v>
      </c>
      <c r="F1495" s="1" t="s">
        <v>38</v>
      </c>
      <c r="G1495" s="1" t="s">
        <v>53</v>
      </c>
      <c r="H1495" s="1" t="s">
        <v>25</v>
      </c>
      <c r="I1495" s="1" t="s">
        <v>26</v>
      </c>
      <c r="J1495">
        <v>30</v>
      </c>
      <c r="K1495">
        <v>48</v>
      </c>
      <c r="L1495" s="1" t="s">
        <v>44</v>
      </c>
    </row>
    <row r="1496" spans="1:12" x14ac:dyDescent="0.3">
      <c r="A1496" s="1" t="s">
        <v>1543</v>
      </c>
      <c r="B1496" s="2">
        <v>45940</v>
      </c>
      <c r="C1496" s="2">
        <v>45996</v>
      </c>
      <c r="D1496" s="1" t="s">
        <v>13</v>
      </c>
      <c r="E1496" s="1" t="s">
        <v>24</v>
      </c>
      <c r="F1496" s="1" t="s">
        <v>15</v>
      </c>
      <c r="G1496" s="1" t="s">
        <v>16</v>
      </c>
      <c r="H1496" s="1" t="s">
        <v>47</v>
      </c>
      <c r="I1496" s="1" t="s">
        <v>26</v>
      </c>
      <c r="J1496">
        <v>30</v>
      </c>
      <c r="K1496">
        <v>56</v>
      </c>
      <c r="L1496" s="1" t="s">
        <v>44</v>
      </c>
    </row>
    <row r="1497" spans="1:12" x14ac:dyDescent="0.3">
      <c r="A1497" s="1" t="s">
        <v>1962</v>
      </c>
      <c r="B1497" s="2">
        <v>45940</v>
      </c>
      <c r="C1497" s="2">
        <v>45975</v>
      </c>
      <c r="D1497" s="1" t="s">
        <v>23</v>
      </c>
      <c r="E1497" s="1" t="s">
        <v>24</v>
      </c>
      <c r="F1497" s="1" t="s">
        <v>38</v>
      </c>
      <c r="G1497" s="1" t="s">
        <v>16</v>
      </c>
      <c r="H1497" s="1" t="s">
        <v>43</v>
      </c>
      <c r="I1497" s="1" t="s">
        <v>41</v>
      </c>
      <c r="J1497">
        <v>30</v>
      </c>
      <c r="K1497">
        <v>35</v>
      </c>
      <c r="L1497" s="1" t="s">
        <v>21</v>
      </c>
    </row>
    <row r="1498" spans="1:12" x14ac:dyDescent="0.3">
      <c r="A1498" s="1" t="s">
        <v>1999</v>
      </c>
      <c r="B1498" s="2">
        <v>45940</v>
      </c>
      <c r="C1498" s="2">
        <v>45983</v>
      </c>
      <c r="D1498" s="1" t="s">
        <v>28</v>
      </c>
      <c r="E1498" s="1" t="s">
        <v>14</v>
      </c>
      <c r="F1498" s="1" t="s">
        <v>15</v>
      </c>
      <c r="G1498" s="1" t="s">
        <v>16</v>
      </c>
      <c r="H1498" s="1" t="s">
        <v>29</v>
      </c>
      <c r="I1498" s="1" t="s">
        <v>26</v>
      </c>
      <c r="J1498">
        <v>15</v>
      </c>
      <c r="K1498">
        <v>43</v>
      </c>
      <c r="L1498" s="1" t="s">
        <v>44</v>
      </c>
    </row>
    <row r="1499" spans="1:12" x14ac:dyDescent="0.3">
      <c r="A1499" s="1" t="s">
        <v>3086</v>
      </c>
      <c r="B1499" s="2">
        <v>45940</v>
      </c>
      <c r="C1499" s="2">
        <v>45985</v>
      </c>
      <c r="D1499" s="1" t="s">
        <v>13</v>
      </c>
      <c r="E1499" s="1" t="s">
        <v>14</v>
      </c>
      <c r="F1499" s="1" t="s">
        <v>15</v>
      </c>
      <c r="G1499" s="1" t="s">
        <v>16</v>
      </c>
      <c r="H1499" s="1" t="s">
        <v>47</v>
      </c>
      <c r="I1499" s="1" t="s">
        <v>26</v>
      </c>
      <c r="J1499">
        <v>15</v>
      </c>
      <c r="K1499">
        <v>45</v>
      </c>
      <c r="L1499" s="1" t="s">
        <v>44</v>
      </c>
    </row>
    <row r="1500" spans="1:12" x14ac:dyDescent="0.3">
      <c r="A1500" s="1" t="s">
        <v>46</v>
      </c>
      <c r="B1500" s="2">
        <v>45939</v>
      </c>
      <c r="C1500" s="2">
        <v>45974</v>
      </c>
      <c r="D1500" s="1" t="s">
        <v>13</v>
      </c>
      <c r="E1500" s="1" t="s">
        <v>14</v>
      </c>
      <c r="F1500" s="1" t="s">
        <v>15</v>
      </c>
      <c r="G1500" s="1" t="s">
        <v>16</v>
      </c>
      <c r="H1500" s="1" t="s">
        <v>47</v>
      </c>
      <c r="I1500" s="1" t="s">
        <v>26</v>
      </c>
      <c r="J1500">
        <v>15</v>
      </c>
      <c r="K1500">
        <v>35</v>
      </c>
      <c r="L1500" s="1" t="s">
        <v>21</v>
      </c>
    </row>
    <row r="1501" spans="1:12" x14ac:dyDescent="0.3">
      <c r="A1501" s="1" t="s">
        <v>1039</v>
      </c>
      <c r="B1501" s="2">
        <v>45939</v>
      </c>
      <c r="C1501" s="2">
        <v>45941</v>
      </c>
      <c r="D1501" s="1" t="s">
        <v>23</v>
      </c>
      <c r="E1501" s="1" t="s">
        <v>14</v>
      </c>
      <c r="F1501" s="1" t="s">
        <v>15</v>
      </c>
      <c r="G1501" s="1" t="s">
        <v>16</v>
      </c>
      <c r="H1501" s="1" t="s">
        <v>25</v>
      </c>
      <c r="I1501" s="1" t="s">
        <v>18</v>
      </c>
      <c r="J1501">
        <v>30</v>
      </c>
      <c r="K1501">
        <v>2</v>
      </c>
      <c r="L1501" s="1" t="s">
        <v>30</v>
      </c>
    </row>
    <row r="1502" spans="1:12" x14ac:dyDescent="0.3">
      <c r="A1502" s="1" t="s">
        <v>1116</v>
      </c>
      <c r="B1502" s="2">
        <v>45939</v>
      </c>
      <c r="C1502" s="2">
        <v>45974</v>
      </c>
      <c r="D1502" s="1" t="s">
        <v>28</v>
      </c>
      <c r="E1502" s="1" t="s">
        <v>24</v>
      </c>
      <c r="F1502" s="1" t="s">
        <v>15</v>
      </c>
      <c r="G1502" s="1" t="s">
        <v>16</v>
      </c>
      <c r="H1502" s="1" t="s">
        <v>29</v>
      </c>
      <c r="I1502" s="1" t="s">
        <v>26</v>
      </c>
      <c r="J1502">
        <v>45</v>
      </c>
      <c r="K1502">
        <v>35</v>
      </c>
      <c r="L1502" s="1" t="s">
        <v>21</v>
      </c>
    </row>
    <row r="1503" spans="1:12" x14ac:dyDescent="0.3">
      <c r="A1503" s="1" t="s">
        <v>1237</v>
      </c>
      <c r="B1503" s="2">
        <v>45939</v>
      </c>
      <c r="C1503" s="2">
        <v>45993</v>
      </c>
      <c r="D1503" s="1" t="s">
        <v>23</v>
      </c>
      <c r="E1503" s="1" t="s">
        <v>14</v>
      </c>
      <c r="F1503" s="1" t="s">
        <v>15</v>
      </c>
      <c r="G1503" s="1" t="s">
        <v>16</v>
      </c>
      <c r="H1503" s="1" t="s">
        <v>25</v>
      </c>
      <c r="I1503" s="1" t="s">
        <v>26</v>
      </c>
      <c r="J1503">
        <v>15</v>
      </c>
      <c r="K1503">
        <v>54</v>
      </c>
      <c r="L1503" s="1" t="s">
        <v>44</v>
      </c>
    </row>
    <row r="1504" spans="1:12" x14ac:dyDescent="0.3">
      <c r="A1504" s="1" t="s">
        <v>1707</v>
      </c>
      <c r="B1504" s="2">
        <v>45939</v>
      </c>
      <c r="C1504" s="2">
        <v>45978</v>
      </c>
      <c r="D1504" s="1" t="s">
        <v>37</v>
      </c>
      <c r="E1504" s="1" t="s">
        <v>14</v>
      </c>
      <c r="F1504" s="1" t="s">
        <v>15</v>
      </c>
      <c r="G1504" s="1" t="s">
        <v>16</v>
      </c>
      <c r="H1504" s="1" t="s">
        <v>39</v>
      </c>
      <c r="I1504" s="1" t="s">
        <v>41</v>
      </c>
      <c r="J1504">
        <v>15</v>
      </c>
      <c r="K1504">
        <v>39</v>
      </c>
      <c r="L1504" s="1" t="s">
        <v>21</v>
      </c>
    </row>
    <row r="1505" spans="1:12" x14ac:dyDescent="0.3">
      <c r="A1505" s="1" t="s">
        <v>2560</v>
      </c>
      <c r="B1505" s="2">
        <v>45939</v>
      </c>
      <c r="C1505" s="2">
        <v>45965</v>
      </c>
      <c r="D1505" s="1" t="s">
        <v>37</v>
      </c>
      <c r="E1505" s="1" t="s">
        <v>14</v>
      </c>
      <c r="F1505" s="1" t="s">
        <v>15</v>
      </c>
      <c r="G1505" s="1" t="s">
        <v>16</v>
      </c>
      <c r="H1505" s="1" t="s">
        <v>39</v>
      </c>
      <c r="I1505" s="1" t="s">
        <v>26</v>
      </c>
      <c r="J1505">
        <v>15</v>
      </c>
      <c r="K1505">
        <v>26</v>
      </c>
      <c r="L1505" s="1" t="s">
        <v>19</v>
      </c>
    </row>
    <row r="1506" spans="1:12" x14ac:dyDescent="0.3">
      <c r="A1506" s="1" t="s">
        <v>2071</v>
      </c>
      <c r="B1506" s="2">
        <v>45939</v>
      </c>
      <c r="C1506" s="2">
        <v>45959</v>
      </c>
      <c r="D1506" s="1" t="s">
        <v>32</v>
      </c>
      <c r="E1506" s="1" t="s">
        <v>24</v>
      </c>
      <c r="F1506" s="1" t="s">
        <v>38</v>
      </c>
      <c r="G1506" s="1" t="s">
        <v>16</v>
      </c>
      <c r="H1506" s="1" t="s">
        <v>34</v>
      </c>
      <c r="I1506" s="1" t="s">
        <v>41</v>
      </c>
      <c r="J1506">
        <v>45</v>
      </c>
      <c r="K1506">
        <v>20</v>
      </c>
      <c r="L1506" s="1" t="s">
        <v>19</v>
      </c>
    </row>
    <row r="1507" spans="1:12" x14ac:dyDescent="0.3">
      <c r="A1507" s="1" t="s">
        <v>2531</v>
      </c>
      <c r="B1507" s="2">
        <v>45939</v>
      </c>
      <c r="C1507" s="2">
        <v>45970</v>
      </c>
      <c r="D1507" s="1" t="s">
        <v>23</v>
      </c>
      <c r="E1507" s="1" t="s">
        <v>24</v>
      </c>
      <c r="F1507" s="1" t="s">
        <v>15</v>
      </c>
      <c r="G1507" s="1" t="s">
        <v>16</v>
      </c>
      <c r="H1507" s="1" t="s">
        <v>25</v>
      </c>
      <c r="I1507" s="1" t="s">
        <v>26</v>
      </c>
      <c r="J1507">
        <v>30</v>
      </c>
      <c r="K1507">
        <v>31</v>
      </c>
      <c r="L1507" s="1" t="s">
        <v>21</v>
      </c>
    </row>
    <row r="1508" spans="1:12" x14ac:dyDescent="0.3">
      <c r="A1508" s="1" t="s">
        <v>2651</v>
      </c>
      <c r="B1508" s="2">
        <v>45939</v>
      </c>
      <c r="C1508" s="2">
        <v>45972</v>
      </c>
      <c r="D1508" s="1" t="s">
        <v>13</v>
      </c>
      <c r="E1508" s="1" t="s">
        <v>14</v>
      </c>
      <c r="F1508" s="1" t="s">
        <v>38</v>
      </c>
      <c r="G1508" s="1" t="s">
        <v>16</v>
      </c>
      <c r="H1508" s="1" t="s">
        <v>47</v>
      </c>
      <c r="I1508" s="1" t="s">
        <v>41</v>
      </c>
      <c r="J1508">
        <v>15</v>
      </c>
      <c r="K1508">
        <v>33</v>
      </c>
      <c r="L1508" s="1" t="s">
        <v>21</v>
      </c>
    </row>
    <row r="1509" spans="1:12" x14ac:dyDescent="0.3">
      <c r="A1509" s="1" t="s">
        <v>620</v>
      </c>
      <c r="B1509" s="2">
        <v>45938</v>
      </c>
      <c r="C1509" s="2">
        <v>45988</v>
      </c>
      <c r="D1509" s="1" t="s">
        <v>28</v>
      </c>
      <c r="E1509" s="1" t="s">
        <v>24</v>
      </c>
      <c r="F1509" s="1" t="s">
        <v>15</v>
      </c>
      <c r="G1509" s="1" t="s">
        <v>33</v>
      </c>
      <c r="H1509" s="1" t="s">
        <v>29</v>
      </c>
      <c r="I1509" s="1" t="s">
        <v>26</v>
      </c>
      <c r="J1509">
        <v>30</v>
      </c>
      <c r="K1509">
        <v>50</v>
      </c>
      <c r="L1509" s="1" t="s">
        <v>44</v>
      </c>
    </row>
    <row r="1510" spans="1:12" x14ac:dyDescent="0.3">
      <c r="A1510" s="1" t="s">
        <v>721</v>
      </c>
      <c r="B1510" s="2">
        <v>45938</v>
      </c>
      <c r="C1510" s="2">
        <v>45956</v>
      </c>
      <c r="D1510" s="1" t="s">
        <v>13</v>
      </c>
      <c r="E1510" s="1" t="s">
        <v>24</v>
      </c>
      <c r="F1510" s="1" t="s">
        <v>15</v>
      </c>
      <c r="G1510" s="1" t="s">
        <v>16</v>
      </c>
      <c r="H1510" s="1" t="s">
        <v>47</v>
      </c>
      <c r="I1510" s="1" t="s">
        <v>26</v>
      </c>
      <c r="J1510">
        <v>30</v>
      </c>
      <c r="K1510">
        <v>18</v>
      </c>
      <c r="L1510" s="1" t="s">
        <v>19</v>
      </c>
    </row>
    <row r="1511" spans="1:12" x14ac:dyDescent="0.3">
      <c r="A1511" s="1" t="s">
        <v>754</v>
      </c>
      <c r="B1511" s="2">
        <v>45938</v>
      </c>
      <c r="C1511" s="2">
        <v>45953</v>
      </c>
      <c r="D1511" s="1" t="s">
        <v>32</v>
      </c>
      <c r="E1511" s="1" t="s">
        <v>14</v>
      </c>
      <c r="F1511" s="1" t="s">
        <v>15</v>
      </c>
      <c r="G1511" s="1" t="s">
        <v>16</v>
      </c>
      <c r="H1511" s="1" t="s">
        <v>71</v>
      </c>
      <c r="I1511" s="1" t="s">
        <v>26</v>
      </c>
      <c r="J1511">
        <v>30</v>
      </c>
      <c r="K1511">
        <v>15</v>
      </c>
      <c r="L1511" s="1" t="s">
        <v>19</v>
      </c>
    </row>
    <row r="1512" spans="1:12" x14ac:dyDescent="0.3">
      <c r="A1512" s="1" t="s">
        <v>1353</v>
      </c>
      <c r="B1512" s="2">
        <v>45938</v>
      </c>
      <c r="C1512" s="2">
        <v>45940</v>
      </c>
      <c r="D1512" s="1" t="s">
        <v>32</v>
      </c>
      <c r="E1512" s="1" t="s">
        <v>24</v>
      </c>
      <c r="F1512" s="1" t="s">
        <v>15</v>
      </c>
      <c r="G1512" s="1" t="s">
        <v>16</v>
      </c>
      <c r="H1512" s="1" t="s">
        <v>34</v>
      </c>
      <c r="I1512" s="1" t="s">
        <v>26</v>
      </c>
      <c r="J1512">
        <v>30</v>
      </c>
      <c r="K1512">
        <v>2</v>
      </c>
      <c r="L1512" s="1" t="s">
        <v>30</v>
      </c>
    </row>
    <row r="1513" spans="1:12" x14ac:dyDescent="0.3">
      <c r="A1513" s="1" t="s">
        <v>935</v>
      </c>
      <c r="B1513" s="2">
        <v>45938</v>
      </c>
      <c r="C1513" s="2">
        <v>45982</v>
      </c>
      <c r="D1513" s="1" t="s">
        <v>37</v>
      </c>
      <c r="E1513" s="1" t="s">
        <v>14</v>
      </c>
      <c r="F1513" s="1" t="s">
        <v>15</v>
      </c>
      <c r="G1513" s="1" t="s">
        <v>33</v>
      </c>
      <c r="H1513" s="1" t="s">
        <v>49</v>
      </c>
      <c r="I1513" s="1" t="s">
        <v>18</v>
      </c>
      <c r="J1513">
        <v>15</v>
      </c>
      <c r="K1513">
        <v>44</v>
      </c>
      <c r="L1513" s="1" t="s">
        <v>44</v>
      </c>
    </row>
    <row r="1514" spans="1:12" x14ac:dyDescent="0.3">
      <c r="A1514" s="1" t="s">
        <v>1842</v>
      </c>
      <c r="B1514" s="2">
        <v>45938</v>
      </c>
      <c r="C1514" s="2">
        <v>45975</v>
      </c>
      <c r="D1514" s="1" t="s">
        <v>37</v>
      </c>
      <c r="E1514" s="1" t="s">
        <v>14</v>
      </c>
      <c r="F1514" s="1" t="s">
        <v>15</v>
      </c>
      <c r="G1514" s="1" t="s">
        <v>53</v>
      </c>
      <c r="H1514" s="1" t="s">
        <v>39</v>
      </c>
      <c r="I1514" s="1" t="s">
        <v>26</v>
      </c>
      <c r="J1514">
        <v>15</v>
      </c>
      <c r="K1514">
        <v>37</v>
      </c>
      <c r="L1514" s="1" t="s">
        <v>21</v>
      </c>
    </row>
    <row r="1515" spans="1:12" x14ac:dyDescent="0.3">
      <c r="A1515" s="1" t="s">
        <v>2774</v>
      </c>
      <c r="B1515" s="2">
        <v>45938</v>
      </c>
      <c r="C1515" s="2">
        <v>45944</v>
      </c>
      <c r="D1515" s="1" t="s">
        <v>37</v>
      </c>
      <c r="E1515" s="1" t="s">
        <v>14</v>
      </c>
      <c r="F1515" s="1" t="s">
        <v>15</v>
      </c>
      <c r="G1515" s="1" t="s">
        <v>16</v>
      </c>
      <c r="H1515" s="1" t="s">
        <v>39</v>
      </c>
      <c r="I1515" s="1" t="s">
        <v>41</v>
      </c>
      <c r="J1515">
        <v>30</v>
      </c>
      <c r="K1515">
        <v>6</v>
      </c>
      <c r="L1515" s="1" t="s">
        <v>30</v>
      </c>
    </row>
    <row r="1516" spans="1:12" x14ac:dyDescent="0.3">
      <c r="A1516" s="1" t="s">
        <v>1901</v>
      </c>
      <c r="B1516" s="2">
        <v>45938</v>
      </c>
      <c r="C1516" s="2">
        <v>45975</v>
      </c>
      <c r="D1516" s="1" t="s">
        <v>23</v>
      </c>
      <c r="E1516" s="1" t="s">
        <v>24</v>
      </c>
      <c r="F1516" s="1" t="s">
        <v>15</v>
      </c>
      <c r="G1516" s="1" t="s">
        <v>16</v>
      </c>
      <c r="H1516" s="1" t="s">
        <v>43</v>
      </c>
      <c r="I1516" s="1" t="s">
        <v>26</v>
      </c>
      <c r="J1516">
        <v>30</v>
      </c>
      <c r="K1516">
        <v>37</v>
      </c>
      <c r="L1516" s="1" t="s">
        <v>21</v>
      </c>
    </row>
    <row r="1517" spans="1:12" x14ac:dyDescent="0.3">
      <c r="A1517" s="1" t="s">
        <v>2819</v>
      </c>
      <c r="B1517" s="2">
        <v>45938</v>
      </c>
      <c r="C1517" s="2">
        <v>45975</v>
      </c>
      <c r="D1517" s="1" t="s">
        <v>23</v>
      </c>
      <c r="E1517" s="1" t="s">
        <v>14</v>
      </c>
      <c r="F1517" s="1" t="s">
        <v>15</v>
      </c>
      <c r="G1517" s="1" t="s">
        <v>16</v>
      </c>
      <c r="H1517" s="1" t="s">
        <v>25</v>
      </c>
      <c r="I1517" s="1" t="s">
        <v>41</v>
      </c>
      <c r="J1517">
        <v>15</v>
      </c>
      <c r="K1517">
        <v>37</v>
      </c>
      <c r="L1517" s="1" t="s">
        <v>21</v>
      </c>
    </row>
    <row r="1518" spans="1:12" x14ac:dyDescent="0.3">
      <c r="A1518" s="1" t="s">
        <v>337</v>
      </c>
      <c r="B1518" s="2">
        <v>45937</v>
      </c>
      <c r="C1518" s="2">
        <v>45959</v>
      </c>
      <c r="D1518" s="1" t="s">
        <v>23</v>
      </c>
      <c r="E1518" s="1" t="s">
        <v>24</v>
      </c>
      <c r="F1518" s="1" t="s">
        <v>38</v>
      </c>
      <c r="G1518" s="1" t="s">
        <v>16</v>
      </c>
      <c r="H1518" s="1" t="s">
        <v>43</v>
      </c>
      <c r="I1518" s="1" t="s">
        <v>18</v>
      </c>
      <c r="J1518">
        <v>30</v>
      </c>
      <c r="K1518">
        <v>22</v>
      </c>
      <c r="L1518" s="1" t="s">
        <v>19</v>
      </c>
    </row>
    <row r="1519" spans="1:12" x14ac:dyDescent="0.3">
      <c r="A1519" s="1" t="s">
        <v>491</v>
      </c>
      <c r="B1519" s="2">
        <v>45937</v>
      </c>
      <c r="C1519" s="2">
        <v>45993</v>
      </c>
      <c r="D1519" s="1" t="s">
        <v>32</v>
      </c>
      <c r="E1519" s="1" t="s">
        <v>14</v>
      </c>
      <c r="F1519" s="1" t="s">
        <v>15</v>
      </c>
      <c r="G1519" s="1" t="s">
        <v>16</v>
      </c>
      <c r="H1519" s="1" t="s">
        <v>34</v>
      </c>
      <c r="I1519" s="1" t="s">
        <v>18</v>
      </c>
      <c r="J1519">
        <v>15</v>
      </c>
      <c r="K1519">
        <v>56</v>
      </c>
      <c r="L1519" s="1" t="s">
        <v>44</v>
      </c>
    </row>
    <row r="1520" spans="1:12" x14ac:dyDescent="0.3">
      <c r="A1520" s="1" t="s">
        <v>1052</v>
      </c>
      <c r="B1520" s="2">
        <v>45937</v>
      </c>
      <c r="C1520" s="2">
        <v>45980</v>
      </c>
      <c r="D1520" s="1" t="s">
        <v>23</v>
      </c>
      <c r="E1520" s="1" t="s">
        <v>14</v>
      </c>
      <c r="F1520" s="1" t="s">
        <v>15</v>
      </c>
      <c r="G1520" s="1" t="s">
        <v>16</v>
      </c>
      <c r="H1520" s="1" t="s">
        <v>43</v>
      </c>
      <c r="I1520" s="1" t="s">
        <v>41</v>
      </c>
      <c r="J1520">
        <v>30</v>
      </c>
      <c r="K1520">
        <v>43</v>
      </c>
      <c r="L1520" s="1" t="s">
        <v>44</v>
      </c>
    </row>
    <row r="1521" spans="1:12" x14ac:dyDescent="0.3">
      <c r="A1521" s="1" t="s">
        <v>1057</v>
      </c>
      <c r="B1521" s="2">
        <v>45937</v>
      </c>
      <c r="C1521" s="2">
        <v>45970</v>
      </c>
      <c r="D1521" s="1" t="s">
        <v>28</v>
      </c>
      <c r="E1521" s="1" t="s">
        <v>24</v>
      </c>
      <c r="F1521" s="1" t="s">
        <v>15</v>
      </c>
      <c r="G1521" s="1" t="s">
        <v>53</v>
      </c>
      <c r="H1521" s="1" t="s">
        <v>54</v>
      </c>
      <c r="I1521" s="1" t="s">
        <v>26</v>
      </c>
      <c r="J1521">
        <v>30</v>
      </c>
      <c r="K1521">
        <v>33</v>
      </c>
      <c r="L1521" s="1" t="s">
        <v>21</v>
      </c>
    </row>
    <row r="1522" spans="1:12" x14ac:dyDescent="0.3">
      <c r="A1522" s="1" t="s">
        <v>2756</v>
      </c>
      <c r="B1522" s="2">
        <v>45937</v>
      </c>
      <c r="C1522" s="2">
        <v>46005</v>
      </c>
      <c r="D1522" s="1" t="s">
        <v>37</v>
      </c>
      <c r="E1522" s="1" t="s">
        <v>14</v>
      </c>
      <c r="F1522" s="1" t="s">
        <v>15</v>
      </c>
      <c r="G1522" s="1" t="s">
        <v>16</v>
      </c>
      <c r="H1522" s="1" t="s">
        <v>49</v>
      </c>
      <c r="I1522" s="1" t="s">
        <v>26</v>
      </c>
      <c r="J1522">
        <v>15</v>
      </c>
      <c r="K1522">
        <v>68</v>
      </c>
      <c r="L1522" s="1" t="s">
        <v>80</v>
      </c>
    </row>
    <row r="1523" spans="1:12" x14ac:dyDescent="0.3">
      <c r="A1523" s="1" t="s">
        <v>1728</v>
      </c>
      <c r="B1523" s="2">
        <v>45937</v>
      </c>
      <c r="C1523" s="2">
        <v>45978</v>
      </c>
      <c r="D1523" s="1" t="s">
        <v>37</v>
      </c>
      <c r="E1523" s="1" t="s">
        <v>24</v>
      </c>
      <c r="F1523" s="1" t="s">
        <v>15</v>
      </c>
      <c r="G1523" s="1" t="s">
        <v>16</v>
      </c>
      <c r="H1523" s="1" t="s">
        <v>39</v>
      </c>
      <c r="I1523" s="1" t="s">
        <v>26</v>
      </c>
      <c r="J1523">
        <v>30</v>
      </c>
      <c r="K1523">
        <v>41</v>
      </c>
      <c r="L1523" s="1" t="s">
        <v>21</v>
      </c>
    </row>
    <row r="1524" spans="1:12" x14ac:dyDescent="0.3">
      <c r="A1524" s="1" t="s">
        <v>743</v>
      </c>
      <c r="B1524" s="2">
        <v>45937</v>
      </c>
      <c r="C1524" s="2">
        <v>45939</v>
      </c>
      <c r="D1524" s="1" t="s">
        <v>37</v>
      </c>
      <c r="E1524" s="1" t="s">
        <v>14</v>
      </c>
      <c r="F1524" s="1" t="s">
        <v>15</v>
      </c>
      <c r="G1524" s="1" t="s">
        <v>16</v>
      </c>
      <c r="H1524" s="1" t="s">
        <v>49</v>
      </c>
      <c r="I1524" s="1" t="s">
        <v>18</v>
      </c>
      <c r="J1524">
        <v>15</v>
      </c>
      <c r="K1524">
        <v>2</v>
      </c>
      <c r="L1524" s="1" t="s">
        <v>30</v>
      </c>
    </row>
    <row r="1525" spans="1:12" x14ac:dyDescent="0.3">
      <c r="A1525" s="1" t="s">
        <v>1891</v>
      </c>
      <c r="B1525" s="2">
        <v>45937</v>
      </c>
      <c r="C1525" s="2">
        <v>45980</v>
      </c>
      <c r="D1525" s="1" t="s">
        <v>23</v>
      </c>
      <c r="E1525" s="1" t="s">
        <v>14</v>
      </c>
      <c r="F1525" s="1" t="s">
        <v>15</v>
      </c>
      <c r="G1525" s="1" t="s">
        <v>16</v>
      </c>
      <c r="H1525" s="1" t="s">
        <v>25</v>
      </c>
      <c r="I1525" s="1" t="s">
        <v>18</v>
      </c>
      <c r="J1525">
        <v>15</v>
      </c>
      <c r="K1525">
        <v>43</v>
      </c>
      <c r="L1525" s="1" t="s">
        <v>44</v>
      </c>
    </row>
    <row r="1526" spans="1:12" x14ac:dyDescent="0.3">
      <c r="A1526" s="1" t="s">
        <v>2175</v>
      </c>
      <c r="B1526" s="2">
        <v>45937</v>
      </c>
      <c r="C1526" s="2">
        <v>45939</v>
      </c>
      <c r="D1526" s="1" t="s">
        <v>23</v>
      </c>
      <c r="E1526" s="1" t="s">
        <v>24</v>
      </c>
      <c r="F1526" s="1" t="s">
        <v>15</v>
      </c>
      <c r="G1526" s="1" t="s">
        <v>16</v>
      </c>
      <c r="H1526" s="1" t="s">
        <v>43</v>
      </c>
      <c r="I1526" s="1" t="s">
        <v>41</v>
      </c>
      <c r="J1526">
        <v>30</v>
      </c>
      <c r="K1526">
        <v>2</v>
      </c>
      <c r="L1526" s="1" t="s">
        <v>30</v>
      </c>
    </row>
    <row r="1527" spans="1:12" x14ac:dyDescent="0.3">
      <c r="A1527" s="1" t="s">
        <v>2474</v>
      </c>
      <c r="B1527" s="2">
        <v>45937</v>
      </c>
      <c r="C1527" s="2">
        <v>45953</v>
      </c>
      <c r="D1527" s="1" t="s">
        <v>13</v>
      </c>
      <c r="E1527" s="1" t="s">
        <v>14</v>
      </c>
      <c r="F1527" s="1" t="s">
        <v>15</v>
      </c>
      <c r="G1527" s="1" t="s">
        <v>16</v>
      </c>
      <c r="H1527" s="1" t="s">
        <v>47</v>
      </c>
      <c r="I1527" s="1" t="s">
        <v>41</v>
      </c>
      <c r="J1527">
        <v>15</v>
      </c>
      <c r="K1527">
        <v>16</v>
      </c>
      <c r="L1527" s="1" t="s">
        <v>19</v>
      </c>
    </row>
    <row r="1528" spans="1:12" x14ac:dyDescent="0.3">
      <c r="A1528" s="1" t="s">
        <v>2519</v>
      </c>
      <c r="B1528" s="2">
        <v>45937</v>
      </c>
      <c r="C1528" s="2">
        <v>46011</v>
      </c>
      <c r="D1528" s="1" t="s">
        <v>28</v>
      </c>
      <c r="E1528" s="1" t="s">
        <v>14</v>
      </c>
      <c r="F1528" s="1" t="s">
        <v>15</v>
      </c>
      <c r="G1528" s="1" t="s">
        <v>16</v>
      </c>
      <c r="H1528" s="1" t="s">
        <v>54</v>
      </c>
      <c r="I1528" s="1" t="s">
        <v>18</v>
      </c>
      <c r="J1528">
        <v>15</v>
      </c>
      <c r="K1528">
        <v>74</v>
      </c>
      <c r="L1528" s="1" t="s">
        <v>80</v>
      </c>
    </row>
    <row r="1529" spans="1:12" x14ac:dyDescent="0.3">
      <c r="A1529" s="1" t="s">
        <v>2992</v>
      </c>
      <c r="B1529" s="2">
        <v>45937</v>
      </c>
      <c r="C1529" s="2">
        <v>45982</v>
      </c>
      <c r="D1529" s="1" t="s">
        <v>23</v>
      </c>
      <c r="E1529" s="1" t="s">
        <v>14</v>
      </c>
      <c r="F1529" s="1" t="s">
        <v>15</v>
      </c>
      <c r="G1529" s="1" t="s">
        <v>16</v>
      </c>
      <c r="H1529" s="1" t="s">
        <v>25</v>
      </c>
      <c r="I1529" s="1" t="s">
        <v>18</v>
      </c>
      <c r="J1529">
        <v>30</v>
      </c>
      <c r="K1529">
        <v>45</v>
      </c>
      <c r="L1529" s="1" t="s">
        <v>44</v>
      </c>
    </row>
    <row r="1530" spans="1:12" x14ac:dyDescent="0.3">
      <c r="A1530" s="1" t="s">
        <v>407</v>
      </c>
      <c r="B1530" s="2">
        <v>45936</v>
      </c>
      <c r="C1530" s="2">
        <v>45949</v>
      </c>
      <c r="D1530" s="1" t="s">
        <v>13</v>
      </c>
      <c r="E1530" s="1" t="s">
        <v>24</v>
      </c>
      <c r="F1530" s="1" t="s">
        <v>15</v>
      </c>
      <c r="G1530" s="1" t="s">
        <v>16</v>
      </c>
      <c r="H1530" s="1" t="s">
        <v>17</v>
      </c>
      <c r="I1530" s="1" t="s">
        <v>26</v>
      </c>
      <c r="J1530">
        <v>30</v>
      </c>
      <c r="K1530">
        <v>13</v>
      </c>
      <c r="L1530" s="1" t="s">
        <v>30</v>
      </c>
    </row>
    <row r="1531" spans="1:12" x14ac:dyDescent="0.3">
      <c r="A1531" s="1" t="s">
        <v>759</v>
      </c>
      <c r="B1531" s="2">
        <v>45936</v>
      </c>
      <c r="C1531" s="2">
        <v>45947</v>
      </c>
      <c r="D1531" s="1" t="s">
        <v>28</v>
      </c>
      <c r="E1531" s="1" t="s">
        <v>14</v>
      </c>
      <c r="F1531" s="1" t="s">
        <v>15</v>
      </c>
      <c r="G1531" s="1" t="s">
        <v>16</v>
      </c>
      <c r="H1531" s="1" t="s">
        <v>54</v>
      </c>
      <c r="I1531" s="1" t="s">
        <v>41</v>
      </c>
      <c r="J1531">
        <v>30</v>
      </c>
      <c r="K1531">
        <v>11</v>
      </c>
      <c r="L1531" s="1" t="s">
        <v>30</v>
      </c>
    </row>
    <row r="1532" spans="1:12" x14ac:dyDescent="0.3">
      <c r="A1532" s="1" t="s">
        <v>1207</v>
      </c>
      <c r="B1532" s="2">
        <v>45936</v>
      </c>
      <c r="C1532" s="2">
        <v>45960</v>
      </c>
      <c r="D1532" s="1" t="s">
        <v>37</v>
      </c>
      <c r="E1532" s="1" t="s">
        <v>24</v>
      </c>
      <c r="F1532" s="1" t="s">
        <v>15</v>
      </c>
      <c r="G1532" s="1" t="s">
        <v>16</v>
      </c>
      <c r="H1532" s="1" t="s">
        <v>49</v>
      </c>
      <c r="I1532" s="1" t="s">
        <v>26</v>
      </c>
      <c r="J1532">
        <v>45</v>
      </c>
      <c r="K1532">
        <v>24</v>
      </c>
      <c r="L1532" s="1" t="s">
        <v>19</v>
      </c>
    </row>
    <row r="1533" spans="1:12" x14ac:dyDescent="0.3">
      <c r="A1533" s="1" t="s">
        <v>1762</v>
      </c>
      <c r="B1533" s="2">
        <v>45936</v>
      </c>
      <c r="C1533" s="2">
        <v>45963</v>
      </c>
      <c r="D1533" s="1" t="s">
        <v>13</v>
      </c>
      <c r="E1533" s="1" t="s">
        <v>24</v>
      </c>
      <c r="F1533" s="1" t="s">
        <v>15</v>
      </c>
      <c r="G1533" s="1" t="s">
        <v>16</v>
      </c>
      <c r="H1533" s="1" t="s">
        <v>17</v>
      </c>
      <c r="I1533" s="1" t="s">
        <v>41</v>
      </c>
      <c r="J1533">
        <v>45</v>
      </c>
      <c r="K1533">
        <v>27</v>
      </c>
      <c r="L1533" s="1" t="s">
        <v>19</v>
      </c>
    </row>
    <row r="1534" spans="1:12" x14ac:dyDescent="0.3">
      <c r="A1534" s="1" t="s">
        <v>1958</v>
      </c>
      <c r="B1534" s="2">
        <v>45936</v>
      </c>
      <c r="C1534" s="2">
        <v>45981</v>
      </c>
      <c r="D1534" s="1" t="s">
        <v>28</v>
      </c>
      <c r="E1534" s="1" t="s">
        <v>24</v>
      </c>
      <c r="F1534" s="1" t="s">
        <v>15</v>
      </c>
      <c r="G1534" s="1" t="s">
        <v>53</v>
      </c>
      <c r="H1534" s="1" t="s">
        <v>29</v>
      </c>
      <c r="I1534" s="1" t="s">
        <v>26</v>
      </c>
      <c r="J1534">
        <v>45</v>
      </c>
      <c r="K1534">
        <v>45</v>
      </c>
      <c r="L1534" s="1" t="s">
        <v>44</v>
      </c>
    </row>
    <row r="1535" spans="1:12" x14ac:dyDescent="0.3">
      <c r="A1535" s="1" t="s">
        <v>385</v>
      </c>
      <c r="B1535" s="2">
        <v>45935</v>
      </c>
      <c r="C1535" s="2">
        <v>45967</v>
      </c>
      <c r="D1535" s="1" t="s">
        <v>28</v>
      </c>
      <c r="E1535" s="1" t="s">
        <v>14</v>
      </c>
      <c r="F1535" s="1" t="s">
        <v>15</v>
      </c>
      <c r="G1535" s="1" t="s">
        <v>16</v>
      </c>
      <c r="H1535" s="1" t="s">
        <v>29</v>
      </c>
      <c r="I1535" s="1" t="s">
        <v>18</v>
      </c>
      <c r="J1535">
        <v>15</v>
      </c>
      <c r="K1535">
        <v>32</v>
      </c>
      <c r="L1535" s="1" t="s">
        <v>21</v>
      </c>
    </row>
    <row r="1536" spans="1:12" x14ac:dyDescent="0.3">
      <c r="A1536" s="1" t="s">
        <v>1249</v>
      </c>
      <c r="B1536" s="2">
        <v>45935</v>
      </c>
      <c r="C1536" s="2">
        <v>45937</v>
      </c>
      <c r="D1536" s="1" t="s">
        <v>23</v>
      </c>
      <c r="E1536" s="1" t="s">
        <v>14</v>
      </c>
      <c r="F1536" s="1" t="s">
        <v>15</v>
      </c>
      <c r="G1536" s="1" t="s">
        <v>16</v>
      </c>
      <c r="H1536" s="1" t="s">
        <v>25</v>
      </c>
      <c r="I1536" s="1" t="s">
        <v>41</v>
      </c>
      <c r="J1536">
        <v>15</v>
      </c>
      <c r="K1536">
        <v>2</v>
      </c>
      <c r="L1536" s="1" t="s">
        <v>30</v>
      </c>
    </row>
    <row r="1537" spans="1:12" x14ac:dyDescent="0.3">
      <c r="A1537" s="1" t="s">
        <v>1338</v>
      </c>
      <c r="B1537" s="2">
        <v>45935</v>
      </c>
      <c r="C1537" s="2">
        <v>45998</v>
      </c>
      <c r="D1537" s="1" t="s">
        <v>28</v>
      </c>
      <c r="E1537" s="1" t="s">
        <v>14</v>
      </c>
      <c r="F1537" s="1" t="s">
        <v>15</v>
      </c>
      <c r="G1537" s="1" t="s">
        <v>16</v>
      </c>
      <c r="H1537" s="1" t="s">
        <v>29</v>
      </c>
      <c r="I1537" s="1" t="s">
        <v>41</v>
      </c>
      <c r="J1537">
        <v>15</v>
      </c>
      <c r="K1537">
        <v>63</v>
      </c>
      <c r="L1537" s="1" t="s">
        <v>80</v>
      </c>
    </row>
    <row r="1538" spans="1:12" x14ac:dyDescent="0.3">
      <c r="A1538" s="1" t="s">
        <v>1502</v>
      </c>
      <c r="B1538" s="2">
        <v>45935</v>
      </c>
      <c r="C1538" s="2">
        <v>45937</v>
      </c>
      <c r="D1538" s="1" t="s">
        <v>13</v>
      </c>
      <c r="E1538" s="1" t="s">
        <v>24</v>
      </c>
      <c r="F1538" s="1" t="s">
        <v>38</v>
      </c>
      <c r="G1538" s="1" t="s">
        <v>16</v>
      </c>
      <c r="H1538" s="1" t="s">
        <v>47</v>
      </c>
      <c r="I1538" s="1" t="s">
        <v>26</v>
      </c>
      <c r="J1538">
        <v>30</v>
      </c>
      <c r="K1538">
        <v>2</v>
      </c>
      <c r="L1538" s="1" t="s">
        <v>30</v>
      </c>
    </row>
    <row r="1539" spans="1:12" x14ac:dyDescent="0.3">
      <c r="A1539" s="1" t="s">
        <v>2918</v>
      </c>
      <c r="B1539" s="2">
        <v>45935</v>
      </c>
      <c r="C1539" s="2">
        <v>45985</v>
      </c>
      <c r="D1539" s="1" t="s">
        <v>37</v>
      </c>
      <c r="E1539" s="1" t="s">
        <v>14</v>
      </c>
      <c r="F1539" s="1" t="s">
        <v>15</v>
      </c>
      <c r="G1539" s="1" t="s">
        <v>16</v>
      </c>
      <c r="H1539" s="1" t="s">
        <v>39</v>
      </c>
      <c r="I1539" s="1" t="s">
        <v>41</v>
      </c>
      <c r="J1539">
        <v>30</v>
      </c>
      <c r="K1539">
        <v>50</v>
      </c>
      <c r="L1539" s="1" t="s">
        <v>44</v>
      </c>
    </row>
    <row r="1540" spans="1:12" x14ac:dyDescent="0.3">
      <c r="A1540" s="1" t="s">
        <v>845</v>
      </c>
      <c r="B1540" s="2">
        <v>45935</v>
      </c>
      <c r="C1540" s="2">
        <v>45963</v>
      </c>
      <c r="D1540" s="1" t="s">
        <v>37</v>
      </c>
      <c r="E1540" s="1" t="s">
        <v>14</v>
      </c>
      <c r="F1540" s="1" t="s">
        <v>38</v>
      </c>
      <c r="G1540" s="1" t="s">
        <v>33</v>
      </c>
      <c r="H1540" s="1" t="s">
        <v>49</v>
      </c>
      <c r="I1540" s="1" t="s">
        <v>18</v>
      </c>
      <c r="J1540">
        <v>15</v>
      </c>
      <c r="K1540">
        <v>28</v>
      </c>
      <c r="L1540" s="1" t="s">
        <v>19</v>
      </c>
    </row>
    <row r="1541" spans="1:12" x14ac:dyDescent="0.3">
      <c r="A1541" s="1" t="s">
        <v>591</v>
      </c>
      <c r="B1541" s="2">
        <v>45935</v>
      </c>
      <c r="C1541" s="2">
        <v>45955</v>
      </c>
      <c r="D1541" s="1" t="s">
        <v>37</v>
      </c>
      <c r="E1541" s="1" t="s">
        <v>24</v>
      </c>
      <c r="F1541" s="1" t="s">
        <v>15</v>
      </c>
      <c r="G1541" s="1" t="s">
        <v>16</v>
      </c>
      <c r="H1541" s="1" t="s">
        <v>49</v>
      </c>
      <c r="I1541" s="1" t="s">
        <v>41</v>
      </c>
      <c r="J1541">
        <v>30</v>
      </c>
      <c r="K1541">
        <v>20</v>
      </c>
      <c r="L1541" s="1" t="s">
        <v>19</v>
      </c>
    </row>
    <row r="1542" spans="1:12" x14ac:dyDescent="0.3">
      <c r="A1542" s="1" t="s">
        <v>650</v>
      </c>
      <c r="B1542" s="2">
        <v>45935</v>
      </c>
      <c r="C1542" s="2">
        <v>45939</v>
      </c>
      <c r="D1542" s="1" t="s">
        <v>37</v>
      </c>
      <c r="E1542" s="1" t="s">
        <v>24</v>
      </c>
      <c r="F1542" s="1" t="s">
        <v>15</v>
      </c>
      <c r="G1542" s="1" t="s">
        <v>33</v>
      </c>
      <c r="H1542" s="1" t="s">
        <v>49</v>
      </c>
      <c r="I1542" s="1" t="s">
        <v>26</v>
      </c>
      <c r="J1542">
        <v>30</v>
      </c>
      <c r="K1542">
        <v>4</v>
      </c>
      <c r="L1542" s="1" t="s">
        <v>30</v>
      </c>
    </row>
    <row r="1543" spans="1:12" x14ac:dyDescent="0.3">
      <c r="A1543" s="1" t="s">
        <v>1625</v>
      </c>
      <c r="B1543" s="2">
        <v>45935</v>
      </c>
      <c r="C1543" s="2">
        <v>45965</v>
      </c>
      <c r="D1543" s="1" t="s">
        <v>13</v>
      </c>
      <c r="E1543" s="1" t="s">
        <v>24</v>
      </c>
      <c r="F1543" s="1" t="s">
        <v>15</v>
      </c>
      <c r="G1543" s="1" t="s">
        <v>16</v>
      </c>
      <c r="H1543" s="1" t="s">
        <v>47</v>
      </c>
      <c r="I1543" s="1" t="s">
        <v>26</v>
      </c>
      <c r="J1543">
        <v>30</v>
      </c>
      <c r="K1543">
        <v>30</v>
      </c>
      <c r="L1543" s="1" t="s">
        <v>21</v>
      </c>
    </row>
    <row r="1544" spans="1:12" x14ac:dyDescent="0.3">
      <c r="A1544" s="1" t="s">
        <v>1722</v>
      </c>
      <c r="B1544" s="2">
        <v>45935</v>
      </c>
      <c r="C1544" s="2">
        <v>45949</v>
      </c>
      <c r="D1544" s="1" t="s">
        <v>23</v>
      </c>
      <c r="E1544" s="1" t="s">
        <v>14</v>
      </c>
      <c r="F1544" s="1" t="s">
        <v>15</v>
      </c>
      <c r="G1544" s="1" t="s">
        <v>53</v>
      </c>
      <c r="H1544" s="1" t="s">
        <v>43</v>
      </c>
      <c r="I1544" s="1" t="s">
        <v>26</v>
      </c>
      <c r="J1544">
        <v>30</v>
      </c>
      <c r="K1544">
        <v>14</v>
      </c>
      <c r="L1544" s="1" t="s">
        <v>30</v>
      </c>
    </row>
    <row r="1545" spans="1:12" x14ac:dyDescent="0.3">
      <c r="A1545" s="1" t="s">
        <v>2306</v>
      </c>
      <c r="B1545" s="2">
        <v>45935</v>
      </c>
      <c r="C1545" s="2">
        <v>45966</v>
      </c>
      <c r="D1545" s="1" t="s">
        <v>32</v>
      </c>
      <c r="E1545" s="1" t="s">
        <v>14</v>
      </c>
      <c r="F1545" s="1" t="s">
        <v>38</v>
      </c>
      <c r="G1545" s="1" t="s">
        <v>16</v>
      </c>
      <c r="H1545" s="1" t="s">
        <v>71</v>
      </c>
      <c r="I1545" s="1" t="s">
        <v>26</v>
      </c>
      <c r="J1545">
        <v>15</v>
      </c>
      <c r="K1545">
        <v>31</v>
      </c>
      <c r="L1545" s="1" t="s">
        <v>21</v>
      </c>
    </row>
    <row r="1546" spans="1:12" x14ac:dyDescent="0.3">
      <c r="A1546" s="1" t="s">
        <v>56</v>
      </c>
      <c r="B1546" s="2">
        <v>45934</v>
      </c>
      <c r="C1546" s="2">
        <v>45969</v>
      </c>
      <c r="D1546" s="1" t="s">
        <v>32</v>
      </c>
      <c r="E1546" s="1" t="s">
        <v>24</v>
      </c>
      <c r="F1546" s="1" t="s">
        <v>15</v>
      </c>
      <c r="G1546" s="1" t="s">
        <v>16</v>
      </c>
      <c r="H1546" s="1" t="s">
        <v>34</v>
      </c>
      <c r="I1546" s="1" t="s">
        <v>26</v>
      </c>
      <c r="J1546">
        <v>45</v>
      </c>
      <c r="K1546">
        <v>35</v>
      </c>
      <c r="L1546" s="1" t="s">
        <v>21</v>
      </c>
    </row>
    <row r="1547" spans="1:12" x14ac:dyDescent="0.3">
      <c r="A1547" s="1" t="s">
        <v>1042</v>
      </c>
      <c r="B1547" s="2">
        <v>45934</v>
      </c>
      <c r="C1547" s="2">
        <v>45995</v>
      </c>
      <c r="D1547" s="1" t="s">
        <v>23</v>
      </c>
      <c r="E1547" s="1" t="s">
        <v>14</v>
      </c>
      <c r="F1547" s="1" t="s">
        <v>15</v>
      </c>
      <c r="G1547" s="1" t="s">
        <v>33</v>
      </c>
      <c r="H1547" s="1" t="s">
        <v>25</v>
      </c>
      <c r="I1547" s="1" t="s">
        <v>26</v>
      </c>
      <c r="J1547">
        <v>30</v>
      </c>
      <c r="K1547">
        <v>61</v>
      </c>
      <c r="L1547" s="1" t="s">
        <v>80</v>
      </c>
    </row>
    <row r="1548" spans="1:12" x14ac:dyDescent="0.3">
      <c r="A1548" s="1" t="s">
        <v>1484</v>
      </c>
      <c r="B1548" s="2">
        <v>45934</v>
      </c>
      <c r="C1548" s="2">
        <v>45981</v>
      </c>
      <c r="D1548" s="1" t="s">
        <v>32</v>
      </c>
      <c r="E1548" s="1" t="s">
        <v>24</v>
      </c>
      <c r="F1548" s="1" t="s">
        <v>15</v>
      </c>
      <c r="G1548" s="1" t="s">
        <v>53</v>
      </c>
      <c r="H1548" s="1" t="s">
        <v>71</v>
      </c>
      <c r="I1548" s="1" t="s">
        <v>26</v>
      </c>
      <c r="J1548">
        <v>30</v>
      </c>
      <c r="K1548">
        <v>47</v>
      </c>
      <c r="L1548" s="1" t="s">
        <v>44</v>
      </c>
    </row>
    <row r="1549" spans="1:12" x14ac:dyDescent="0.3">
      <c r="A1549" s="1" t="s">
        <v>2785</v>
      </c>
      <c r="B1549" s="2">
        <v>45934</v>
      </c>
      <c r="C1549" s="2">
        <v>45955</v>
      </c>
      <c r="D1549" s="1" t="s">
        <v>13</v>
      </c>
      <c r="E1549" s="1" t="s">
        <v>14</v>
      </c>
      <c r="F1549" s="1" t="s">
        <v>15</v>
      </c>
      <c r="G1549" s="1" t="s">
        <v>16</v>
      </c>
      <c r="H1549" s="1" t="s">
        <v>17</v>
      </c>
      <c r="I1549" s="1" t="s">
        <v>26</v>
      </c>
      <c r="J1549">
        <v>30</v>
      </c>
      <c r="K1549">
        <v>21</v>
      </c>
      <c r="L1549" s="1" t="s">
        <v>19</v>
      </c>
    </row>
    <row r="1550" spans="1:12" x14ac:dyDescent="0.3">
      <c r="A1550" s="1" t="s">
        <v>2853</v>
      </c>
      <c r="B1550" s="2">
        <v>45934</v>
      </c>
      <c r="C1550" s="2">
        <v>45941</v>
      </c>
      <c r="D1550" s="1" t="s">
        <v>13</v>
      </c>
      <c r="E1550" s="1" t="s">
        <v>24</v>
      </c>
      <c r="F1550" s="1" t="s">
        <v>15</v>
      </c>
      <c r="G1550" s="1" t="s">
        <v>16</v>
      </c>
      <c r="H1550" s="1" t="s">
        <v>47</v>
      </c>
      <c r="I1550" s="1" t="s">
        <v>26</v>
      </c>
      <c r="J1550">
        <v>30</v>
      </c>
      <c r="K1550">
        <v>7</v>
      </c>
      <c r="L1550" s="1" t="s">
        <v>30</v>
      </c>
    </row>
    <row r="1551" spans="1:12" x14ac:dyDescent="0.3">
      <c r="A1551" s="1" t="s">
        <v>3001</v>
      </c>
      <c r="B1551" s="2">
        <v>45934</v>
      </c>
      <c r="C1551" s="2">
        <v>45963</v>
      </c>
      <c r="D1551" s="1" t="s">
        <v>13</v>
      </c>
      <c r="E1551" s="1" t="s">
        <v>14</v>
      </c>
      <c r="F1551" s="1" t="s">
        <v>38</v>
      </c>
      <c r="G1551" s="1" t="s">
        <v>16</v>
      </c>
      <c r="H1551" s="1" t="s">
        <v>17</v>
      </c>
      <c r="I1551" s="1" t="s">
        <v>18</v>
      </c>
      <c r="J1551">
        <v>30</v>
      </c>
      <c r="K1551">
        <v>29</v>
      </c>
      <c r="L1551" s="1" t="s">
        <v>21</v>
      </c>
    </row>
    <row r="1552" spans="1:12" x14ac:dyDescent="0.3">
      <c r="A1552" s="1" t="s">
        <v>939</v>
      </c>
      <c r="B1552" s="2">
        <v>45933</v>
      </c>
      <c r="C1552" s="2">
        <v>45985</v>
      </c>
      <c r="D1552" s="1" t="s">
        <v>13</v>
      </c>
      <c r="E1552" s="1" t="s">
        <v>24</v>
      </c>
      <c r="F1552" s="1" t="s">
        <v>38</v>
      </c>
      <c r="G1552" s="1" t="s">
        <v>16</v>
      </c>
      <c r="H1552" s="1" t="s">
        <v>17</v>
      </c>
      <c r="I1552" s="1" t="s">
        <v>18</v>
      </c>
      <c r="J1552">
        <v>30</v>
      </c>
      <c r="K1552">
        <v>52</v>
      </c>
      <c r="L1552" s="1" t="s">
        <v>44</v>
      </c>
    </row>
    <row r="1553" spans="1:12" x14ac:dyDescent="0.3">
      <c r="A1553" s="1" t="s">
        <v>982</v>
      </c>
      <c r="B1553" s="2">
        <v>45933</v>
      </c>
      <c r="C1553" s="2">
        <v>45990</v>
      </c>
      <c r="D1553" s="1" t="s">
        <v>23</v>
      </c>
      <c r="E1553" s="1" t="s">
        <v>24</v>
      </c>
      <c r="F1553" s="1" t="s">
        <v>15</v>
      </c>
      <c r="G1553" s="1" t="s">
        <v>33</v>
      </c>
      <c r="H1553" s="1" t="s">
        <v>43</v>
      </c>
      <c r="I1553" s="1" t="s">
        <v>18</v>
      </c>
      <c r="J1553">
        <v>30</v>
      </c>
      <c r="K1553">
        <v>57</v>
      </c>
      <c r="L1553" s="1" t="s">
        <v>80</v>
      </c>
    </row>
    <row r="1554" spans="1:12" x14ac:dyDescent="0.3">
      <c r="A1554" s="1" t="s">
        <v>487</v>
      </c>
      <c r="B1554" s="2">
        <v>45933</v>
      </c>
      <c r="C1554" s="2">
        <v>45942</v>
      </c>
      <c r="D1554" s="1" t="s">
        <v>37</v>
      </c>
      <c r="E1554" s="1" t="s">
        <v>14</v>
      </c>
      <c r="F1554" s="1" t="s">
        <v>15</v>
      </c>
      <c r="G1554" s="1" t="s">
        <v>16</v>
      </c>
      <c r="H1554" s="1" t="s">
        <v>49</v>
      </c>
      <c r="I1554" s="1" t="s">
        <v>26</v>
      </c>
      <c r="J1554">
        <v>30</v>
      </c>
      <c r="K1554">
        <v>9</v>
      </c>
      <c r="L1554" s="1" t="s">
        <v>30</v>
      </c>
    </row>
    <row r="1555" spans="1:12" x14ac:dyDescent="0.3">
      <c r="A1555" s="1" t="s">
        <v>1093</v>
      </c>
      <c r="B1555" s="2">
        <v>45933</v>
      </c>
      <c r="C1555" s="2">
        <v>45937</v>
      </c>
      <c r="D1555" s="1" t="s">
        <v>37</v>
      </c>
      <c r="E1555" s="1" t="s">
        <v>24</v>
      </c>
      <c r="F1555" s="1" t="s">
        <v>15</v>
      </c>
      <c r="G1555" s="1" t="s">
        <v>16</v>
      </c>
      <c r="H1555" s="1" t="s">
        <v>49</v>
      </c>
      <c r="I1555" s="1" t="s">
        <v>41</v>
      </c>
      <c r="J1555">
        <v>30</v>
      </c>
      <c r="K1555">
        <v>4</v>
      </c>
      <c r="L1555" s="1" t="s">
        <v>30</v>
      </c>
    </row>
    <row r="1556" spans="1:12" x14ac:dyDescent="0.3">
      <c r="A1556" s="1" t="s">
        <v>2108</v>
      </c>
      <c r="B1556" s="2">
        <v>45933</v>
      </c>
      <c r="C1556" s="2">
        <v>46004</v>
      </c>
      <c r="D1556" s="1" t="s">
        <v>28</v>
      </c>
      <c r="E1556" s="1" t="s">
        <v>24</v>
      </c>
      <c r="F1556" s="1" t="s">
        <v>15</v>
      </c>
      <c r="G1556" s="1" t="s">
        <v>53</v>
      </c>
      <c r="H1556" s="1" t="s">
        <v>54</v>
      </c>
      <c r="I1556" s="1" t="s">
        <v>18</v>
      </c>
      <c r="J1556">
        <v>30</v>
      </c>
      <c r="K1556">
        <v>71</v>
      </c>
      <c r="L1556" s="1" t="s">
        <v>80</v>
      </c>
    </row>
    <row r="1557" spans="1:12" x14ac:dyDescent="0.3">
      <c r="A1557" s="1" t="s">
        <v>2355</v>
      </c>
      <c r="B1557" s="2">
        <v>45933</v>
      </c>
      <c r="C1557" s="2">
        <v>45959</v>
      </c>
      <c r="D1557" s="1" t="s">
        <v>28</v>
      </c>
      <c r="E1557" s="1" t="s">
        <v>14</v>
      </c>
      <c r="F1557" s="1" t="s">
        <v>15</v>
      </c>
      <c r="G1557" s="1" t="s">
        <v>16</v>
      </c>
      <c r="H1557" s="1" t="s">
        <v>54</v>
      </c>
      <c r="I1557" s="1" t="s">
        <v>26</v>
      </c>
      <c r="J1557">
        <v>15</v>
      </c>
      <c r="K1557">
        <v>26</v>
      </c>
      <c r="L1557" s="1" t="s">
        <v>19</v>
      </c>
    </row>
    <row r="1558" spans="1:12" x14ac:dyDescent="0.3">
      <c r="A1558" s="1" t="s">
        <v>156</v>
      </c>
      <c r="B1558" s="2">
        <v>45932</v>
      </c>
      <c r="C1558" s="2">
        <v>45962</v>
      </c>
      <c r="D1558" s="1" t="s">
        <v>32</v>
      </c>
      <c r="E1558" s="1" t="s">
        <v>24</v>
      </c>
      <c r="F1558" s="1" t="s">
        <v>15</v>
      </c>
      <c r="G1558" s="1" t="s">
        <v>16</v>
      </c>
      <c r="H1558" s="1" t="s">
        <v>34</v>
      </c>
      <c r="I1558" s="1" t="s">
        <v>26</v>
      </c>
      <c r="J1558">
        <v>30</v>
      </c>
      <c r="K1558">
        <v>30</v>
      </c>
      <c r="L1558" s="1" t="s">
        <v>21</v>
      </c>
    </row>
    <row r="1559" spans="1:12" x14ac:dyDescent="0.3">
      <c r="A1559" s="1" t="s">
        <v>462</v>
      </c>
      <c r="B1559" s="2">
        <v>45932</v>
      </c>
      <c r="C1559" s="2">
        <v>45975</v>
      </c>
      <c r="D1559" s="1" t="s">
        <v>13</v>
      </c>
      <c r="E1559" s="1" t="s">
        <v>14</v>
      </c>
      <c r="F1559" s="1" t="s">
        <v>15</v>
      </c>
      <c r="G1559" s="1" t="s">
        <v>16</v>
      </c>
      <c r="H1559" s="1" t="s">
        <v>17</v>
      </c>
      <c r="I1559" s="1" t="s">
        <v>26</v>
      </c>
      <c r="J1559">
        <v>15</v>
      </c>
      <c r="K1559">
        <v>43</v>
      </c>
      <c r="L1559" s="1" t="s">
        <v>44</v>
      </c>
    </row>
    <row r="1560" spans="1:12" x14ac:dyDescent="0.3">
      <c r="A1560" s="1" t="s">
        <v>1532</v>
      </c>
      <c r="B1560" s="2">
        <v>45932</v>
      </c>
      <c r="C1560" s="2">
        <v>45992</v>
      </c>
      <c r="D1560" s="1" t="s">
        <v>23</v>
      </c>
      <c r="E1560" s="1" t="s">
        <v>14</v>
      </c>
      <c r="F1560" s="1" t="s">
        <v>15</v>
      </c>
      <c r="G1560" s="1" t="s">
        <v>16</v>
      </c>
      <c r="H1560" s="1" t="s">
        <v>43</v>
      </c>
      <c r="I1560" s="1" t="s">
        <v>26</v>
      </c>
      <c r="J1560">
        <v>30</v>
      </c>
      <c r="K1560">
        <v>60</v>
      </c>
      <c r="L1560" s="1" t="s">
        <v>80</v>
      </c>
    </row>
    <row r="1561" spans="1:12" x14ac:dyDescent="0.3">
      <c r="A1561" s="1" t="s">
        <v>1259</v>
      </c>
      <c r="B1561" s="2">
        <v>45932</v>
      </c>
      <c r="C1561" s="2">
        <v>45977</v>
      </c>
      <c r="D1561" s="1" t="s">
        <v>37</v>
      </c>
      <c r="E1561" s="1" t="s">
        <v>24</v>
      </c>
      <c r="F1561" s="1" t="s">
        <v>15</v>
      </c>
      <c r="G1561" s="1" t="s">
        <v>53</v>
      </c>
      <c r="H1561" s="1" t="s">
        <v>39</v>
      </c>
      <c r="I1561" s="1" t="s">
        <v>26</v>
      </c>
      <c r="J1561">
        <v>30</v>
      </c>
      <c r="K1561">
        <v>45</v>
      </c>
      <c r="L1561" s="1" t="s">
        <v>44</v>
      </c>
    </row>
    <row r="1562" spans="1:12" x14ac:dyDescent="0.3">
      <c r="A1562" s="1" t="s">
        <v>2757</v>
      </c>
      <c r="B1562" s="2">
        <v>45932</v>
      </c>
      <c r="C1562" s="2">
        <v>45974</v>
      </c>
      <c r="D1562" s="1" t="s">
        <v>37</v>
      </c>
      <c r="E1562" s="1" t="s">
        <v>14</v>
      </c>
      <c r="F1562" s="1" t="s">
        <v>15</v>
      </c>
      <c r="G1562" s="1" t="s">
        <v>16</v>
      </c>
      <c r="H1562" s="1" t="s">
        <v>49</v>
      </c>
      <c r="I1562" s="1" t="s">
        <v>18</v>
      </c>
      <c r="J1562">
        <v>15</v>
      </c>
      <c r="K1562">
        <v>42</v>
      </c>
      <c r="L1562" s="1" t="s">
        <v>21</v>
      </c>
    </row>
    <row r="1563" spans="1:12" x14ac:dyDescent="0.3">
      <c r="A1563" s="1" t="s">
        <v>2293</v>
      </c>
      <c r="B1563" s="2">
        <v>45932</v>
      </c>
      <c r="C1563" s="2">
        <v>45971</v>
      </c>
      <c r="D1563" s="1" t="s">
        <v>37</v>
      </c>
      <c r="E1563" s="1" t="s">
        <v>24</v>
      </c>
      <c r="F1563" s="1" t="s">
        <v>15</v>
      </c>
      <c r="G1563" s="1" t="s">
        <v>33</v>
      </c>
      <c r="H1563" s="1" t="s">
        <v>49</v>
      </c>
      <c r="I1563" s="1" t="s">
        <v>18</v>
      </c>
      <c r="J1563">
        <v>30</v>
      </c>
      <c r="K1563">
        <v>39</v>
      </c>
      <c r="L1563" s="1" t="s">
        <v>21</v>
      </c>
    </row>
    <row r="1564" spans="1:12" x14ac:dyDescent="0.3">
      <c r="A1564" s="1" t="s">
        <v>1283</v>
      </c>
      <c r="B1564" s="2">
        <v>45932</v>
      </c>
      <c r="C1564" s="2">
        <v>45962</v>
      </c>
      <c r="D1564" s="1" t="s">
        <v>37</v>
      </c>
      <c r="E1564" s="1" t="s">
        <v>14</v>
      </c>
      <c r="F1564" s="1" t="s">
        <v>15</v>
      </c>
      <c r="G1564" s="1" t="s">
        <v>16</v>
      </c>
      <c r="H1564" s="1" t="s">
        <v>39</v>
      </c>
      <c r="I1564" s="1" t="s">
        <v>41</v>
      </c>
      <c r="J1564">
        <v>15</v>
      </c>
      <c r="K1564">
        <v>30</v>
      </c>
      <c r="L1564" s="1" t="s">
        <v>21</v>
      </c>
    </row>
    <row r="1565" spans="1:12" x14ac:dyDescent="0.3">
      <c r="A1565" s="1" t="s">
        <v>1660</v>
      </c>
      <c r="B1565" s="2">
        <v>45932</v>
      </c>
      <c r="C1565" s="2">
        <v>45970</v>
      </c>
      <c r="D1565" s="1" t="s">
        <v>23</v>
      </c>
      <c r="E1565" s="1" t="s">
        <v>24</v>
      </c>
      <c r="F1565" s="1" t="s">
        <v>15</v>
      </c>
      <c r="G1565" s="1" t="s">
        <v>16</v>
      </c>
      <c r="H1565" s="1" t="s">
        <v>43</v>
      </c>
      <c r="I1565" s="1" t="s">
        <v>18</v>
      </c>
      <c r="J1565">
        <v>45</v>
      </c>
      <c r="K1565">
        <v>38</v>
      </c>
      <c r="L1565" s="1" t="s">
        <v>21</v>
      </c>
    </row>
    <row r="1566" spans="1:12" x14ac:dyDescent="0.3">
      <c r="A1566" s="1" t="s">
        <v>2943</v>
      </c>
      <c r="B1566" s="2">
        <v>45932</v>
      </c>
      <c r="C1566" s="2">
        <v>45973</v>
      </c>
      <c r="D1566" s="1" t="s">
        <v>23</v>
      </c>
      <c r="E1566" s="1" t="s">
        <v>14</v>
      </c>
      <c r="F1566" s="1" t="s">
        <v>15</v>
      </c>
      <c r="G1566" s="1" t="s">
        <v>16</v>
      </c>
      <c r="H1566" s="1" t="s">
        <v>43</v>
      </c>
      <c r="I1566" s="1" t="s">
        <v>26</v>
      </c>
      <c r="J1566">
        <v>15</v>
      </c>
      <c r="K1566">
        <v>41</v>
      </c>
      <c r="L1566" s="1" t="s">
        <v>21</v>
      </c>
    </row>
    <row r="1567" spans="1:12" x14ac:dyDescent="0.3">
      <c r="A1567" s="1" t="s">
        <v>2994</v>
      </c>
      <c r="B1567" s="2">
        <v>45932</v>
      </c>
      <c r="C1567" s="2">
        <v>45963</v>
      </c>
      <c r="D1567" s="1" t="s">
        <v>23</v>
      </c>
      <c r="E1567" s="1" t="s">
        <v>14</v>
      </c>
      <c r="F1567" s="1" t="s">
        <v>15</v>
      </c>
      <c r="G1567" s="1" t="s">
        <v>16</v>
      </c>
      <c r="H1567" s="1" t="s">
        <v>43</v>
      </c>
      <c r="I1567" s="1" t="s">
        <v>41</v>
      </c>
      <c r="J1567">
        <v>15</v>
      </c>
      <c r="K1567">
        <v>31</v>
      </c>
      <c r="L1567" s="1" t="s">
        <v>21</v>
      </c>
    </row>
    <row r="1568" spans="1:12" x14ac:dyDescent="0.3">
      <c r="A1568" s="1" t="s">
        <v>3054</v>
      </c>
      <c r="B1568" s="2">
        <v>45932</v>
      </c>
      <c r="C1568" s="2">
        <v>45996</v>
      </c>
      <c r="D1568" s="1" t="s">
        <v>32</v>
      </c>
      <c r="E1568" s="1" t="s">
        <v>14</v>
      </c>
      <c r="F1568" s="1" t="s">
        <v>15</v>
      </c>
      <c r="G1568" s="1" t="s">
        <v>16</v>
      </c>
      <c r="H1568" s="1" t="s">
        <v>34</v>
      </c>
      <c r="I1568" s="1" t="s">
        <v>41</v>
      </c>
      <c r="J1568">
        <v>15</v>
      </c>
      <c r="K1568">
        <v>64</v>
      </c>
      <c r="L1568" s="1" t="s">
        <v>80</v>
      </c>
    </row>
    <row r="1569" spans="1:12" x14ac:dyDescent="0.3">
      <c r="A1569" s="1" t="s">
        <v>598</v>
      </c>
      <c r="B1569" s="2">
        <v>45931</v>
      </c>
      <c r="C1569" s="2">
        <v>45961</v>
      </c>
      <c r="D1569" s="1" t="s">
        <v>28</v>
      </c>
      <c r="E1569" s="1" t="s">
        <v>14</v>
      </c>
      <c r="F1569" s="1" t="s">
        <v>15</v>
      </c>
      <c r="G1569" s="1" t="s">
        <v>16</v>
      </c>
      <c r="H1569" s="1" t="s">
        <v>54</v>
      </c>
      <c r="I1569" s="1" t="s">
        <v>26</v>
      </c>
      <c r="J1569">
        <v>30</v>
      </c>
      <c r="K1569">
        <v>30</v>
      </c>
      <c r="L1569" s="1" t="s">
        <v>21</v>
      </c>
    </row>
    <row r="1570" spans="1:12" x14ac:dyDescent="0.3">
      <c r="A1570" s="1" t="s">
        <v>671</v>
      </c>
      <c r="B1570" s="2">
        <v>45931</v>
      </c>
      <c r="C1570" s="2">
        <v>46002</v>
      </c>
      <c r="D1570" s="1" t="s">
        <v>23</v>
      </c>
      <c r="E1570" s="1" t="s">
        <v>24</v>
      </c>
      <c r="F1570" s="1" t="s">
        <v>15</v>
      </c>
      <c r="G1570" s="1" t="s">
        <v>16</v>
      </c>
      <c r="H1570" s="1" t="s">
        <v>43</v>
      </c>
      <c r="I1570" s="1" t="s">
        <v>18</v>
      </c>
      <c r="J1570">
        <v>30</v>
      </c>
      <c r="K1570">
        <v>71</v>
      </c>
      <c r="L1570" s="1" t="s">
        <v>80</v>
      </c>
    </row>
    <row r="1571" spans="1:12" x14ac:dyDescent="0.3">
      <c r="A1571" s="1" t="s">
        <v>709</v>
      </c>
      <c r="B1571" s="2">
        <v>45931</v>
      </c>
      <c r="C1571" s="2">
        <v>45968</v>
      </c>
      <c r="D1571" s="1" t="s">
        <v>28</v>
      </c>
      <c r="E1571" s="1" t="s">
        <v>14</v>
      </c>
      <c r="F1571" s="1" t="s">
        <v>15</v>
      </c>
      <c r="G1571" s="1" t="s">
        <v>16</v>
      </c>
      <c r="H1571" s="1" t="s">
        <v>54</v>
      </c>
      <c r="I1571" s="1" t="s">
        <v>26</v>
      </c>
      <c r="J1571">
        <v>15</v>
      </c>
      <c r="K1571">
        <v>37</v>
      </c>
      <c r="L1571" s="1" t="s">
        <v>21</v>
      </c>
    </row>
    <row r="1572" spans="1:12" x14ac:dyDescent="0.3">
      <c r="A1572" s="1" t="s">
        <v>1050</v>
      </c>
      <c r="B1572" s="2">
        <v>45931</v>
      </c>
      <c r="C1572" s="2">
        <v>45973</v>
      </c>
      <c r="D1572" s="1" t="s">
        <v>23</v>
      </c>
      <c r="E1572" s="1" t="s">
        <v>24</v>
      </c>
      <c r="F1572" s="1" t="s">
        <v>15</v>
      </c>
      <c r="G1572" s="1" t="s">
        <v>33</v>
      </c>
      <c r="H1572" s="1" t="s">
        <v>25</v>
      </c>
      <c r="I1572" s="1" t="s">
        <v>26</v>
      </c>
      <c r="J1572">
        <v>30</v>
      </c>
      <c r="K1572">
        <v>42</v>
      </c>
      <c r="L1572" s="1" t="s">
        <v>21</v>
      </c>
    </row>
    <row r="1573" spans="1:12" x14ac:dyDescent="0.3">
      <c r="A1573" s="1" t="s">
        <v>1133</v>
      </c>
      <c r="B1573" s="2">
        <v>45931</v>
      </c>
      <c r="C1573" s="2">
        <v>45946</v>
      </c>
      <c r="D1573" s="1" t="s">
        <v>32</v>
      </c>
      <c r="E1573" s="1" t="s">
        <v>24</v>
      </c>
      <c r="F1573" s="1" t="s">
        <v>15</v>
      </c>
      <c r="G1573" s="1" t="s">
        <v>16</v>
      </c>
      <c r="H1573" s="1" t="s">
        <v>71</v>
      </c>
      <c r="I1573" s="1" t="s">
        <v>41</v>
      </c>
      <c r="J1573">
        <v>30</v>
      </c>
      <c r="K1573">
        <v>15</v>
      </c>
      <c r="L1573" s="1" t="s">
        <v>19</v>
      </c>
    </row>
    <row r="1574" spans="1:12" x14ac:dyDescent="0.3">
      <c r="A1574" s="1" t="s">
        <v>1194</v>
      </c>
      <c r="B1574" s="2">
        <v>45931</v>
      </c>
      <c r="C1574" s="2">
        <v>45978</v>
      </c>
      <c r="D1574" s="1" t="s">
        <v>23</v>
      </c>
      <c r="E1574" s="1" t="s">
        <v>24</v>
      </c>
      <c r="F1574" s="1" t="s">
        <v>15</v>
      </c>
      <c r="G1574" s="1" t="s">
        <v>16</v>
      </c>
      <c r="H1574" s="1" t="s">
        <v>25</v>
      </c>
      <c r="I1574" s="1" t="s">
        <v>26</v>
      </c>
      <c r="J1574">
        <v>30</v>
      </c>
      <c r="K1574">
        <v>47</v>
      </c>
      <c r="L1574" s="1" t="s">
        <v>44</v>
      </c>
    </row>
    <row r="1575" spans="1:12" x14ac:dyDescent="0.3">
      <c r="A1575" s="1" t="s">
        <v>1421</v>
      </c>
      <c r="B1575" s="2">
        <v>45931</v>
      </c>
      <c r="C1575" s="2">
        <v>45958</v>
      </c>
      <c r="D1575" s="1" t="s">
        <v>32</v>
      </c>
      <c r="E1575" s="1" t="s">
        <v>24</v>
      </c>
      <c r="F1575" s="1" t="s">
        <v>15</v>
      </c>
      <c r="G1575" s="1" t="s">
        <v>16</v>
      </c>
      <c r="H1575" s="1" t="s">
        <v>34</v>
      </c>
      <c r="I1575" s="1" t="s">
        <v>18</v>
      </c>
      <c r="J1575">
        <v>30</v>
      </c>
      <c r="K1575">
        <v>27</v>
      </c>
      <c r="L1575" s="1" t="s">
        <v>19</v>
      </c>
    </row>
    <row r="1576" spans="1:12" x14ac:dyDescent="0.3">
      <c r="A1576" s="1" t="s">
        <v>200</v>
      </c>
      <c r="B1576" s="2">
        <v>45931</v>
      </c>
      <c r="C1576" s="2">
        <v>45976</v>
      </c>
      <c r="D1576" s="1" t="s">
        <v>37</v>
      </c>
      <c r="E1576" s="1" t="s">
        <v>14</v>
      </c>
      <c r="F1576" s="1" t="s">
        <v>15</v>
      </c>
      <c r="G1576" s="1" t="s">
        <v>16</v>
      </c>
      <c r="H1576" s="1" t="s">
        <v>39</v>
      </c>
      <c r="I1576" s="1" t="s">
        <v>18</v>
      </c>
      <c r="J1576">
        <v>15</v>
      </c>
      <c r="K1576">
        <v>45</v>
      </c>
      <c r="L1576" s="1" t="s">
        <v>44</v>
      </c>
    </row>
    <row r="1577" spans="1:12" x14ac:dyDescent="0.3">
      <c r="A1577" s="1" t="s">
        <v>1779</v>
      </c>
      <c r="B1577" s="2">
        <v>45931</v>
      </c>
      <c r="C1577" s="2">
        <v>45973</v>
      </c>
      <c r="D1577" s="1" t="s">
        <v>37</v>
      </c>
      <c r="E1577" s="1" t="s">
        <v>14</v>
      </c>
      <c r="F1577" s="1" t="s">
        <v>15</v>
      </c>
      <c r="G1577" s="1" t="s">
        <v>16</v>
      </c>
      <c r="H1577" s="1" t="s">
        <v>49</v>
      </c>
      <c r="I1577" s="1" t="s">
        <v>41</v>
      </c>
      <c r="J1577">
        <v>30</v>
      </c>
      <c r="K1577">
        <v>42</v>
      </c>
      <c r="L1577" s="1" t="s">
        <v>21</v>
      </c>
    </row>
    <row r="1578" spans="1:12" x14ac:dyDescent="0.3">
      <c r="A1578" s="1" t="s">
        <v>918</v>
      </c>
      <c r="B1578" s="2">
        <v>45931</v>
      </c>
      <c r="C1578" s="2">
        <v>45948</v>
      </c>
      <c r="D1578" s="1" t="s">
        <v>37</v>
      </c>
      <c r="E1578" s="1" t="s">
        <v>14</v>
      </c>
      <c r="F1578" s="1" t="s">
        <v>15</v>
      </c>
      <c r="G1578" s="1" t="s">
        <v>16</v>
      </c>
      <c r="H1578" s="1" t="s">
        <v>39</v>
      </c>
      <c r="I1578" s="1" t="s">
        <v>41</v>
      </c>
      <c r="J1578">
        <v>15</v>
      </c>
      <c r="K1578">
        <v>17</v>
      </c>
      <c r="L1578" s="1" t="s">
        <v>19</v>
      </c>
    </row>
    <row r="1579" spans="1:12" x14ac:dyDescent="0.3">
      <c r="A1579" s="1" t="s">
        <v>1809</v>
      </c>
      <c r="B1579" s="2">
        <v>45931</v>
      </c>
      <c r="C1579" s="2">
        <v>45976</v>
      </c>
      <c r="D1579" s="1" t="s">
        <v>32</v>
      </c>
      <c r="E1579" s="1" t="s">
        <v>24</v>
      </c>
      <c r="F1579" s="1" t="s">
        <v>38</v>
      </c>
      <c r="G1579" s="1" t="s">
        <v>16</v>
      </c>
      <c r="H1579" s="1" t="s">
        <v>71</v>
      </c>
      <c r="I1579" s="1" t="s">
        <v>18</v>
      </c>
      <c r="J1579">
        <v>30</v>
      </c>
      <c r="K1579">
        <v>45</v>
      </c>
      <c r="L1579" s="1" t="s">
        <v>44</v>
      </c>
    </row>
    <row r="1580" spans="1:12" x14ac:dyDescent="0.3">
      <c r="A1580" s="1" t="s">
        <v>2392</v>
      </c>
      <c r="B1580" s="2">
        <v>45931</v>
      </c>
      <c r="C1580" s="2">
        <v>45939</v>
      </c>
      <c r="D1580" s="1" t="s">
        <v>13</v>
      </c>
      <c r="E1580" s="1" t="s">
        <v>14</v>
      </c>
      <c r="F1580" s="1" t="s">
        <v>15</v>
      </c>
      <c r="G1580" s="1" t="s">
        <v>16</v>
      </c>
      <c r="H1580" s="1" t="s">
        <v>17</v>
      </c>
      <c r="I1580" s="1" t="s">
        <v>41</v>
      </c>
      <c r="J1580">
        <v>15</v>
      </c>
      <c r="K1580">
        <v>8</v>
      </c>
      <c r="L1580" s="1" t="s">
        <v>30</v>
      </c>
    </row>
    <row r="1581" spans="1:12" x14ac:dyDescent="0.3">
      <c r="A1581" s="1" t="s">
        <v>2727</v>
      </c>
      <c r="B1581" s="2">
        <v>45931</v>
      </c>
      <c r="C1581" s="2">
        <v>45969</v>
      </c>
      <c r="D1581" s="1" t="s">
        <v>23</v>
      </c>
      <c r="E1581" s="1" t="s">
        <v>24</v>
      </c>
      <c r="F1581" s="1" t="s">
        <v>38</v>
      </c>
      <c r="G1581" s="1" t="s">
        <v>16</v>
      </c>
      <c r="H1581" s="1" t="s">
        <v>25</v>
      </c>
      <c r="I1581" s="1" t="s">
        <v>26</v>
      </c>
      <c r="J1581">
        <v>45</v>
      </c>
      <c r="K1581">
        <v>38</v>
      </c>
      <c r="L1581" s="1" t="s">
        <v>21</v>
      </c>
    </row>
    <row r="1582" spans="1:12" x14ac:dyDescent="0.3">
      <c r="A1582" s="1" t="s">
        <v>3171</v>
      </c>
      <c r="B1582" s="2">
        <v>45931</v>
      </c>
      <c r="C1582" s="2">
        <v>45962</v>
      </c>
      <c r="D1582" s="1" t="s">
        <v>28</v>
      </c>
      <c r="E1582" s="1" t="s">
        <v>14</v>
      </c>
      <c r="F1582" s="1" t="s">
        <v>15</v>
      </c>
      <c r="G1582" s="1" t="s">
        <v>33</v>
      </c>
      <c r="H1582" s="1" t="s">
        <v>54</v>
      </c>
      <c r="I1582" s="1" t="s">
        <v>18</v>
      </c>
      <c r="J1582">
        <v>15</v>
      </c>
      <c r="K1582">
        <v>31</v>
      </c>
      <c r="L1582" s="1" t="s">
        <v>21</v>
      </c>
    </row>
    <row r="1583" spans="1:12" x14ac:dyDescent="0.3">
      <c r="A1583" s="1" t="s">
        <v>221</v>
      </c>
      <c r="B1583" s="2">
        <v>45930</v>
      </c>
      <c r="C1583" s="2">
        <v>45967</v>
      </c>
      <c r="D1583" s="1" t="s">
        <v>28</v>
      </c>
      <c r="E1583" s="1" t="s">
        <v>24</v>
      </c>
      <c r="F1583" s="1" t="s">
        <v>15</v>
      </c>
      <c r="G1583" s="1" t="s">
        <v>16</v>
      </c>
      <c r="H1583" s="1" t="s">
        <v>29</v>
      </c>
      <c r="I1583" s="1" t="s">
        <v>41</v>
      </c>
      <c r="J1583">
        <v>30</v>
      </c>
      <c r="K1583">
        <v>37</v>
      </c>
      <c r="L1583" s="1" t="s">
        <v>21</v>
      </c>
    </row>
    <row r="1584" spans="1:12" x14ac:dyDescent="0.3">
      <c r="A1584" s="1" t="s">
        <v>448</v>
      </c>
      <c r="B1584" s="2">
        <v>45930</v>
      </c>
      <c r="C1584" s="2">
        <v>45973</v>
      </c>
      <c r="D1584" s="1" t="s">
        <v>13</v>
      </c>
      <c r="E1584" s="1" t="s">
        <v>14</v>
      </c>
      <c r="F1584" s="1" t="s">
        <v>38</v>
      </c>
      <c r="G1584" s="1" t="s">
        <v>16</v>
      </c>
      <c r="H1584" s="1" t="s">
        <v>47</v>
      </c>
      <c r="I1584" s="1" t="s">
        <v>26</v>
      </c>
      <c r="J1584">
        <v>15</v>
      </c>
      <c r="K1584">
        <v>43</v>
      </c>
      <c r="L1584" s="1" t="s">
        <v>44</v>
      </c>
    </row>
    <row r="1585" spans="1:12" x14ac:dyDescent="0.3">
      <c r="A1585" s="1" t="s">
        <v>60</v>
      </c>
      <c r="B1585" s="2">
        <v>45930</v>
      </c>
      <c r="C1585" s="2">
        <v>45986</v>
      </c>
      <c r="D1585" s="1" t="s">
        <v>37</v>
      </c>
      <c r="E1585" s="1" t="s">
        <v>14</v>
      </c>
      <c r="F1585" s="1" t="s">
        <v>15</v>
      </c>
      <c r="G1585" s="1" t="s">
        <v>16</v>
      </c>
      <c r="H1585" s="1" t="s">
        <v>39</v>
      </c>
      <c r="I1585" s="1" t="s">
        <v>26</v>
      </c>
      <c r="J1585">
        <v>30</v>
      </c>
      <c r="K1585">
        <v>56</v>
      </c>
      <c r="L1585" s="1" t="s">
        <v>44</v>
      </c>
    </row>
    <row r="1586" spans="1:12" x14ac:dyDescent="0.3">
      <c r="A1586" s="1" t="s">
        <v>1095</v>
      </c>
      <c r="B1586" s="2">
        <v>45930</v>
      </c>
      <c r="C1586" s="2">
        <v>45954</v>
      </c>
      <c r="D1586" s="1" t="s">
        <v>37</v>
      </c>
      <c r="E1586" s="1" t="s">
        <v>24</v>
      </c>
      <c r="F1586" s="1" t="s">
        <v>15</v>
      </c>
      <c r="G1586" s="1" t="s">
        <v>53</v>
      </c>
      <c r="H1586" s="1" t="s">
        <v>49</v>
      </c>
      <c r="I1586" s="1" t="s">
        <v>26</v>
      </c>
      <c r="J1586">
        <v>30</v>
      </c>
      <c r="K1586">
        <v>24</v>
      </c>
      <c r="L1586" s="1" t="s">
        <v>19</v>
      </c>
    </row>
    <row r="1587" spans="1:12" x14ac:dyDescent="0.3">
      <c r="A1587" s="1" t="s">
        <v>2296</v>
      </c>
      <c r="B1587" s="2">
        <v>45930</v>
      </c>
      <c r="C1587" s="2">
        <v>45960</v>
      </c>
      <c r="D1587" s="1" t="s">
        <v>32</v>
      </c>
      <c r="E1587" s="1" t="s">
        <v>14</v>
      </c>
      <c r="F1587" s="1" t="s">
        <v>15</v>
      </c>
      <c r="G1587" s="1" t="s">
        <v>16</v>
      </c>
      <c r="H1587" s="1" t="s">
        <v>34</v>
      </c>
      <c r="I1587" s="1" t="s">
        <v>26</v>
      </c>
      <c r="J1587">
        <v>15</v>
      </c>
      <c r="K1587">
        <v>30</v>
      </c>
      <c r="L1587" s="1" t="s">
        <v>21</v>
      </c>
    </row>
    <row r="1588" spans="1:12" x14ac:dyDescent="0.3">
      <c r="A1588" s="1" t="s">
        <v>2639</v>
      </c>
      <c r="B1588" s="2">
        <v>45930</v>
      </c>
      <c r="C1588" s="2">
        <v>45971</v>
      </c>
      <c r="D1588" s="1" t="s">
        <v>13</v>
      </c>
      <c r="E1588" s="1" t="s">
        <v>14</v>
      </c>
      <c r="F1588" s="1" t="s">
        <v>15</v>
      </c>
      <c r="G1588" s="1" t="s">
        <v>16</v>
      </c>
      <c r="H1588" s="1" t="s">
        <v>17</v>
      </c>
      <c r="I1588" s="1" t="s">
        <v>26</v>
      </c>
      <c r="J1588">
        <v>15</v>
      </c>
      <c r="K1588">
        <v>41</v>
      </c>
      <c r="L1588" s="1" t="s">
        <v>21</v>
      </c>
    </row>
    <row r="1589" spans="1:12" x14ac:dyDescent="0.3">
      <c r="A1589" s="1" t="s">
        <v>224</v>
      </c>
      <c r="B1589" s="2">
        <v>45929</v>
      </c>
      <c r="C1589" s="2">
        <v>45973</v>
      </c>
      <c r="D1589" s="1" t="s">
        <v>23</v>
      </c>
      <c r="E1589" s="1" t="s">
        <v>24</v>
      </c>
      <c r="F1589" s="1" t="s">
        <v>15</v>
      </c>
      <c r="G1589" s="1" t="s">
        <v>16</v>
      </c>
      <c r="H1589" s="1" t="s">
        <v>43</v>
      </c>
      <c r="I1589" s="1" t="s">
        <v>26</v>
      </c>
      <c r="J1589">
        <v>30</v>
      </c>
      <c r="K1589">
        <v>44</v>
      </c>
      <c r="L1589" s="1" t="s">
        <v>44</v>
      </c>
    </row>
    <row r="1590" spans="1:12" x14ac:dyDescent="0.3">
      <c r="A1590" s="1" t="s">
        <v>1204</v>
      </c>
      <c r="B1590" s="2">
        <v>45929</v>
      </c>
      <c r="C1590" s="2">
        <v>45987</v>
      </c>
      <c r="D1590" s="1" t="s">
        <v>28</v>
      </c>
      <c r="E1590" s="1" t="s">
        <v>14</v>
      </c>
      <c r="F1590" s="1" t="s">
        <v>15</v>
      </c>
      <c r="G1590" s="1" t="s">
        <v>16</v>
      </c>
      <c r="H1590" s="1" t="s">
        <v>54</v>
      </c>
      <c r="I1590" s="1" t="s">
        <v>26</v>
      </c>
      <c r="J1590">
        <v>15</v>
      </c>
      <c r="K1590">
        <v>58</v>
      </c>
      <c r="L1590" s="1" t="s">
        <v>80</v>
      </c>
    </row>
    <row r="1591" spans="1:12" x14ac:dyDescent="0.3">
      <c r="A1591" s="1" t="s">
        <v>3158</v>
      </c>
      <c r="B1591" s="2">
        <v>45929</v>
      </c>
      <c r="C1591" s="2">
        <v>45987</v>
      </c>
      <c r="D1591" s="1" t="s">
        <v>37</v>
      </c>
      <c r="E1591" s="1" t="s">
        <v>14</v>
      </c>
      <c r="F1591" s="1" t="s">
        <v>38</v>
      </c>
      <c r="G1591" s="1" t="s">
        <v>16</v>
      </c>
      <c r="H1591" s="1" t="s">
        <v>39</v>
      </c>
      <c r="I1591" s="1" t="s">
        <v>26</v>
      </c>
      <c r="J1591">
        <v>30</v>
      </c>
      <c r="K1591">
        <v>58</v>
      </c>
      <c r="L1591" s="1" t="s">
        <v>80</v>
      </c>
    </row>
    <row r="1592" spans="1:12" x14ac:dyDescent="0.3">
      <c r="A1592" s="1" t="s">
        <v>2580</v>
      </c>
      <c r="B1592" s="2">
        <v>45929</v>
      </c>
      <c r="C1592" s="2">
        <v>45978</v>
      </c>
      <c r="D1592" s="1" t="s">
        <v>37</v>
      </c>
      <c r="E1592" s="1" t="s">
        <v>24</v>
      </c>
      <c r="F1592" s="1" t="s">
        <v>38</v>
      </c>
      <c r="G1592" s="1" t="s">
        <v>16</v>
      </c>
      <c r="H1592" s="1" t="s">
        <v>49</v>
      </c>
      <c r="I1592" s="1" t="s">
        <v>41</v>
      </c>
      <c r="J1592">
        <v>30</v>
      </c>
      <c r="K1592">
        <v>49</v>
      </c>
      <c r="L1592" s="1" t="s">
        <v>44</v>
      </c>
    </row>
    <row r="1593" spans="1:12" x14ac:dyDescent="0.3">
      <c r="A1593" s="1" t="s">
        <v>495</v>
      </c>
      <c r="B1593" s="2">
        <v>45929</v>
      </c>
      <c r="C1593" s="2">
        <v>45975</v>
      </c>
      <c r="D1593" s="1" t="s">
        <v>37</v>
      </c>
      <c r="E1593" s="1" t="s">
        <v>14</v>
      </c>
      <c r="F1593" s="1" t="s">
        <v>38</v>
      </c>
      <c r="G1593" s="1" t="s">
        <v>16</v>
      </c>
      <c r="H1593" s="1" t="s">
        <v>49</v>
      </c>
      <c r="I1593" s="1" t="s">
        <v>18</v>
      </c>
      <c r="J1593">
        <v>15</v>
      </c>
      <c r="K1593">
        <v>46</v>
      </c>
      <c r="L1593" s="1" t="s">
        <v>44</v>
      </c>
    </row>
    <row r="1594" spans="1:12" x14ac:dyDescent="0.3">
      <c r="A1594" s="1" t="s">
        <v>96</v>
      </c>
      <c r="B1594" s="2">
        <v>45929</v>
      </c>
      <c r="C1594" s="2">
        <v>45951</v>
      </c>
      <c r="D1594" s="1" t="s">
        <v>37</v>
      </c>
      <c r="E1594" s="1" t="s">
        <v>14</v>
      </c>
      <c r="F1594" s="1" t="s">
        <v>15</v>
      </c>
      <c r="G1594" s="1" t="s">
        <v>16</v>
      </c>
      <c r="H1594" s="1" t="s">
        <v>49</v>
      </c>
      <c r="I1594" s="1" t="s">
        <v>18</v>
      </c>
      <c r="J1594">
        <v>15</v>
      </c>
      <c r="K1594">
        <v>22</v>
      </c>
      <c r="L1594" s="1" t="s">
        <v>19</v>
      </c>
    </row>
    <row r="1595" spans="1:12" x14ac:dyDescent="0.3">
      <c r="A1595" s="1" t="s">
        <v>447</v>
      </c>
      <c r="B1595" s="2">
        <v>45929</v>
      </c>
      <c r="C1595" s="2">
        <v>45950</v>
      </c>
      <c r="D1595" s="1" t="s">
        <v>37</v>
      </c>
      <c r="E1595" s="1" t="s">
        <v>14</v>
      </c>
      <c r="F1595" s="1" t="s">
        <v>38</v>
      </c>
      <c r="G1595" s="1" t="s">
        <v>16</v>
      </c>
      <c r="H1595" s="1" t="s">
        <v>49</v>
      </c>
      <c r="I1595" s="1" t="s">
        <v>18</v>
      </c>
      <c r="J1595">
        <v>15</v>
      </c>
      <c r="K1595">
        <v>21</v>
      </c>
      <c r="L1595" s="1" t="s">
        <v>19</v>
      </c>
    </row>
    <row r="1596" spans="1:12" x14ac:dyDescent="0.3">
      <c r="A1596" s="1" t="s">
        <v>2990</v>
      </c>
      <c r="B1596" s="2">
        <v>45929</v>
      </c>
      <c r="C1596" s="2">
        <v>45945</v>
      </c>
      <c r="D1596" s="1" t="s">
        <v>23</v>
      </c>
      <c r="E1596" s="1" t="s">
        <v>14</v>
      </c>
      <c r="F1596" s="1" t="s">
        <v>38</v>
      </c>
      <c r="G1596" s="1" t="s">
        <v>53</v>
      </c>
      <c r="H1596" s="1" t="s">
        <v>43</v>
      </c>
      <c r="I1596" s="1" t="s">
        <v>26</v>
      </c>
      <c r="J1596">
        <v>15</v>
      </c>
      <c r="K1596">
        <v>16</v>
      </c>
      <c r="L1596" s="1" t="s">
        <v>19</v>
      </c>
    </row>
    <row r="1597" spans="1:12" x14ac:dyDescent="0.3">
      <c r="A1597" s="1" t="s">
        <v>226</v>
      </c>
      <c r="B1597" s="2">
        <v>45928</v>
      </c>
      <c r="C1597" s="2">
        <v>45975</v>
      </c>
      <c r="D1597" s="1" t="s">
        <v>13</v>
      </c>
      <c r="E1597" s="1" t="s">
        <v>14</v>
      </c>
      <c r="F1597" s="1" t="s">
        <v>15</v>
      </c>
      <c r="G1597" s="1" t="s">
        <v>33</v>
      </c>
      <c r="H1597" s="1" t="s">
        <v>17</v>
      </c>
      <c r="I1597" s="1" t="s">
        <v>26</v>
      </c>
      <c r="J1597">
        <v>15</v>
      </c>
      <c r="K1597">
        <v>47</v>
      </c>
      <c r="L1597" s="1" t="s">
        <v>44</v>
      </c>
    </row>
    <row r="1598" spans="1:12" x14ac:dyDescent="0.3">
      <c r="A1598" s="1" t="s">
        <v>244</v>
      </c>
      <c r="B1598" s="2">
        <v>45928</v>
      </c>
      <c r="C1598" s="2">
        <v>45951</v>
      </c>
      <c r="D1598" s="1" t="s">
        <v>23</v>
      </c>
      <c r="E1598" s="1" t="s">
        <v>14</v>
      </c>
      <c r="F1598" s="1" t="s">
        <v>15</v>
      </c>
      <c r="G1598" s="1" t="s">
        <v>33</v>
      </c>
      <c r="H1598" s="1" t="s">
        <v>25</v>
      </c>
      <c r="I1598" s="1" t="s">
        <v>41</v>
      </c>
      <c r="J1598">
        <v>30</v>
      </c>
      <c r="K1598">
        <v>23</v>
      </c>
      <c r="L1598" s="1" t="s">
        <v>19</v>
      </c>
    </row>
    <row r="1599" spans="1:12" x14ac:dyDescent="0.3">
      <c r="A1599" s="1" t="s">
        <v>1398</v>
      </c>
      <c r="B1599" s="2">
        <v>45928</v>
      </c>
      <c r="C1599" s="2">
        <v>45998</v>
      </c>
      <c r="D1599" s="1" t="s">
        <v>13</v>
      </c>
      <c r="E1599" s="1" t="s">
        <v>14</v>
      </c>
      <c r="F1599" s="1" t="s">
        <v>15</v>
      </c>
      <c r="G1599" s="1" t="s">
        <v>16</v>
      </c>
      <c r="H1599" s="1" t="s">
        <v>47</v>
      </c>
      <c r="I1599" s="1" t="s">
        <v>41</v>
      </c>
      <c r="J1599">
        <v>30</v>
      </c>
      <c r="K1599">
        <v>70</v>
      </c>
      <c r="L1599" s="1" t="s">
        <v>80</v>
      </c>
    </row>
    <row r="1600" spans="1:12" x14ac:dyDescent="0.3">
      <c r="A1600" s="1" t="s">
        <v>1395</v>
      </c>
      <c r="B1600" s="2">
        <v>45928</v>
      </c>
      <c r="C1600" s="2">
        <v>45962</v>
      </c>
      <c r="D1600" s="1" t="s">
        <v>37</v>
      </c>
      <c r="E1600" s="1" t="s">
        <v>14</v>
      </c>
      <c r="F1600" s="1" t="s">
        <v>15</v>
      </c>
      <c r="G1600" s="1" t="s">
        <v>33</v>
      </c>
      <c r="H1600" s="1" t="s">
        <v>49</v>
      </c>
      <c r="I1600" s="1" t="s">
        <v>26</v>
      </c>
      <c r="J1600">
        <v>30</v>
      </c>
      <c r="K1600">
        <v>34</v>
      </c>
      <c r="L1600" s="1" t="s">
        <v>21</v>
      </c>
    </row>
    <row r="1601" spans="1:12" x14ac:dyDescent="0.3">
      <c r="A1601" s="1" t="s">
        <v>1561</v>
      </c>
      <c r="B1601" s="2">
        <v>45928</v>
      </c>
      <c r="C1601" s="2">
        <v>45940</v>
      </c>
      <c r="D1601" s="1" t="s">
        <v>37</v>
      </c>
      <c r="E1601" s="1" t="s">
        <v>24</v>
      </c>
      <c r="F1601" s="1" t="s">
        <v>38</v>
      </c>
      <c r="G1601" s="1" t="s">
        <v>53</v>
      </c>
      <c r="H1601" s="1" t="s">
        <v>49</v>
      </c>
      <c r="I1601" s="1" t="s">
        <v>18</v>
      </c>
      <c r="J1601">
        <v>30</v>
      </c>
      <c r="K1601">
        <v>12</v>
      </c>
      <c r="L1601" s="1" t="s">
        <v>30</v>
      </c>
    </row>
    <row r="1602" spans="1:12" x14ac:dyDescent="0.3">
      <c r="A1602" s="1" t="s">
        <v>1856</v>
      </c>
      <c r="B1602" s="2">
        <v>45928</v>
      </c>
      <c r="C1602" s="2">
        <v>45952</v>
      </c>
      <c r="D1602" s="1" t="s">
        <v>23</v>
      </c>
      <c r="E1602" s="1" t="s">
        <v>14</v>
      </c>
      <c r="F1602" s="1" t="s">
        <v>15</v>
      </c>
      <c r="G1602" s="1" t="s">
        <v>16</v>
      </c>
      <c r="H1602" s="1" t="s">
        <v>25</v>
      </c>
      <c r="I1602" s="1" t="s">
        <v>41</v>
      </c>
      <c r="J1602">
        <v>15</v>
      </c>
      <c r="K1602">
        <v>24</v>
      </c>
      <c r="L1602" s="1" t="s">
        <v>19</v>
      </c>
    </row>
    <row r="1603" spans="1:12" x14ac:dyDescent="0.3">
      <c r="A1603" s="1" t="s">
        <v>2053</v>
      </c>
      <c r="B1603" s="2">
        <v>45928</v>
      </c>
      <c r="C1603" s="2">
        <v>45976</v>
      </c>
      <c r="D1603" s="1" t="s">
        <v>32</v>
      </c>
      <c r="E1603" s="1" t="s">
        <v>24</v>
      </c>
      <c r="F1603" s="1" t="s">
        <v>15</v>
      </c>
      <c r="G1603" s="1" t="s">
        <v>16</v>
      </c>
      <c r="H1603" s="1" t="s">
        <v>34</v>
      </c>
      <c r="I1603" s="1" t="s">
        <v>26</v>
      </c>
      <c r="J1603">
        <v>45</v>
      </c>
      <c r="K1603">
        <v>48</v>
      </c>
      <c r="L1603" s="1" t="s">
        <v>44</v>
      </c>
    </row>
    <row r="1604" spans="1:12" x14ac:dyDescent="0.3">
      <c r="A1604" s="1" t="s">
        <v>2684</v>
      </c>
      <c r="B1604" s="2">
        <v>45928</v>
      </c>
      <c r="C1604" s="2">
        <v>45930</v>
      </c>
      <c r="D1604" s="1" t="s">
        <v>23</v>
      </c>
      <c r="E1604" s="1" t="s">
        <v>14</v>
      </c>
      <c r="F1604" s="1" t="s">
        <v>38</v>
      </c>
      <c r="G1604" s="1" t="s">
        <v>16</v>
      </c>
      <c r="H1604" s="1" t="s">
        <v>43</v>
      </c>
      <c r="I1604" s="1" t="s">
        <v>41</v>
      </c>
      <c r="J1604">
        <v>15</v>
      </c>
      <c r="K1604">
        <v>2</v>
      </c>
      <c r="L1604" s="1" t="s">
        <v>30</v>
      </c>
    </row>
    <row r="1605" spans="1:12" x14ac:dyDescent="0.3">
      <c r="A1605" s="1" t="s">
        <v>2706</v>
      </c>
      <c r="B1605" s="2">
        <v>45928</v>
      </c>
      <c r="C1605" s="2">
        <v>45941</v>
      </c>
      <c r="D1605" s="1" t="s">
        <v>13</v>
      </c>
      <c r="E1605" s="1" t="s">
        <v>14</v>
      </c>
      <c r="F1605" s="1" t="s">
        <v>15</v>
      </c>
      <c r="G1605" s="1" t="s">
        <v>16</v>
      </c>
      <c r="H1605" s="1" t="s">
        <v>17</v>
      </c>
      <c r="I1605" s="1" t="s">
        <v>18</v>
      </c>
      <c r="J1605">
        <v>30</v>
      </c>
      <c r="K1605">
        <v>13</v>
      </c>
      <c r="L1605" s="1" t="s">
        <v>30</v>
      </c>
    </row>
    <row r="1606" spans="1:12" x14ac:dyDescent="0.3">
      <c r="A1606" s="1" t="s">
        <v>605</v>
      </c>
      <c r="B1606" s="2">
        <v>45927</v>
      </c>
      <c r="C1606" s="2">
        <v>45947</v>
      </c>
      <c r="D1606" s="1" t="s">
        <v>23</v>
      </c>
      <c r="E1606" s="1" t="s">
        <v>24</v>
      </c>
      <c r="F1606" s="1" t="s">
        <v>38</v>
      </c>
      <c r="G1606" s="1" t="s">
        <v>16</v>
      </c>
      <c r="H1606" s="1" t="s">
        <v>25</v>
      </c>
      <c r="I1606" s="1" t="s">
        <v>26</v>
      </c>
      <c r="J1606">
        <v>30</v>
      </c>
      <c r="K1606">
        <v>20</v>
      </c>
      <c r="L1606" s="1" t="s">
        <v>19</v>
      </c>
    </row>
    <row r="1607" spans="1:12" x14ac:dyDescent="0.3">
      <c r="A1607" s="1" t="s">
        <v>760</v>
      </c>
      <c r="B1607" s="2">
        <v>45927</v>
      </c>
      <c r="C1607" s="2">
        <v>45995</v>
      </c>
      <c r="D1607" s="1" t="s">
        <v>32</v>
      </c>
      <c r="E1607" s="1" t="s">
        <v>14</v>
      </c>
      <c r="F1607" s="1" t="s">
        <v>15</v>
      </c>
      <c r="G1607" s="1" t="s">
        <v>16</v>
      </c>
      <c r="H1607" s="1" t="s">
        <v>71</v>
      </c>
      <c r="I1607" s="1" t="s">
        <v>41</v>
      </c>
      <c r="J1607">
        <v>15</v>
      </c>
      <c r="K1607">
        <v>68</v>
      </c>
      <c r="L1607" s="1" t="s">
        <v>80</v>
      </c>
    </row>
    <row r="1608" spans="1:12" x14ac:dyDescent="0.3">
      <c r="A1608" s="1" t="s">
        <v>1591</v>
      </c>
      <c r="B1608" s="2">
        <v>45927</v>
      </c>
      <c r="C1608" s="2">
        <v>45938</v>
      </c>
      <c r="D1608" s="1" t="s">
        <v>23</v>
      </c>
      <c r="E1608" s="1" t="s">
        <v>24</v>
      </c>
      <c r="F1608" s="1" t="s">
        <v>38</v>
      </c>
      <c r="G1608" s="1" t="s">
        <v>33</v>
      </c>
      <c r="H1608" s="1" t="s">
        <v>25</v>
      </c>
      <c r="I1608" s="1" t="s">
        <v>41</v>
      </c>
      <c r="J1608">
        <v>30</v>
      </c>
      <c r="K1608">
        <v>11</v>
      </c>
      <c r="L1608" s="1" t="s">
        <v>30</v>
      </c>
    </row>
    <row r="1609" spans="1:12" x14ac:dyDescent="0.3">
      <c r="A1609" s="1" t="s">
        <v>1162</v>
      </c>
      <c r="B1609" s="2">
        <v>45927</v>
      </c>
      <c r="C1609" s="2">
        <v>45970</v>
      </c>
      <c r="D1609" s="1" t="s">
        <v>37</v>
      </c>
      <c r="E1609" s="1" t="s">
        <v>24</v>
      </c>
      <c r="F1609" s="1" t="s">
        <v>15</v>
      </c>
      <c r="G1609" s="1" t="s">
        <v>16</v>
      </c>
      <c r="H1609" s="1" t="s">
        <v>49</v>
      </c>
      <c r="I1609" s="1" t="s">
        <v>41</v>
      </c>
      <c r="J1609">
        <v>30</v>
      </c>
      <c r="K1609">
        <v>43</v>
      </c>
      <c r="L1609" s="1" t="s">
        <v>44</v>
      </c>
    </row>
    <row r="1610" spans="1:12" x14ac:dyDescent="0.3">
      <c r="A1610" s="1" t="s">
        <v>2582</v>
      </c>
      <c r="B1610" s="2">
        <v>45927</v>
      </c>
      <c r="C1610" s="2">
        <v>45958</v>
      </c>
      <c r="D1610" s="1" t="s">
        <v>37</v>
      </c>
      <c r="E1610" s="1" t="s">
        <v>14</v>
      </c>
      <c r="F1610" s="1" t="s">
        <v>38</v>
      </c>
      <c r="G1610" s="1" t="s">
        <v>16</v>
      </c>
      <c r="H1610" s="1" t="s">
        <v>39</v>
      </c>
      <c r="I1610" s="1" t="s">
        <v>41</v>
      </c>
      <c r="J1610">
        <v>15</v>
      </c>
      <c r="K1610">
        <v>31</v>
      </c>
      <c r="L1610" s="1" t="s">
        <v>21</v>
      </c>
    </row>
    <row r="1611" spans="1:12" x14ac:dyDescent="0.3">
      <c r="A1611" s="1" t="s">
        <v>1060</v>
      </c>
      <c r="B1611" s="2">
        <v>45927</v>
      </c>
      <c r="C1611" s="2">
        <v>45944</v>
      </c>
      <c r="D1611" s="1" t="s">
        <v>37</v>
      </c>
      <c r="E1611" s="1" t="s">
        <v>14</v>
      </c>
      <c r="F1611" s="1" t="s">
        <v>15</v>
      </c>
      <c r="G1611" s="1" t="s">
        <v>16</v>
      </c>
      <c r="H1611" s="1" t="s">
        <v>39</v>
      </c>
      <c r="I1611" s="1" t="s">
        <v>26</v>
      </c>
      <c r="J1611">
        <v>30</v>
      </c>
      <c r="K1611">
        <v>17</v>
      </c>
      <c r="L1611" s="1" t="s">
        <v>19</v>
      </c>
    </row>
    <row r="1612" spans="1:12" x14ac:dyDescent="0.3">
      <c r="A1612" s="1" t="s">
        <v>276</v>
      </c>
      <c r="B1612" s="2">
        <v>45927</v>
      </c>
      <c r="C1612" s="2">
        <v>45929</v>
      </c>
      <c r="D1612" s="1" t="s">
        <v>37</v>
      </c>
      <c r="E1612" s="1" t="s">
        <v>24</v>
      </c>
      <c r="F1612" s="1" t="s">
        <v>15</v>
      </c>
      <c r="G1612" s="1" t="s">
        <v>53</v>
      </c>
      <c r="H1612" s="1" t="s">
        <v>49</v>
      </c>
      <c r="I1612" s="1" t="s">
        <v>26</v>
      </c>
      <c r="J1612">
        <v>30</v>
      </c>
      <c r="K1612">
        <v>2</v>
      </c>
      <c r="L1612" s="1" t="s">
        <v>30</v>
      </c>
    </row>
    <row r="1613" spans="1:12" x14ac:dyDescent="0.3">
      <c r="A1613" s="1" t="s">
        <v>293</v>
      </c>
      <c r="B1613" s="2">
        <v>45927</v>
      </c>
      <c r="C1613" s="2">
        <v>45929</v>
      </c>
      <c r="D1613" s="1" t="s">
        <v>37</v>
      </c>
      <c r="E1613" s="1" t="s">
        <v>14</v>
      </c>
      <c r="F1613" s="1" t="s">
        <v>15</v>
      </c>
      <c r="G1613" s="1" t="s">
        <v>16</v>
      </c>
      <c r="H1613" s="1" t="s">
        <v>49</v>
      </c>
      <c r="I1613" s="1" t="s">
        <v>18</v>
      </c>
      <c r="J1613">
        <v>15</v>
      </c>
      <c r="K1613">
        <v>2</v>
      </c>
      <c r="L1613" s="1" t="s">
        <v>30</v>
      </c>
    </row>
    <row r="1614" spans="1:12" x14ac:dyDescent="0.3">
      <c r="A1614" s="1" t="s">
        <v>2781</v>
      </c>
      <c r="B1614" s="2">
        <v>45927</v>
      </c>
      <c r="C1614" s="2">
        <v>45992</v>
      </c>
      <c r="D1614" s="1" t="s">
        <v>13</v>
      </c>
      <c r="E1614" s="1" t="s">
        <v>14</v>
      </c>
      <c r="F1614" s="1" t="s">
        <v>15</v>
      </c>
      <c r="G1614" s="1" t="s">
        <v>16</v>
      </c>
      <c r="H1614" s="1" t="s">
        <v>47</v>
      </c>
      <c r="I1614" s="1" t="s">
        <v>26</v>
      </c>
      <c r="J1614">
        <v>15</v>
      </c>
      <c r="K1614">
        <v>65</v>
      </c>
      <c r="L1614" s="1" t="s">
        <v>80</v>
      </c>
    </row>
    <row r="1615" spans="1:12" x14ac:dyDescent="0.3">
      <c r="A1615" s="1" t="s">
        <v>3019</v>
      </c>
      <c r="B1615" s="2">
        <v>45927</v>
      </c>
      <c r="C1615" s="2">
        <v>45945</v>
      </c>
      <c r="D1615" s="1" t="s">
        <v>13</v>
      </c>
      <c r="E1615" s="1" t="s">
        <v>24</v>
      </c>
      <c r="F1615" s="1" t="s">
        <v>38</v>
      </c>
      <c r="G1615" s="1" t="s">
        <v>16</v>
      </c>
      <c r="H1615" s="1" t="s">
        <v>47</v>
      </c>
      <c r="I1615" s="1" t="s">
        <v>18</v>
      </c>
      <c r="J1615">
        <v>30</v>
      </c>
      <c r="K1615">
        <v>18</v>
      </c>
      <c r="L1615" s="1" t="s">
        <v>19</v>
      </c>
    </row>
    <row r="1616" spans="1:12" x14ac:dyDescent="0.3">
      <c r="A1616" s="1" t="s">
        <v>3182</v>
      </c>
      <c r="B1616" s="2">
        <v>45927</v>
      </c>
      <c r="C1616" s="2">
        <v>45962</v>
      </c>
      <c r="D1616" s="1" t="s">
        <v>32</v>
      </c>
      <c r="E1616" s="1" t="s">
        <v>24</v>
      </c>
      <c r="F1616" s="1" t="s">
        <v>15</v>
      </c>
      <c r="G1616" s="1" t="s">
        <v>16</v>
      </c>
      <c r="H1616" s="1" t="s">
        <v>71</v>
      </c>
      <c r="I1616" s="1" t="s">
        <v>26</v>
      </c>
      <c r="J1616">
        <v>45</v>
      </c>
      <c r="K1616">
        <v>35</v>
      </c>
      <c r="L1616" s="1" t="s">
        <v>21</v>
      </c>
    </row>
    <row r="1617" spans="1:12" x14ac:dyDescent="0.3">
      <c r="A1617" s="1" t="s">
        <v>3183</v>
      </c>
      <c r="B1617" s="2">
        <v>45927</v>
      </c>
      <c r="C1617" s="2">
        <v>45976</v>
      </c>
      <c r="D1617" s="1" t="s">
        <v>13</v>
      </c>
      <c r="E1617" s="1" t="s">
        <v>14</v>
      </c>
      <c r="F1617" s="1" t="s">
        <v>15</v>
      </c>
      <c r="G1617" s="1" t="s">
        <v>53</v>
      </c>
      <c r="H1617" s="1" t="s">
        <v>17</v>
      </c>
      <c r="I1617" s="1" t="s">
        <v>26</v>
      </c>
      <c r="J1617">
        <v>30</v>
      </c>
      <c r="K1617">
        <v>49</v>
      </c>
      <c r="L1617" s="1" t="s">
        <v>44</v>
      </c>
    </row>
    <row r="1618" spans="1:12" x14ac:dyDescent="0.3">
      <c r="A1618" s="1" t="s">
        <v>1286</v>
      </c>
      <c r="B1618" s="2">
        <v>45926</v>
      </c>
      <c r="C1618" s="2">
        <v>45943</v>
      </c>
      <c r="D1618" s="1" t="s">
        <v>13</v>
      </c>
      <c r="E1618" s="1" t="s">
        <v>24</v>
      </c>
      <c r="F1618" s="1" t="s">
        <v>15</v>
      </c>
      <c r="G1618" s="1" t="s">
        <v>16</v>
      </c>
      <c r="H1618" s="1" t="s">
        <v>47</v>
      </c>
      <c r="I1618" s="1" t="s">
        <v>26</v>
      </c>
      <c r="J1618">
        <v>45</v>
      </c>
      <c r="K1618">
        <v>17</v>
      </c>
      <c r="L1618" s="1" t="s">
        <v>19</v>
      </c>
    </row>
    <row r="1619" spans="1:12" x14ac:dyDescent="0.3">
      <c r="A1619" s="1" t="s">
        <v>1519</v>
      </c>
      <c r="B1619" s="2">
        <v>45926</v>
      </c>
      <c r="C1619" s="2">
        <v>45963</v>
      </c>
      <c r="D1619" s="1" t="s">
        <v>13</v>
      </c>
      <c r="E1619" s="1" t="s">
        <v>24</v>
      </c>
      <c r="F1619" s="1" t="s">
        <v>38</v>
      </c>
      <c r="G1619" s="1" t="s">
        <v>16</v>
      </c>
      <c r="H1619" s="1" t="s">
        <v>47</v>
      </c>
      <c r="I1619" s="1" t="s">
        <v>18</v>
      </c>
      <c r="J1619">
        <v>30</v>
      </c>
      <c r="K1619">
        <v>37</v>
      </c>
      <c r="L1619" s="1" t="s">
        <v>21</v>
      </c>
    </row>
    <row r="1620" spans="1:12" x14ac:dyDescent="0.3">
      <c r="A1620" s="1" t="s">
        <v>1534</v>
      </c>
      <c r="B1620" s="2">
        <v>45926</v>
      </c>
      <c r="C1620" s="2">
        <v>45944</v>
      </c>
      <c r="D1620" s="1" t="s">
        <v>32</v>
      </c>
      <c r="E1620" s="1" t="s">
        <v>14</v>
      </c>
      <c r="F1620" s="1" t="s">
        <v>15</v>
      </c>
      <c r="G1620" s="1" t="s">
        <v>16</v>
      </c>
      <c r="H1620" s="1" t="s">
        <v>34</v>
      </c>
      <c r="I1620" s="1" t="s">
        <v>41</v>
      </c>
      <c r="J1620">
        <v>15</v>
      </c>
      <c r="K1620">
        <v>18</v>
      </c>
      <c r="L1620" s="1" t="s">
        <v>19</v>
      </c>
    </row>
    <row r="1621" spans="1:12" x14ac:dyDescent="0.3">
      <c r="A1621" s="1" t="s">
        <v>693</v>
      </c>
      <c r="B1621" s="2">
        <v>45926</v>
      </c>
      <c r="C1621" s="2">
        <v>45975</v>
      </c>
      <c r="D1621" s="1" t="s">
        <v>37</v>
      </c>
      <c r="E1621" s="1" t="s">
        <v>24</v>
      </c>
      <c r="F1621" s="1" t="s">
        <v>15</v>
      </c>
      <c r="G1621" s="1" t="s">
        <v>16</v>
      </c>
      <c r="H1621" s="1" t="s">
        <v>49</v>
      </c>
      <c r="I1621" s="1" t="s">
        <v>18</v>
      </c>
      <c r="J1621">
        <v>30</v>
      </c>
      <c r="K1621">
        <v>49</v>
      </c>
      <c r="L1621" s="1" t="s">
        <v>44</v>
      </c>
    </row>
    <row r="1622" spans="1:12" x14ac:dyDescent="0.3">
      <c r="A1622" s="1" t="s">
        <v>1158</v>
      </c>
      <c r="B1622" s="2">
        <v>45926</v>
      </c>
      <c r="C1622" s="2">
        <v>45967</v>
      </c>
      <c r="D1622" s="1" t="s">
        <v>37</v>
      </c>
      <c r="E1622" s="1" t="s">
        <v>24</v>
      </c>
      <c r="F1622" s="1" t="s">
        <v>15</v>
      </c>
      <c r="G1622" s="1" t="s">
        <v>16</v>
      </c>
      <c r="H1622" s="1" t="s">
        <v>49</v>
      </c>
      <c r="I1622" s="1" t="s">
        <v>18</v>
      </c>
      <c r="J1622">
        <v>30</v>
      </c>
      <c r="K1622">
        <v>41</v>
      </c>
      <c r="L1622" s="1" t="s">
        <v>21</v>
      </c>
    </row>
    <row r="1623" spans="1:12" x14ac:dyDescent="0.3">
      <c r="A1623" s="1" t="s">
        <v>325</v>
      </c>
      <c r="B1623" s="2">
        <v>45926</v>
      </c>
      <c r="C1623" s="2">
        <v>45934</v>
      </c>
      <c r="D1623" s="1" t="s">
        <v>37</v>
      </c>
      <c r="E1623" s="1" t="s">
        <v>14</v>
      </c>
      <c r="F1623" s="1" t="s">
        <v>15</v>
      </c>
      <c r="G1623" s="1" t="s">
        <v>16</v>
      </c>
      <c r="H1623" s="1" t="s">
        <v>39</v>
      </c>
      <c r="I1623" s="1" t="s">
        <v>41</v>
      </c>
      <c r="J1623">
        <v>30</v>
      </c>
      <c r="K1623">
        <v>8</v>
      </c>
      <c r="L1623" s="1" t="s">
        <v>30</v>
      </c>
    </row>
    <row r="1624" spans="1:12" x14ac:dyDescent="0.3">
      <c r="A1624" s="1" t="s">
        <v>1960</v>
      </c>
      <c r="B1624" s="2">
        <v>45926</v>
      </c>
      <c r="C1624" s="2">
        <v>45956</v>
      </c>
      <c r="D1624" s="1" t="s">
        <v>28</v>
      </c>
      <c r="E1624" s="1" t="s">
        <v>14</v>
      </c>
      <c r="F1624" s="1" t="s">
        <v>15</v>
      </c>
      <c r="G1624" s="1" t="s">
        <v>16</v>
      </c>
      <c r="H1624" s="1" t="s">
        <v>29</v>
      </c>
      <c r="I1624" s="1" t="s">
        <v>26</v>
      </c>
      <c r="J1624">
        <v>15</v>
      </c>
      <c r="K1624">
        <v>30</v>
      </c>
      <c r="L1624" s="1" t="s">
        <v>21</v>
      </c>
    </row>
    <row r="1625" spans="1:12" x14ac:dyDescent="0.3">
      <c r="A1625" s="1" t="s">
        <v>2198</v>
      </c>
      <c r="B1625" s="2">
        <v>45926</v>
      </c>
      <c r="C1625" s="2">
        <v>45945</v>
      </c>
      <c r="D1625" s="1" t="s">
        <v>23</v>
      </c>
      <c r="E1625" s="1" t="s">
        <v>24</v>
      </c>
      <c r="F1625" s="1" t="s">
        <v>15</v>
      </c>
      <c r="G1625" s="1" t="s">
        <v>16</v>
      </c>
      <c r="H1625" s="1" t="s">
        <v>43</v>
      </c>
      <c r="I1625" s="1" t="s">
        <v>26</v>
      </c>
      <c r="J1625">
        <v>45</v>
      </c>
      <c r="K1625">
        <v>19</v>
      </c>
      <c r="L1625" s="1" t="s">
        <v>19</v>
      </c>
    </row>
    <row r="1626" spans="1:12" x14ac:dyDescent="0.3">
      <c r="A1626" s="1" t="s">
        <v>2340</v>
      </c>
      <c r="B1626" s="2">
        <v>45926</v>
      </c>
      <c r="C1626" s="2">
        <v>45961</v>
      </c>
      <c r="D1626" s="1" t="s">
        <v>23</v>
      </c>
      <c r="E1626" s="1" t="s">
        <v>14</v>
      </c>
      <c r="F1626" s="1" t="s">
        <v>38</v>
      </c>
      <c r="G1626" s="1" t="s">
        <v>53</v>
      </c>
      <c r="H1626" s="1" t="s">
        <v>43</v>
      </c>
      <c r="I1626" s="1" t="s">
        <v>26</v>
      </c>
      <c r="J1626">
        <v>15</v>
      </c>
      <c r="K1626">
        <v>35</v>
      </c>
      <c r="L1626" s="1" t="s">
        <v>21</v>
      </c>
    </row>
    <row r="1627" spans="1:12" x14ac:dyDescent="0.3">
      <c r="A1627" s="1" t="s">
        <v>3057</v>
      </c>
      <c r="B1627" s="2">
        <v>45926</v>
      </c>
      <c r="C1627" s="2">
        <v>45979</v>
      </c>
      <c r="D1627" s="1" t="s">
        <v>23</v>
      </c>
      <c r="E1627" s="1" t="s">
        <v>14</v>
      </c>
      <c r="F1627" s="1" t="s">
        <v>15</v>
      </c>
      <c r="G1627" s="1" t="s">
        <v>16</v>
      </c>
      <c r="H1627" s="1" t="s">
        <v>25</v>
      </c>
      <c r="I1627" s="1" t="s">
        <v>26</v>
      </c>
      <c r="J1627">
        <v>15</v>
      </c>
      <c r="K1627">
        <v>53</v>
      </c>
      <c r="L1627" s="1" t="s">
        <v>44</v>
      </c>
    </row>
    <row r="1628" spans="1:12" x14ac:dyDescent="0.3">
      <c r="A1628" s="1" t="s">
        <v>323</v>
      </c>
      <c r="B1628" s="2">
        <v>45925</v>
      </c>
      <c r="C1628" s="2">
        <v>45960</v>
      </c>
      <c r="D1628" s="1" t="s">
        <v>13</v>
      </c>
      <c r="E1628" s="1" t="s">
        <v>24</v>
      </c>
      <c r="F1628" s="1" t="s">
        <v>15</v>
      </c>
      <c r="G1628" s="1" t="s">
        <v>16</v>
      </c>
      <c r="H1628" s="1" t="s">
        <v>47</v>
      </c>
      <c r="I1628" s="1" t="s">
        <v>26</v>
      </c>
      <c r="J1628">
        <v>30</v>
      </c>
      <c r="K1628">
        <v>35</v>
      </c>
      <c r="L1628" s="1" t="s">
        <v>21</v>
      </c>
    </row>
    <row r="1629" spans="1:12" x14ac:dyDescent="0.3">
      <c r="A1629" s="1" t="s">
        <v>486</v>
      </c>
      <c r="B1629" s="2">
        <v>45925</v>
      </c>
      <c r="C1629" s="2">
        <v>45964</v>
      </c>
      <c r="D1629" s="1" t="s">
        <v>32</v>
      </c>
      <c r="E1629" s="1" t="s">
        <v>24</v>
      </c>
      <c r="F1629" s="1" t="s">
        <v>15</v>
      </c>
      <c r="G1629" s="1" t="s">
        <v>16</v>
      </c>
      <c r="H1629" s="1" t="s">
        <v>34</v>
      </c>
      <c r="I1629" s="1" t="s">
        <v>41</v>
      </c>
      <c r="J1629">
        <v>30</v>
      </c>
      <c r="K1629">
        <v>39</v>
      </c>
      <c r="L1629" s="1" t="s">
        <v>21</v>
      </c>
    </row>
    <row r="1630" spans="1:12" x14ac:dyDescent="0.3">
      <c r="A1630" s="1" t="s">
        <v>771</v>
      </c>
      <c r="B1630" s="2">
        <v>45925</v>
      </c>
      <c r="C1630" s="2">
        <v>45977</v>
      </c>
      <c r="D1630" s="1" t="s">
        <v>23</v>
      </c>
      <c r="E1630" s="1" t="s">
        <v>24</v>
      </c>
      <c r="F1630" s="1" t="s">
        <v>15</v>
      </c>
      <c r="G1630" s="1" t="s">
        <v>16</v>
      </c>
      <c r="H1630" s="1" t="s">
        <v>43</v>
      </c>
      <c r="I1630" s="1" t="s">
        <v>18</v>
      </c>
      <c r="J1630">
        <v>30</v>
      </c>
      <c r="K1630">
        <v>52</v>
      </c>
      <c r="L1630" s="1" t="s">
        <v>44</v>
      </c>
    </row>
    <row r="1631" spans="1:12" x14ac:dyDescent="0.3">
      <c r="A1631" s="1" t="s">
        <v>1073</v>
      </c>
      <c r="B1631" s="2">
        <v>45925</v>
      </c>
      <c r="C1631" s="2">
        <v>45945</v>
      </c>
      <c r="D1631" s="1" t="s">
        <v>13</v>
      </c>
      <c r="E1631" s="1" t="s">
        <v>14</v>
      </c>
      <c r="F1631" s="1" t="s">
        <v>15</v>
      </c>
      <c r="G1631" s="1" t="s">
        <v>16</v>
      </c>
      <c r="H1631" s="1" t="s">
        <v>47</v>
      </c>
      <c r="I1631" s="1" t="s">
        <v>41</v>
      </c>
      <c r="J1631">
        <v>30</v>
      </c>
      <c r="K1631">
        <v>20</v>
      </c>
      <c r="L1631" s="1" t="s">
        <v>19</v>
      </c>
    </row>
    <row r="1632" spans="1:12" x14ac:dyDescent="0.3">
      <c r="A1632" s="1" t="s">
        <v>3000</v>
      </c>
      <c r="B1632" s="2">
        <v>45925</v>
      </c>
      <c r="C1632" s="2">
        <v>45957</v>
      </c>
      <c r="D1632" s="1" t="s">
        <v>13</v>
      </c>
      <c r="E1632" s="1" t="s">
        <v>14</v>
      </c>
      <c r="F1632" s="1" t="s">
        <v>15</v>
      </c>
      <c r="G1632" s="1" t="s">
        <v>33</v>
      </c>
      <c r="H1632" s="1" t="s">
        <v>17</v>
      </c>
      <c r="I1632" s="1" t="s">
        <v>26</v>
      </c>
      <c r="J1632">
        <v>30</v>
      </c>
      <c r="K1632">
        <v>32</v>
      </c>
      <c r="L1632" s="1" t="s">
        <v>21</v>
      </c>
    </row>
    <row r="1633" spans="1:12" x14ac:dyDescent="0.3">
      <c r="A1633" s="1" t="s">
        <v>2458</v>
      </c>
      <c r="B1633" s="2">
        <v>45924</v>
      </c>
      <c r="C1633" s="2">
        <v>45964</v>
      </c>
      <c r="D1633" s="1" t="s">
        <v>23</v>
      </c>
      <c r="E1633" s="1" t="s">
        <v>14</v>
      </c>
      <c r="F1633" s="1" t="s">
        <v>15</v>
      </c>
      <c r="G1633" s="1" t="s">
        <v>16</v>
      </c>
      <c r="H1633" s="1" t="s">
        <v>43</v>
      </c>
      <c r="I1633" s="1" t="s">
        <v>41</v>
      </c>
      <c r="J1633">
        <v>15</v>
      </c>
      <c r="K1633">
        <v>40</v>
      </c>
      <c r="L1633" s="1" t="s">
        <v>21</v>
      </c>
    </row>
    <row r="1634" spans="1:12" x14ac:dyDescent="0.3">
      <c r="A1634" s="1" t="s">
        <v>317</v>
      </c>
      <c r="B1634" s="2">
        <v>45923</v>
      </c>
      <c r="C1634" s="2">
        <v>45959</v>
      </c>
      <c r="D1634" s="1" t="s">
        <v>23</v>
      </c>
      <c r="E1634" s="1" t="s">
        <v>24</v>
      </c>
      <c r="F1634" s="1" t="s">
        <v>15</v>
      </c>
      <c r="G1634" s="1" t="s">
        <v>33</v>
      </c>
      <c r="H1634" s="1" t="s">
        <v>43</v>
      </c>
      <c r="I1634" s="1" t="s">
        <v>26</v>
      </c>
      <c r="J1634">
        <v>30</v>
      </c>
      <c r="K1634">
        <v>36</v>
      </c>
      <c r="L1634" s="1" t="s">
        <v>21</v>
      </c>
    </row>
    <row r="1635" spans="1:12" x14ac:dyDescent="0.3">
      <c r="A1635" s="1" t="s">
        <v>686</v>
      </c>
      <c r="B1635" s="2">
        <v>45923</v>
      </c>
      <c r="C1635" s="2">
        <v>45968</v>
      </c>
      <c r="D1635" s="1" t="s">
        <v>13</v>
      </c>
      <c r="E1635" s="1" t="s">
        <v>14</v>
      </c>
      <c r="F1635" s="1" t="s">
        <v>15</v>
      </c>
      <c r="G1635" s="1" t="s">
        <v>16</v>
      </c>
      <c r="H1635" s="1" t="s">
        <v>47</v>
      </c>
      <c r="I1635" s="1" t="s">
        <v>41</v>
      </c>
      <c r="J1635">
        <v>15</v>
      </c>
      <c r="K1635">
        <v>45</v>
      </c>
      <c r="L1635" s="1" t="s">
        <v>44</v>
      </c>
    </row>
    <row r="1636" spans="1:12" x14ac:dyDescent="0.3">
      <c r="A1636" s="1" t="s">
        <v>1559</v>
      </c>
      <c r="B1636" s="2">
        <v>45923</v>
      </c>
      <c r="C1636" s="2">
        <v>45957</v>
      </c>
      <c r="D1636" s="1" t="s">
        <v>32</v>
      </c>
      <c r="E1636" s="1" t="s">
        <v>14</v>
      </c>
      <c r="F1636" s="1" t="s">
        <v>15</v>
      </c>
      <c r="G1636" s="1" t="s">
        <v>16</v>
      </c>
      <c r="H1636" s="1" t="s">
        <v>34</v>
      </c>
      <c r="I1636" s="1" t="s">
        <v>26</v>
      </c>
      <c r="J1636">
        <v>15</v>
      </c>
      <c r="K1636">
        <v>34</v>
      </c>
      <c r="L1636" s="1" t="s">
        <v>21</v>
      </c>
    </row>
    <row r="1637" spans="1:12" x14ac:dyDescent="0.3">
      <c r="A1637" s="1" t="s">
        <v>2886</v>
      </c>
      <c r="B1637" s="2">
        <v>45923</v>
      </c>
      <c r="C1637" s="2">
        <v>45985</v>
      </c>
      <c r="D1637" s="1" t="s">
        <v>37</v>
      </c>
      <c r="E1637" s="1" t="s">
        <v>14</v>
      </c>
      <c r="F1637" s="1" t="s">
        <v>15</v>
      </c>
      <c r="G1637" s="1" t="s">
        <v>16</v>
      </c>
      <c r="H1637" s="1" t="s">
        <v>39</v>
      </c>
      <c r="I1637" s="1" t="s">
        <v>41</v>
      </c>
      <c r="J1637">
        <v>15</v>
      </c>
      <c r="K1637">
        <v>62</v>
      </c>
      <c r="L1637" s="1" t="s">
        <v>80</v>
      </c>
    </row>
    <row r="1638" spans="1:12" x14ac:dyDescent="0.3">
      <c r="A1638" s="1" t="s">
        <v>1188</v>
      </c>
      <c r="B1638" s="2">
        <v>45923</v>
      </c>
      <c r="C1638" s="2">
        <v>45954</v>
      </c>
      <c r="D1638" s="1" t="s">
        <v>37</v>
      </c>
      <c r="E1638" s="1" t="s">
        <v>14</v>
      </c>
      <c r="F1638" s="1" t="s">
        <v>15</v>
      </c>
      <c r="G1638" s="1" t="s">
        <v>16</v>
      </c>
      <c r="H1638" s="1" t="s">
        <v>39</v>
      </c>
      <c r="I1638" s="1" t="s">
        <v>26</v>
      </c>
      <c r="J1638">
        <v>30</v>
      </c>
      <c r="K1638">
        <v>31</v>
      </c>
      <c r="L1638" s="1" t="s">
        <v>21</v>
      </c>
    </row>
    <row r="1639" spans="1:12" x14ac:dyDescent="0.3">
      <c r="A1639" s="1" t="s">
        <v>1974</v>
      </c>
      <c r="B1639" s="2">
        <v>45923</v>
      </c>
      <c r="C1639" s="2">
        <v>45940</v>
      </c>
      <c r="D1639" s="1" t="s">
        <v>37</v>
      </c>
      <c r="E1639" s="1" t="s">
        <v>24</v>
      </c>
      <c r="F1639" s="1" t="s">
        <v>38</v>
      </c>
      <c r="G1639" s="1" t="s">
        <v>16</v>
      </c>
      <c r="H1639" s="1" t="s">
        <v>39</v>
      </c>
      <c r="I1639" s="1" t="s">
        <v>26</v>
      </c>
      <c r="J1639">
        <v>45</v>
      </c>
      <c r="K1639">
        <v>17</v>
      </c>
      <c r="L1639" s="1" t="s">
        <v>19</v>
      </c>
    </row>
    <row r="1640" spans="1:12" x14ac:dyDescent="0.3">
      <c r="A1640" s="1" t="s">
        <v>3114</v>
      </c>
      <c r="B1640" s="2">
        <v>45923</v>
      </c>
      <c r="C1640" s="2">
        <v>45929</v>
      </c>
      <c r="D1640" s="1" t="s">
        <v>37</v>
      </c>
      <c r="E1640" s="1" t="s">
        <v>14</v>
      </c>
      <c r="F1640" s="1" t="s">
        <v>38</v>
      </c>
      <c r="G1640" s="1" t="s">
        <v>16</v>
      </c>
      <c r="H1640" s="1" t="s">
        <v>39</v>
      </c>
      <c r="I1640" s="1" t="s">
        <v>18</v>
      </c>
      <c r="J1640">
        <v>15</v>
      </c>
      <c r="K1640">
        <v>6</v>
      </c>
      <c r="L1640" s="1" t="s">
        <v>30</v>
      </c>
    </row>
    <row r="1641" spans="1:12" x14ac:dyDescent="0.3">
      <c r="A1641" s="1" t="s">
        <v>1850</v>
      </c>
      <c r="B1641" s="2">
        <v>45923</v>
      </c>
      <c r="C1641" s="2">
        <v>45952</v>
      </c>
      <c r="D1641" s="1" t="s">
        <v>13</v>
      </c>
      <c r="E1641" s="1" t="s">
        <v>14</v>
      </c>
      <c r="F1641" s="1" t="s">
        <v>15</v>
      </c>
      <c r="G1641" s="1" t="s">
        <v>16</v>
      </c>
      <c r="H1641" s="1" t="s">
        <v>17</v>
      </c>
      <c r="I1641" s="1" t="s">
        <v>26</v>
      </c>
      <c r="J1641">
        <v>30</v>
      </c>
      <c r="K1641">
        <v>29</v>
      </c>
      <c r="L1641" s="1" t="s">
        <v>21</v>
      </c>
    </row>
    <row r="1642" spans="1:12" x14ac:dyDescent="0.3">
      <c r="A1642" s="1" t="s">
        <v>2728</v>
      </c>
      <c r="B1642" s="2">
        <v>45923</v>
      </c>
      <c r="C1642" s="2">
        <v>45957</v>
      </c>
      <c r="D1642" s="1" t="s">
        <v>28</v>
      </c>
      <c r="E1642" s="1" t="s">
        <v>14</v>
      </c>
      <c r="F1642" s="1" t="s">
        <v>15</v>
      </c>
      <c r="G1642" s="1" t="s">
        <v>16</v>
      </c>
      <c r="H1642" s="1" t="s">
        <v>29</v>
      </c>
      <c r="I1642" s="1" t="s">
        <v>26</v>
      </c>
      <c r="J1642">
        <v>15</v>
      </c>
      <c r="K1642">
        <v>34</v>
      </c>
      <c r="L1642" s="1" t="s">
        <v>21</v>
      </c>
    </row>
    <row r="1643" spans="1:12" x14ac:dyDescent="0.3">
      <c r="A1643" s="1" t="s">
        <v>810</v>
      </c>
      <c r="B1643" s="2">
        <v>45922</v>
      </c>
      <c r="C1643" s="2">
        <v>45983</v>
      </c>
      <c r="D1643" s="1" t="s">
        <v>13</v>
      </c>
      <c r="E1643" s="1" t="s">
        <v>14</v>
      </c>
      <c r="F1643" s="1" t="s">
        <v>15</v>
      </c>
      <c r="G1643" s="1" t="s">
        <v>53</v>
      </c>
      <c r="H1643" s="1" t="s">
        <v>47</v>
      </c>
      <c r="I1643" s="1" t="s">
        <v>18</v>
      </c>
      <c r="J1643">
        <v>15</v>
      </c>
      <c r="K1643">
        <v>61</v>
      </c>
      <c r="L1643" s="1" t="s">
        <v>80</v>
      </c>
    </row>
    <row r="1644" spans="1:12" x14ac:dyDescent="0.3">
      <c r="A1644" s="1" t="s">
        <v>827</v>
      </c>
      <c r="B1644" s="2">
        <v>45922</v>
      </c>
      <c r="C1644" s="2">
        <v>45971</v>
      </c>
      <c r="D1644" s="1" t="s">
        <v>28</v>
      </c>
      <c r="E1644" s="1" t="s">
        <v>14</v>
      </c>
      <c r="F1644" s="1" t="s">
        <v>15</v>
      </c>
      <c r="G1644" s="1" t="s">
        <v>16</v>
      </c>
      <c r="H1644" s="1" t="s">
        <v>29</v>
      </c>
      <c r="I1644" s="1" t="s">
        <v>26</v>
      </c>
      <c r="J1644">
        <v>15</v>
      </c>
      <c r="K1644">
        <v>49</v>
      </c>
      <c r="L1644" s="1" t="s">
        <v>44</v>
      </c>
    </row>
    <row r="1645" spans="1:12" x14ac:dyDescent="0.3">
      <c r="A1645" s="1" t="s">
        <v>1143</v>
      </c>
      <c r="B1645" s="2">
        <v>45922</v>
      </c>
      <c r="C1645" s="2">
        <v>45938</v>
      </c>
      <c r="D1645" s="1" t="s">
        <v>23</v>
      </c>
      <c r="E1645" s="1" t="s">
        <v>14</v>
      </c>
      <c r="F1645" s="1" t="s">
        <v>15</v>
      </c>
      <c r="G1645" s="1" t="s">
        <v>16</v>
      </c>
      <c r="H1645" s="1" t="s">
        <v>43</v>
      </c>
      <c r="I1645" s="1" t="s">
        <v>18</v>
      </c>
      <c r="J1645">
        <v>15</v>
      </c>
      <c r="K1645">
        <v>16</v>
      </c>
      <c r="L1645" s="1" t="s">
        <v>19</v>
      </c>
    </row>
    <row r="1646" spans="1:12" x14ac:dyDescent="0.3">
      <c r="A1646" s="1" t="s">
        <v>1550</v>
      </c>
      <c r="B1646" s="2">
        <v>45922</v>
      </c>
      <c r="C1646" s="2">
        <v>45964</v>
      </c>
      <c r="D1646" s="1" t="s">
        <v>37</v>
      </c>
      <c r="E1646" s="1" t="s">
        <v>14</v>
      </c>
      <c r="F1646" s="1" t="s">
        <v>15</v>
      </c>
      <c r="G1646" s="1" t="s">
        <v>16</v>
      </c>
      <c r="H1646" s="1" t="s">
        <v>49</v>
      </c>
      <c r="I1646" s="1" t="s">
        <v>18</v>
      </c>
      <c r="J1646">
        <v>30</v>
      </c>
      <c r="K1646">
        <v>42</v>
      </c>
      <c r="L1646" s="1" t="s">
        <v>21</v>
      </c>
    </row>
    <row r="1647" spans="1:12" x14ac:dyDescent="0.3">
      <c r="A1647" s="1" t="s">
        <v>1837</v>
      </c>
      <c r="B1647" s="2">
        <v>45922</v>
      </c>
      <c r="C1647" s="2">
        <v>45950</v>
      </c>
      <c r="D1647" s="1" t="s">
        <v>28</v>
      </c>
      <c r="E1647" s="1" t="s">
        <v>14</v>
      </c>
      <c r="F1647" s="1" t="s">
        <v>15</v>
      </c>
      <c r="G1647" s="1" t="s">
        <v>16</v>
      </c>
      <c r="H1647" s="1" t="s">
        <v>29</v>
      </c>
      <c r="I1647" s="1" t="s">
        <v>41</v>
      </c>
      <c r="J1647">
        <v>30</v>
      </c>
      <c r="K1647">
        <v>28</v>
      </c>
      <c r="L1647" s="1" t="s">
        <v>19</v>
      </c>
    </row>
    <row r="1648" spans="1:12" x14ac:dyDescent="0.3">
      <c r="A1648" s="1" t="s">
        <v>1841</v>
      </c>
      <c r="B1648" s="2">
        <v>45922</v>
      </c>
      <c r="C1648" s="2">
        <v>45938</v>
      </c>
      <c r="D1648" s="1" t="s">
        <v>28</v>
      </c>
      <c r="E1648" s="1" t="s">
        <v>14</v>
      </c>
      <c r="F1648" s="1" t="s">
        <v>15</v>
      </c>
      <c r="G1648" s="1" t="s">
        <v>16</v>
      </c>
      <c r="H1648" s="1" t="s">
        <v>29</v>
      </c>
      <c r="I1648" s="1" t="s">
        <v>26</v>
      </c>
      <c r="J1648">
        <v>15</v>
      </c>
      <c r="K1648">
        <v>16</v>
      </c>
      <c r="L1648" s="1" t="s">
        <v>19</v>
      </c>
    </row>
    <row r="1649" spans="1:12" x14ac:dyDescent="0.3">
      <c r="A1649" s="1" t="s">
        <v>2220</v>
      </c>
      <c r="B1649" s="2">
        <v>45922</v>
      </c>
      <c r="C1649" s="2">
        <v>45984</v>
      </c>
      <c r="D1649" s="1" t="s">
        <v>13</v>
      </c>
      <c r="E1649" s="1" t="s">
        <v>24</v>
      </c>
      <c r="F1649" s="1" t="s">
        <v>15</v>
      </c>
      <c r="G1649" s="1" t="s">
        <v>16</v>
      </c>
      <c r="H1649" s="1" t="s">
        <v>47</v>
      </c>
      <c r="I1649" s="1" t="s">
        <v>41</v>
      </c>
      <c r="J1649">
        <v>30</v>
      </c>
      <c r="K1649">
        <v>62</v>
      </c>
      <c r="L1649" s="1" t="s">
        <v>80</v>
      </c>
    </row>
    <row r="1650" spans="1:12" x14ac:dyDescent="0.3">
      <c r="A1650" s="1" t="s">
        <v>2811</v>
      </c>
      <c r="B1650" s="2">
        <v>45922</v>
      </c>
      <c r="C1650" s="2">
        <v>45967</v>
      </c>
      <c r="D1650" s="1" t="s">
        <v>23</v>
      </c>
      <c r="E1650" s="1" t="s">
        <v>14</v>
      </c>
      <c r="F1650" s="1" t="s">
        <v>38</v>
      </c>
      <c r="G1650" s="1" t="s">
        <v>16</v>
      </c>
      <c r="H1650" s="1" t="s">
        <v>25</v>
      </c>
      <c r="I1650" s="1" t="s">
        <v>26</v>
      </c>
      <c r="J1650">
        <v>15</v>
      </c>
      <c r="K1650">
        <v>45</v>
      </c>
      <c r="L1650" s="1" t="s">
        <v>44</v>
      </c>
    </row>
    <row r="1651" spans="1:12" x14ac:dyDescent="0.3">
      <c r="A1651" s="1" t="s">
        <v>3098</v>
      </c>
      <c r="B1651" s="2">
        <v>45922</v>
      </c>
      <c r="C1651" s="2">
        <v>45986</v>
      </c>
      <c r="D1651" s="1" t="s">
        <v>23</v>
      </c>
      <c r="E1651" s="1" t="s">
        <v>14</v>
      </c>
      <c r="F1651" s="1" t="s">
        <v>15</v>
      </c>
      <c r="G1651" s="1" t="s">
        <v>16</v>
      </c>
      <c r="H1651" s="1" t="s">
        <v>43</v>
      </c>
      <c r="I1651" s="1" t="s">
        <v>18</v>
      </c>
      <c r="J1651">
        <v>15</v>
      </c>
      <c r="K1651">
        <v>64</v>
      </c>
      <c r="L1651" s="1" t="s">
        <v>80</v>
      </c>
    </row>
    <row r="1652" spans="1:12" x14ac:dyDescent="0.3">
      <c r="A1652" s="1" t="s">
        <v>561</v>
      </c>
      <c r="B1652" s="2">
        <v>45921</v>
      </c>
      <c r="C1652" s="2">
        <v>45923</v>
      </c>
      <c r="D1652" s="1" t="s">
        <v>13</v>
      </c>
      <c r="E1652" s="1" t="s">
        <v>14</v>
      </c>
      <c r="F1652" s="1" t="s">
        <v>15</v>
      </c>
      <c r="G1652" s="1" t="s">
        <v>16</v>
      </c>
      <c r="H1652" s="1" t="s">
        <v>47</v>
      </c>
      <c r="I1652" s="1" t="s">
        <v>18</v>
      </c>
      <c r="J1652">
        <v>30</v>
      </c>
      <c r="K1652">
        <v>2</v>
      </c>
      <c r="L1652" s="1" t="s">
        <v>30</v>
      </c>
    </row>
    <row r="1653" spans="1:12" x14ac:dyDescent="0.3">
      <c r="A1653" s="1" t="s">
        <v>664</v>
      </c>
      <c r="B1653" s="2">
        <v>45921</v>
      </c>
      <c r="C1653" s="2">
        <v>45960</v>
      </c>
      <c r="D1653" s="1" t="s">
        <v>13</v>
      </c>
      <c r="E1653" s="1" t="s">
        <v>24</v>
      </c>
      <c r="F1653" s="1" t="s">
        <v>38</v>
      </c>
      <c r="G1653" s="1" t="s">
        <v>16</v>
      </c>
      <c r="H1653" s="1" t="s">
        <v>17</v>
      </c>
      <c r="I1653" s="1" t="s">
        <v>26</v>
      </c>
      <c r="J1653">
        <v>30</v>
      </c>
      <c r="K1653">
        <v>39</v>
      </c>
      <c r="L1653" s="1" t="s">
        <v>21</v>
      </c>
    </row>
    <row r="1654" spans="1:12" x14ac:dyDescent="0.3">
      <c r="A1654" s="1" t="s">
        <v>751</v>
      </c>
      <c r="B1654" s="2">
        <v>45921</v>
      </c>
      <c r="C1654" s="2">
        <v>45923</v>
      </c>
      <c r="D1654" s="1" t="s">
        <v>28</v>
      </c>
      <c r="E1654" s="1" t="s">
        <v>14</v>
      </c>
      <c r="F1654" s="1" t="s">
        <v>15</v>
      </c>
      <c r="G1654" s="1" t="s">
        <v>16</v>
      </c>
      <c r="H1654" s="1" t="s">
        <v>54</v>
      </c>
      <c r="I1654" s="1" t="s">
        <v>18</v>
      </c>
      <c r="J1654">
        <v>30</v>
      </c>
      <c r="K1654">
        <v>2</v>
      </c>
      <c r="L1654" s="1" t="s">
        <v>30</v>
      </c>
    </row>
    <row r="1655" spans="1:12" x14ac:dyDescent="0.3">
      <c r="A1655" s="1" t="s">
        <v>1462</v>
      </c>
      <c r="B1655" s="2">
        <v>45921</v>
      </c>
      <c r="C1655" s="2">
        <v>45997</v>
      </c>
      <c r="D1655" s="1" t="s">
        <v>32</v>
      </c>
      <c r="E1655" s="1" t="s">
        <v>24</v>
      </c>
      <c r="F1655" s="1" t="s">
        <v>15</v>
      </c>
      <c r="G1655" s="1" t="s">
        <v>16</v>
      </c>
      <c r="H1655" s="1" t="s">
        <v>34</v>
      </c>
      <c r="I1655" s="1" t="s">
        <v>26</v>
      </c>
      <c r="J1655">
        <v>45</v>
      </c>
      <c r="K1655">
        <v>76</v>
      </c>
      <c r="L1655" s="1" t="s">
        <v>80</v>
      </c>
    </row>
    <row r="1656" spans="1:12" x14ac:dyDescent="0.3">
      <c r="A1656" s="1" t="s">
        <v>117</v>
      </c>
      <c r="B1656" s="2">
        <v>45921</v>
      </c>
      <c r="C1656" s="2">
        <v>45975</v>
      </c>
      <c r="D1656" s="1" t="s">
        <v>37</v>
      </c>
      <c r="E1656" s="1" t="s">
        <v>14</v>
      </c>
      <c r="F1656" s="1" t="s">
        <v>15</v>
      </c>
      <c r="G1656" s="1" t="s">
        <v>33</v>
      </c>
      <c r="H1656" s="1" t="s">
        <v>49</v>
      </c>
      <c r="I1656" s="1" t="s">
        <v>26</v>
      </c>
      <c r="J1656">
        <v>15</v>
      </c>
      <c r="K1656">
        <v>54</v>
      </c>
      <c r="L1656" s="1" t="s">
        <v>44</v>
      </c>
    </row>
    <row r="1657" spans="1:12" x14ac:dyDescent="0.3">
      <c r="A1657" s="1" t="s">
        <v>1015</v>
      </c>
      <c r="B1657" s="2">
        <v>45921</v>
      </c>
      <c r="C1657" s="2">
        <v>45960</v>
      </c>
      <c r="D1657" s="1" t="s">
        <v>37</v>
      </c>
      <c r="E1657" s="1" t="s">
        <v>24</v>
      </c>
      <c r="F1657" s="1" t="s">
        <v>15</v>
      </c>
      <c r="G1657" s="1" t="s">
        <v>16</v>
      </c>
      <c r="H1657" s="1" t="s">
        <v>39</v>
      </c>
      <c r="I1657" s="1" t="s">
        <v>26</v>
      </c>
      <c r="J1657">
        <v>30</v>
      </c>
      <c r="K1657">
        <v>39</v>
      </c>
      <c r="L1657" s="1" t="s">
        <v>21</v>
      </c>
    </row>
    <row r="1658" spans="1:12" x14ac:dyDescent="0.3">
      <c r="A1658" s="1" t="s">
        <v>1583</v>
      </c>
      <c r="B1658" s="2">
        <v>45921</v>
      </c>
      <c r="C1658" s="2">
        <v>45937</v>
      </c>
      <c r="D1658" s="1" t="s">
        <v>37</v>
      </c>
      <c r="E1658" s="1" t="s">
        <v>14</v>
      </c>
      <c r="F1658" s="1" t="s">
        <v>15</v>
      </c>
      <c r="G1658" s="1" t="s">
        <v>16</v>
      </c>
      <c r="H1658" s="1" t="s">
        <v>39</v>
      </c>
      <c r="I1658" s="1" t="s">
        <v>18</v>
      </c>
      <c r="J1658">
        <v>30</v>
      </c>
      <c r="K1658">
        <v>16</v>
      </c>
      <c r="L1658" s="1" t="s">
        <v>19</v>
      </c>
    </row>
    <row r="1659" spans="1:12" x14ac:dyDescent="0.3">
      <c r="A1659" s="1" t="s">
        <v>1244</v>
      </c>
      <c r="B1659" s="2">
        <v>45921</v>
      </c>
      <c r="C1659" s="2">
        <v>45926</v>
      </c>
      <c r="D1659" s="1" t="s">
        <v>37</v>
      </c>
      <c r="E1659" s="1" t="s">
        <v>14</v>
      </c>
      <c r="F1659" s="1" t="s">
        <v>15</v>
      </c>
      <c r="G1659" s="1" t="s">
        <v>16</v>
      </c>
      <c r="H1659" s="1" t="s">
        <v>39</v>
      </c>
      <c r="I1659" s="1" t="s">
        <v>18</v>
      </c>
      <c r="J1659">
        <v>15</v>
      </c>
      <c r="K1659">
        <v>5</v>
      </c>
      <c r="L1659" s="1" t="s">
        <v>30</v>
      </c>
    </row>
    <row r="1660" spans="1:12" x14ac:dyDescent="0.3">
      <c r="A1660" s="1" t="s">
        <v>2281</v>
      </c>
      <c r="B1660" s="2">
        <v>45921</v>
      </c>
      <c r="C1660" s="2">
        <v>45971</v>
      </c>
      <c r="D1660" s="1" t="s">
        <v>13</v>
      </c>
      <c r="E1660" s="1" t="s">
        <v>24</v>
      </c>
      <c r="F1660" s="1" t="s">
        <v>15</v>
      </c>
      <c r="G1660" s="1" t="s">
        <v>16</v>
      </c>
      <c r="H1660" s="1" t="s">
        <v>17</v>
      </c>
      <c r="I1660" s="1" t="s">
        <v>18</v>
      </c>
      <c r="J1660">
        <v>45</v>
      </c>
      <c r="K1660">
        <v>50</v>
      </c>
      <c r="L1660" s="1" t="s">
        <v>44</v>
      </c>
    </row>
    <row r="1661" spans="1:12" x14ac:dyDescent="0.3">
      <c r="A1661" s="1" t="s">
        <v>2498</v>
      </c>
      <c r="B1661" s="2">
        <v>45921</v>
      </c>
      <c r="C1661" s="2">
        <v>45953</v>
      </c>
      <c r="D1661" s="1" t="s">
        <v>32</v>
      </c>
      <c r="E1661" s="1" t="s">
        <v>14</v>
      </c>
      <c r="F1661" s="1" t="s">
        <v>15</v>
      </c>
      <c r="G1661" s="1" t="s">
        <v>16</v>
      </c>
      <c r="H1661" s="1" t="s">
        <v>71</v>
      </c>
      <c r="I1661" s="1" t="s">
        <v>26</v>
      </c>
      <c r="J1661">
        <v>15</v>
      </c>
      <c r="K1661">
        <v>32</v>
      </c>
      <c r="L1661" s="1" t="s">
        <v>21</v>
      </c>
    </row>
    <row r="1662" spans="1:12" x14ac:dyDescent="0.3">
      <c r="A1662" s="1" t="s">
        <v>3002</v>
      </c>
      <c r="B1662" s="2">
        <v>45921</v>
      </c>
      <c r="C1662" s="2">
        <v>45924</v>
      </c>
      <c r="D1662" s="1" t="s">
        <v>32</v>
      </c>
      <c r="E1662" s="1" t="s">
        <v>14</v>
      </c>
      <c r="F1662" s="1" t="s">
        <v>15</v>
      </c>
      <c r="G1662" s="1" t="s">
        <v>16</v>
      </c>
      <c r="H1662" s="1" t="s">
        <v>71</v>
      </c>
      <c r="I1662" s="1" t="s">
        <v>26</v>
      </c>
      <c r="J1662">
        <v>15</v>
      </c>
      <c r="K1662">
        <v>3</v>
      </c>
      <c r="L1662" s="1" t="s">
        <v>30</v>
      </c>
    </row>
    <row r="1663" spans="1:12" x14ac:dyDescent="0.3">
      <c r="A1663" s="1" t="s">
        <v>3022</v>
      </c>
      <c r="B1663" s="2">
        <v>45921</v>
      </c>
      <c r="C1663" s="2">
        <v>45968</v>
      </c>
      <c r="D1663" s="1" t="s">
        <v>13</v>
      </c>
      <c r="E1663" s="1" t="s">
        <v>24</v>
      </c>
      <c r="F1663" s="1" t="s">
        <v>15</v>
      </c>
      <c r="G1663" s="1" t="s">
        <v>16</v>
      </c>
      <c r="H1663" s="1" t="s">
        <v>47</v>
      </c>
      <c r="I1663" s="1" t="s">
        <v>26</v>
      </c>
      <c r="J1663">
        <v>30</v>
      </c>
      <c r="K1663">
        <v>47</v>
      </c>
      <c r="L1663" s="1" t="s">
        <v>44</v>
      </c>
    </row>
    <row r="1664" spans="1:12" x14ac:dyDescent="0.3">
      <c r="A1664" s="1" t="s">
        <v>3180</v>
      </c>
      <c r="B1664" s="2">
        <v>45921</v>
      </c>
      <c r="C1664" s="2">
        <v>45954</v>
      </c>
      <c r="D1664" s="1" t="s">
        <v>13</v>
      </c>
      <c r="E1664" s="1" t="s">
        <v>24</v>
      </c>
      <c r="F1664" s="1" t="s">
        <v>15</v>
      </c>
      <c r="G1664" s="1" t="s">
        <v>16</v>
      </c>
      <c r="H1664" s="1" t="s">
        <v>47</v>
      </c>
      <c r="I1664" s="1" t="s">
        <v>18</v>
      </c>
      <c r="J1664">
        <v>45</v>
      </c>
      <c r="K1664">
        <v>33</v>
      </c>
      <c r="L1664" s="1" t="s">
        <v>21</v>
      </c>
    </row>
    <row r="1665" spans="1:12" x14ac:dyDescent="0.3">
      <c r="A1665" s="1" t="s">
        <v>331</v>
      </c>
      <c r="B1665" s="2">
        <v>45920</v>
      </c>
      <c r="C1665" s="2">
        <v>45966</v>
      </c>
      <c r="D1665" s="1" t="s">
        <v>32</v>
      </c>
      <c r="E1665" s="1" t="s">
        <v>14</v>
      </c>
      <c r="F1665" s="1" t="s">
        <v>15</v>
      </c>
      <c r="G1665" s="1" t="s">
        <v>16</v>
      </c>
      <c r="H1665" s="1" t="s">
        <v>34</v>
      </c>
      <c r="I1665" s="1" t="s">
        <v>26</v>
      </c>
      <c r="J1665">
        <v>15</v>
      </c>
      <c r="K1665">
        <v>46</v>
      </c>
      <c r="L1665" s="1" t="s">
        <v>44</v>
      </c>
    </row>
    <row r="1666" spans="1:12" x14ac:dyDescent="0.3">
      <c r="A1666" s="1" t="s">
        <v>1831</v>
      </c>
      <c r="B1666" s="2">
        <v>45920</v>
      </c>
      <c r="C1666" s="2">
        <v>45964</v>
      </c>
      <c r="D1666" s="1" t="s">
        <v>37</v>
      </c>
      <c r="E1666" s="1" t="s">
        <v>24</v>
      </c>
      <c r="F1666" s="1" t="s">
        <v>15</v>
      </c>
      <c r="G1666" s="1" t="s">
        <v>16</v>
      </c>
      <c r="H1666" s="1" t="s">
        <v>39</v>
      </c>
      <c r="I1666" s="1" t="s">
        <v>26</v>
      </c>
      <c r="J1666">
        <v>30</v>
      </c>
      <c r="K1666">
        <v>44</v>
      </c>
      <c r="L1666" s="1" t="s">
        <v>44</v>
      </c>
    </row>
    <row r="1667" spans="1:12" x14ac:dyDescent="0.3">
      <c r="A1667" s="1" t="s">
        <v>986</v>
      </c>
      <c r="B1667" s="2">
        <v>45920</v>
      </c>
      <c r="C1667" s="2">
        <v>45963</v>
      </c>
      <c r="D1667" s="1" t="s">
        <v>37</v>
      </c>
      <c r="E1667" s="1" t="s">
        <v>14</v>
      </c>
      <c r="F1667" s="1" t="s">
        <v>15</v>
      </c>
      <c r="G1667" s="1" t="s">
        <v>16</v>
      </c>
      <c r="H1667" s="1" t="s">
        <v>49</v>
      </c>
      <c r="I1667" s="1" t="s">
        <v>18</v>
      </c>
      <c r="J1667">
        <v>30</v>
      </c>
      <c r="K1667">
        <v>43</v>
      </c>
      <c r="L1667" s="1" t="s">
        <v>44</v>
      </c>
    </row>
    <row r="1668" spans="1:12" x14ac:dyDescent="0.3">
      <c r="A1668" s="1" t="s">
        <v>1016</v>
      </c>
      <c r="B1668" s="2">
        <v>45920</v>
      </c>
      <c r="C1668" s="2">
        <v>45957</v>
      </c>
      <c r="D1668" s="1" t="s">
        <v>37</v>
      </c>
      <c r="E1668" s="1" t="s">
        <v>14</v>
      </c>
      <c r="F1668" s="1" t="s">
        <v>15</v>
      </c>
      <c r="G1668" s="1" t="s">
        <v>16</v>
      </c>
      <c r="H1668" s="1" t="s">
        <v>39</v>
      </c>
      <c r="I1668" s="1" t="s">
        <v>41</v>
      </c>
      <c r="J1668">
        <v>15</v>
      </c>
      <c r="K1668">
        <v>37</v>
      </c>
      <c r="L1668" s="1" t="s">
        <v>21</v>
      </c>
    </row>
    <row r="1669" spans="1:12" x14ac:dyDescent="0.3">
      <c r="A1669" s="1" t="s">
        <v>2068</v>
      </c>
      <c r="B1669" s="2">
        <v>45920</v>
      </c>
      <c r="C1669" s="2">
        <v>45991</v>
      </c>
      <c r="D1669" s="1" t="s">
        <v>13</v>
      </c>
      <c r="E1669" s="1" t="s">
        <v>14</v>
      </c>
      <c r="F1669" s="1" t="s">
        <v>38</v>
      </c>
      <c r="G1669" s="1" t="s">
        <v>16</v>
      </c>
      <c r="H1669" s="1" t="s">
        <v>47</v>
      </c>
      <c r="I1669" s="1" t="s">
        <v>41</v>
      </c>
      <c r="J1669">
        <v>15</v>
      </c>
      <c r="K1669">
        <v>71</v>
      </c>
      <c r="L1669" s="1" t="s">
        <v>80</v>
      </c>
    </row>
    <row r="1670" spans="1:12" x14ac:dyDescent="0.3">
      <c r="A1670" s="1" t="s">
        <v>2437</v>
      </c>
      <c r="B1670" s="2">
        <v>45920</v>
      </c>
      <c r="C1670" s="2">
        <v>45955</v>
      </c>
      <c r="D1670" s="1" t="s">
        <v>23</v>
      </c>
      <c r="E1670" s="1" t="s">
        <v>14</v>
      </c>
      <c r="F1670" s="1" t="s">
        <v>15</v>
      </c>
      <c r="G1670" s="1" t="s">
        <v>16</v>
      </c>
      <c r="H1670" s="1" t="s">
        <v>25</v>
      </c>
      <c r="I1670" s="1" t="s">
        <v>26</v>
      </c>
      <c r="J1670">
        <v>15</v>
      </c>
      <c r="K1670">
        <v>35</v>
      </c>
      <c r="L1670" s="1" t="s">
        <v>21</v>
      </c>
    </row>
    <row r="1671" spans="1:12" x14ac:dyDescent="0.3">
      <c r="A1671" s="1" t="s">
        <v>2501</v>
      </c>
      <c r="B1671" s="2">
        <v>45920</v>
      </c>
      <c r="C1671" s="2">
        <v>45949</v>
      </c>
      <c r="D1671" s="1" t="s">
        <v>32</v>
      </c>
      <c r="E1671" s="1" t="s">
        <v>14</v>
      </c>
      <c r="F1671" s="1" t="s">
        <v>15</v>
      </c>
      <c r="G1671" s="1" t="s">
        <v>16</v>
      </c>
      <c r="H1671" s="1" t="s">
        <v>71</v>
      </c>
      <c r="I1671" s="1" t="s">
        <v>26</v>
      </c>
      <c r="J1671">
        <v>15</v>
      </c>
      <c r="K1671">
        <v>29</v>
      </c>
      <c r="L1671" s="1" t="s">
        <v>21</v>
      </c>
    </row>
    <row r="1672" spans="1:12" x14ac:dyDescent="0.3">
      <c r="A1672" s="1" t="s">
        <v>2505</v>
      </c>
      <c r="B1672" s="2">
        <v>45920</v>
      </c>
      <c r="C1672" s="2">
        <v>45930</v>
      </c>
      <c r="D1672" s="1" t="s">
        <v>28</v>
      </c>
      <c r="E1672" s="1" t="s">
        <v>14</v>
      </c>
      <c r="F1672" s="1" t="s">
        <v>15</v>
      </c>
      <c r="G1672" s="1" t="s">
        <v>33</v>
      </c>
      <c r="H1672" s="1" t="s">
        <v>54</v>
      </c>
      <c r="I1672" s="1" t="s">
        <v>26</v>
      </c>
      <c r="J1672">
        <v>15</v>
      </c>
      <c r="K1672">
        <v>10</v>
      </c>
      <c r="L1672" s="1" t="s">
        <v>30</v>
      </c>
    </row>
    <row r="1673" spans="1:12" x14ac:dyDescent="0.3">
      <c r="A1673" s="1" t="s">
        <v>150</v>
      </c>
      <c r="B1673" s="2">
        <v>45919</v>
      </c>
      <c r="C1673" s="2">
        <v>45959</v>
      </c>
      <c r="D1673" s="1" t="s">
        <v>32</v>
      </c>
      <c r="E1673" s="1" t="s">
        <v>24</v>
      </c>
      <c r="F1673" s="1" t="s">
        <v>15</v>
      </c>
      <c r="G1673" s="1" t="s">
        <v>16</v>
      </c>
      <c r="H1673" s="1" t="s">
        <v>34</v>
      </c>
      <c r="I1673" s="1" t="s">
        <v>18</v>
      </c>
      <c r="J1673">
        <v>45</v>
      </c>
      <c r="K1673">
        <v>40</v>
      </c>
      <c r="L1673" s="1" t="s">
        <v>21</v>
      </c>
    </row>
    <row r="1674" spans="1:12" x14ac:dyDescent="0.3">
      <c r="A1674" s="1" t="s">
        <v>165</v>
      </c>
      <c r="B1674" s="2">
        <v>45919</v>
      </c>
      <c r="C1674" s="2">
        <v>45976</v>
      </c>
      <c r="D1674" s="1" t="s">
        <v>32</v>
      </c>
      <c r="E1674" s="1" t="s">
        <v>14</v>
      </c>
      <c r="F1674" s="1" t="s">
        <v>15</v>
      </c>
      <c r="G1674" s="1" t="s">
        <v>33</v>
      </c>
      <c r="H1674" s="1" t="s">
        <v>71</v>
      </c>
      <c r="I1674" s="1" t="s">
        <v>41</v>
      </c>
      <c r="J1674">
        <v>15</v>
      </c>
      <c r="K1674">
        <v>57</v>
      </c>
      <c r="L1674" s="1" t="s">
        <v>80</v>
      </c>
    </row>
    <row r="1675" spans="1:12" x14ac:dyDescent="0.3">
      <c r="A1675" s="1" t="s">
        <v>1473</v>
      </c>
      <c r="B1675" s="2">
        <v>45919</v>
      </c>
      <c r="C1675" s="2">
        <v>45965</v>
      </c>
      <c r="D1675" s="1" t="s">
        <v>13</v>
      </c>
      <c r="E1675" s="1" t="s">
        <v>14</v>
      </c>
      <c r="F1675" s="1" t="s">
        <v>15</v>
      </c>
      <c r="G1675" s="1" t="s">
        <v>16</v>
      </c>
      <c r="H1675" s="1" t="s">
        <v>47</v>
      </c>
      <c r="I1675" s="1" t="s">
        <v>41</v>
      </c>
      <c r="J1675">
        <v>30</v>
      </c>
      <c r="K1675">
        <v>46</v>
      </c>
      <c r="L1675" s="1" t="s">
        <v>44</v>
      </c>
    </row>
    <row r="1676" spans="1:12" x14ac:dyDescent="0.3">
      <c r="A1676" s="1" t="s">
        <v>2496</v>
      </c>
      <c r="B1676" s="2">
        <v>45919</v>
      </c>
      <c r="C1676" s="2">
        <v>45985</v>
      </c>
      <c r="D1676" s="1" t="s">
        <v>37</v>
      </c>
      <c r="E1676" s="1" t="s">
        <v>24</v>
      </c>
      <c r="F1676" s="1" t="s">
        <v>15</v>
      </c>
      <c r="G1676" s="1" t="s">
        <v>16</v>
      </c>
      <c r="H1676" s="1" t="s">
        <v>39</v>
      </c>
      <c r="I1676" s="1" t="s">
        <v>41</v>
      </c>
      <c r="J1676">
        <v>30</v>
      </c>
      <c r="K1676">
        <v>66</v>
      </c>
      <c r="L1676" s="1" t="s">
        <v>80</v>
      </c>
    </row>
    <row r="1677" spans="1:12" x14ac:dyDescent="0.3">
      <c r="A1677" s="1" t="s">
        <v>2591</v>
      </c>
      <c r="B1677" s="2">
        <v>45919</v>
      </c>
      <c r="C1677" s="2">
        <v>45980</v>
      </c>
      <c r="D1677" s="1" t="s">
        <v>37</v>
      </c>
      <c r="E1677" s="1" t="s">
        <v>24</v>
      </c>
      <c r="F1677" s="1" t="s">
        <v>15</v>
      </c>
      <c r="G1677" s="1" t="s">
        <v>53</v>
      </c>
      <c r="H1677" s="1" t="s">
        <v>39</v>
      </c>
      <c r="I1677" s="1" t="s">
        <v>26</v>
      </c>
      <c r="J1677">
        <v>45</v>
      </c>
      <c r="K1677">
        <v>61</v>
      </c>
      <c r="L1677" s="1" t="s">
        <v>80</v>
      </c>
    </row>
    <row r="1678" spans="1:12" x14ac:dyDescent="0.3">
      <c r="A1678" s="1" t="s">
        <v>1754</v>
      </c>
      <c r="B1678" s="2">
        <v>45919</v>
      </c>
      <c r="C1678" s="2">
        <v>45948</v>
      </c>
      <c r="D1678" s="1" t="s">
        <v>28</v>
      </c>
      <c r="E1678" s="1" t="s">
        <v>14</v>
      </c>
      <c r="F1678" s="1" t="s">
        <v>15</v>
      </c>
      <c r="G1678" s="1" t="s">
        <v>16</v>
      </c>
      <c r="H1678" s="1" t="s">
        <v>29</v>
      </c>
      <c r="I1678" s="1" t="s">
        <v>26</v>
      </c>
      <c r="J1678">
        <v>15</v>
      </c>
      <c r="K1678">
        <v>29</v>
      </c>
      <c r="L1678" s="1" t="s">
        <v>21</v>
      </c>
    </row>
    <row r="1679" spans="1:12" x14ac:dyDescent="0.3">
      <c r="A1679" s="1" t="s">
        <v>2955</v>
      </c>
      <c r="B1679" s="2">
        <v>45919</v>
      </c>
      <c r="C1679" s="2">
        <v>45986</v>
      </c>
      <c r="D1679" s="1" t="s">
        <v>32</v>
      </c>
      <c r="E1679" s="1" t="s">
        <v>14</v>
      </c>
      <c r="F1679" s="1" t="s">
        <v>15</v>
      </c>
      <c r="G1679" s="1" t="s">
        <v>16</v>
      </c>
      <c r="H1679" s="1" t="s">
        <v>71</v>
      </c>
      <c r="I1679" s="1" t="s">
        <v>18</v>
      </c>
      <c r="J1679">
        <v>15</v>
      </c>
      <c r="K1679">
        <v>67</v>
      </c>
      <c r="L1679" s="1" t="s">
        <v>80</v>
      </c>
    </row>
    <row r="1680" spans="1:12" x14ac:dyDescent="0.3">
      <c r="A1680" s="1" t="s">
        <v>3165</v>
      </c>
      <c r="B1680" s="2">
        <v>45919</v>
      </c>
      <c r="C1680" s="2">
        <v>45942</v>
      </c>
      <c r="D1680" s="1" t="s">
        <v>28</v>
      </c>
      <c r="E1680" s="1" t="s">
        <v>14</v>
      </c>
      <c r="F1680" s="1" t="s">
        <v>15</v>
      </c>
      <c r="G1680" s="1" t="s">
        <v>16</v>
      </c>
      <c r="H1680" s="1" t="s">
        <v>29</v>
      </c>
      <c r="I1680" s="1" t="s">
        <v>26</v>
      </c>
      <c r="J1680">
        <v>15</v>
      </c>
      <c r="K1680">
        <v>23</v>
      </c>
      <c r="L1680" s="1" t="s">
        <v>19</v>
      </c>
    </row>
    <row r="1681" spans="1:12" x14ac:dyDescent="0.3">
      <c r="A1681" s="1" t="s">
        <v>318</v>
      </c>
      <c r="B1681" s="2">
        <v>45918</v>
      </c>
      <c r="C1681" s="2">
        <v>45956</v>
      </c>
      <c r="D1681" s="1" t="s">
        <v>23</v>
      </c>
      <c r="E1681" s="1" t="s">
        <v>14</v>
      </c>
      <c r="F1681" s="1" t="s">
        <v>15</v>
      </c>
      <c r="G1681" s="1" t="s">
        <v>53</v>
      </c>
      <c r="H1681" s="1" t="s">
        <v>25</v>
      </c>
      <c r="I1681" s="1" t="s">
        <v>26</v>
      </c>
      <c r="J1681">
        <v>15</v>
      </c>
      <c r="K1681">
        <v>38</v>
      </c>
      <c r="L1681" s="1" t="s">
        <v>21</v>
      </c>
    </row>
    <row r="1682" spans="1:12" x14ac:dyDescent="0.3">
      <c r="A1682" s="1" t="s">
        <v>408</v>
      </c>
      <c r="B1682" s="2">
        <v>45918</v>
      </c>
      <c r="C1682" s="2">
        <v>45942</v>
      </c>
      <c r="D1682" s="1" t="s">
        <v>28</v>
      </c>
      <c r="E1682" s="1" t="s">
        <v>14</v>
      </c>
      <c r="F1682" s="1" t="s">
        <v>15</v>
      </c>
      <c r="G1682" s="1" t="s">
        <v>16</v>
      </c>
      <c r="H1682" s="1" t="s">
        <v>29</v>
      </c>
      <c r="I1682" s="1" t="s">
        <v>26</v>
      </c>
      <c r="J1682">
        <v>15</v>
      </c>
      <c r="K1682">
        <v>24</v>
      </c>
      <c r="L1682" s="1" t="s">
        <v>19</v>
      </c>
    </row>
    <row r="1683" spans="1:12" x14ac:dyDescent="0.3">
      <c r="A1683" s="1" t="s">
        <v>1144</v>
      </c>
      <c r="B1683" s="2">
        <v>45918</v>
      </c>
      <c r="C1683" s="2">
        <v>45940</v>
      </c>
      <c r="D1683" s="1" t="s">
        <v>32</v>
      </c>
      <c r="E1683" s="1" t="s">
        <v>24</v>
      </c>
      <c r="F1683" s="1" t="s">
        <v>15</v>
      </c>
      <c r="G1683" s="1" t="s">
        <v>16</v>
      </c>
      <c r="H1683" s="1" t="s">
        <v>34</v>
      </c>
      <c r="I1683" s="1" t="s">
        <v>26</v>
      </c>
      <c r="J1683">
        <v>30</v>
      </c>
      <c r="K1683">
        <v>22</v>
      </c>
      <c r="L1683" s="1" t="s">
        <v>19</v>
      </c>
    </row>
    <row r="1684" spans="1:12" x14ac:dyDescent="0.3">
      <c r="A1684" s="1" t="s">
        <v>1541</v>
      </c>
      <c r="B1684" s="2">
        <v>45918</v>
      </c>
      <c r="C1684" s="2">
        <v>45940</v>
      </c>
      <c r="D1684" s="1" t="s">
        <v>13</v>
      </c>
      <c r="E1684" s="1" t="s">
        <v>24</v>
      </c>
      <c r="F1684" s="1" t="s">
        <v>15</v>
      </c>
      <c r="G1684" s="1" t="s">
        <v>16</v>
      </c>
      <c r="H1684" s="1" t="s">
        <v>17</v>
      </c>
      <c r="I1684" s="1" t="s">
        <v>18</v>
      </c>
      <c r="J1684">
        <v>45</v>
      </c>
      <c r="K1684">
        <v>22</v>
      </c>
      <c r="L1684" s="1" t="s">
        <v>19</v>
      </c>
    </row>
    <row r="1685" spans="1:12" x14ac:dyDescent="0.3">
      <c r="A1685" s="1" t="s">
        <v>111</v>
      </c>
      <c r="B1685" s="2">
        <v>45918</v>
      </c>
      <c r="C1685" s="2">
        <v>45972</v>
      </c>
      <c r="D1685" s="1" t="s">
        <v>37</v>
      </c>
      <c r="E1685" s="1" t="s">
        <v>24</v>
      </c>
      <c r="F1685" s="1" t="s">
        <v>15</v>
      </c>
      <c r="G1685" s="1" t="s">
        <v>16</v>
      </c>
      <c r="H1685" s="1" t="s">
        <v>49</v>
      </c>
      <c r="I1685" s="1" t="s">
        <v>26</v>
      </c>
      <c r="J1685">
        <v>30</v>
      </c>
      <c r="K1685">
        <v>54</v>
      </c>
      <c r="L1685" s="1" t="s">
        <v>44</v>
      </c>
    </row>
    <row r="1686" spans="1:12" x14ac:dyDescent="0.3">
      <c r="A1686" s="1" t="s">
        <v>3181</v>
      </c>
      <c r="B1686" s="2">
        <v>45918</v>
      </c>
      <c r="C1686" s="2">
        <v>45972</v>
      </c>
      <c r="D1686" s="1" t="s">
        <v>37</v>
      </c>
      <c r="E1686" s="1" t="s">
        <v>14</v>
      </c>
      <c r="F1686" s="1" t="s">
        <v>38</v>
      </c>
      <c r="G1686" s="1" t="s">
        <v>53</v>
      </c>
      <c r="H1686" s="1" t="s">
        <v>39</v>
      </c>
      <c r="I1686" s="1" t="s">
        <v>41</v>
      </c>
      <c r="J1686">
        <v>15</v>
      </c>
      <c r="K1686">
        <v>54</v>
      </c>
      <c r="L1686" s="1" t="s">
        <v>44</v>
      </c>
    </row>
    <row r="1687" spans="1:12" x14ac:dyDescent="0.3">
      <c r="A1687" s="1" t="s">
        <v>3132</v>
      </c>
      <c r="B1687" s="2">
        <v>45918</v>
      </c>
      <c r="C1687" s="2">
        <v>45948</v>
      </c>
      <c r="D1687" s="1" t="s">
        <v>37</v>
      </c>
      <c r="E1687" s="1" t="s">
        <v>14</v>
      </c>
      <c r="F1687" s="1" t="s">
        <v>38</v>
      </c>
      <c r="G1687" s="1" t="s">
        <v>16</v>
      </c>
      <c r="H1687" s="1" t="s">
        <v>39</v>
      </c>
      <c r="I1687" s="1" t="s">
        <v>26</v>
      </c>
      <c r="J1687">
        <v>15</v>
      </c>
      <c r="K1687">
        <v>30</v>
      </c>
      <c r="L1687" s="1" t="s">
        <v>21</v>
      </c>
    </row>
    <row r="1688" spans="1:12" x14ac:dyDescent="0.3">
      <c r="A1688" s="1" t="s">
        <v>516</v>
      </c>
      <c r="B1688" s="2">
        <v>45918</v>
      </c>
      <c r="C1688" s="2">
        <v>45945</v>
      </c>
      <c r="D1688" s="1" t="s">
        <v>37</v>
      </c>
      <c r="E1688" s="1" t="s">
        <v>14</v>
      </c>
      <c r="F1688" s="1" t="s">
        <v>15</v>
      </c>
      <c r="G1688" s="1" t="s">
        <v>16</v>
      </c>
      <c r="H1688" s="1" t="s">
        <v>39</v>
      </c>
      <c r="I1688" s="1" t="s">
        <v>18</v>
      </c>
      <c r="J1688">
        <v>15</v>
      </c>
      <c r="K1688">
        <v>27</v>
      </c>
      <c r="L1688" s="1" t="s">
        <v>19</v>
      </c>
    </row>
    <row r="1689" spans="1:12" x14ac:dyDescent="0.3">
      <c r="A1689" s="1" t="s">
        <v>1739</v>
      </c>
      <c r="B1689" s="2">
        <v>45918</v>
      </c>
      <c r="C1689" s="2">
        <v>45941</v>
      </c>
      <c r="D1689" s="1" t="s">
        <v>28</v>
      </c>
      <c r="E1689" s="1" t="s">
        <v>14</v>
      </c>
      <c r="F1689" s="1" t="s">
        <v>15</v>
      </c>
      <c r="G1689" s="1" t="s">
        <v>53</v>
      </c>
      <c r="H1689" s="1" t="s">
        <v>54</v>
      </c>
      <c r="I1689" s="1" t="s">
        <v>41</v>
      </c>
      <c r="J1689">
        <v>30</v>
      </c>
      <c r="K1689">
        <v>23</v>
      </c>
      <c r="L1689" s="1" t="s">
        <v>19</v>
      </c>
    </row>
    <row r="1690" spans="1:12" x14ac:dyDescent="0.3">
      <c r="A1690" s="1" t="s">
        <v>1810</v>
      </c>
      <c r="B1690" s="2">
        <v>45918</v>
      </c>
      <c r="C1690" s="2">
        <v>45954</v>
      </c>
      <c r="D1690" s="1" t="s">
        <v>23</v>
      </c>
      <c r="E1690" s="1" t="s">
        <v>14</v>
      </c>
      <c r="F1690" s="1" t="s">
        <v>15</v>
      </c>
      <c r="G1690" s="1" t="s">
        <v>16</v>
      </c>
      <c r="H1690" s="1" t="s">
        <v>43</v>
      </c>
      <c r="I1690" s="1" t="s">
        <v>18</v>
      </c>
      <c r="J1690">
        <v>30</v>
      </c>
      <c r="K1690">
        <v>36</v>
      </c>
      <c r="L1690" s="1" t="s">
        <v>21</v>
      </c>
    </row>
    <row r="1691" spans="1:12" x14ac:dyDescent="0.3">
      <c r="A1691" s="1" t="s">
        <v>1844</v>
      </c>
      <c r="B1691" s="2">
        <v>45918</v>
      </c>
      <c r="C1691" s="2">
        <v>45920</v>
      </c>
      <c r="D1691" s="1" t="s">
        <v>28</v>
      </c>
      <c r="E1691" s="1" t="s">
        <v>24</v>
      </c>
      <c r="F1691" s="1" t="s">
        <v>38</v>
      </c>
      <c r="G1691" s="1" t="s">
        <v>16</v>
      </c>
      <c r="H1691" s="1" t="s">
        <v>29</v>
      </c>
      <c r="I1691" s="1" t="s">
        <v>18</v>
      </c>
      <c r="J1691">
        <v>30</v>
      </c>
      <c r="K1691">
        <v>2</v>
      </c>
      <c r="L1691" s="1" t="s">
        <v>30</v>
      </c>
    </row>
    <row r="1692" spans="1:12" x14ac:dyDescent="0.3">
      <c r="A1692" s="1" t="s">
        <v>2010</v>
      </c>
      <c r="B1692" s="2">
        <v>45918</v>
      </c>
      <c r="C1692" s="2">
        <v>45929</v>
      </c>
      <c r="D1692" s="1" t="s">
        <v>23</v>
      </c>
      <c r="E1692" s="1" t="s">
        <v>14</v>
      </c>
      <c r="F1692" s="1" t="s">
        <v>38</v>
      </c>
      <c r="G1692" s="1" t="s">
        <v>16</v>
      </c>
      <c r="H1692" s="1" t="s">
        <v>25</v>
      </c>
      <c r="I1692" s="1" t="s">
        <v>18</v>
      </c>
      <c r="J1692">
        <v>15</v>
      </c>
      <c r="K1692">
        <v>11</v>
      </c>
      <c r="L1692" s="1" t="s">
        <v>30</v>
      </c>
    </row>
    <row r="1693" spans="1:12" x14ac:dyDescent="0.3">
      <c r="A1693" s="1" t="s">
        <v>2569</v>
      </c>
      <c r="B1693" s="2">
        <v>45918</v>
      </c>
      <c r="C1693" s="2">
        <v>45938</v>
      </c>
      <c r="D1693" s="1" t="s">
        <v>28</v>
      </c>
      <c r="E1693" s="1" t="s">
        <v>14</v>
      </c>
      <c r="F1693" s="1" t="s">
        <v>15</v>
      </c>
      <c r="G1693" s="1" t="s">
        <v>16</v>
      </c>
      <c r="H1693" s="1" t="s">
        <v>29</v>
      </c>
      <c r="I1693" s="1" t="s">
        <v>26</v>
      </c>
      <c r="J1693">
        <v>15</v>
      </c>
      <c r="K1693">
        <v>20</v>
      </c>
      <c r="L1693" s="1" t="s">
        <v>19</v>
      </c>
    </row>
    <row r="1694" spans="1:12" x14ac:dyDescent="0.3">
      <c r="A1694" s="1" t="s">
        <v>3018</v>
      </c>
      <c r="B1694" s="2">
        <v>45918</v>
      </c>
      <c r="C1694" s="2">
        <v>45959</v>
      </c>
      <c r="D1694" s="1" t="s">
        <v>28</v>
      </c>
      <c r="E1694" s="1" t="s">
        <v>24</v>
      </c>
      <c r="F1694" s="1" t="s">
        <v>15</v>
      </c>
      <c r="G1694" s="1" t="s">
        <v>16</v>
      </c>
      <c r="H1694" s="1" t="s">
        <v>54</v>
      </c>
      <c r="I1694" s="1" t="s">
        <v>41</v>
      </c>
      <c r="J1694">
        <v>30</v>
      </c>
      <c r="K1694">
        <v>41</v>
      </c>
      <c r="L1694" s="1" t="s">
        <v>21</v>
      </c>
    </row>
    <row r="1695" spans="1:12" x14ac:dyDescent="0.3">
      <c r="A1695" s="1" t="s">
        <v>95</v>
      </c>
      <c r="B1695" s="2">
        <v>45917</v>
      </c>
      <c r="C1695" s="2">
        <v>45953</v>
      </c>
      <c r="D1695" s="1" t="s">
        <v>32</v>
      </c>
      <c r="E1695" s="1" t="s">
        <v>14</v>
      </c>
      <c r="F1695" s="1" t="s">
        <v>38</v>
      </c>
      <c r="G1695" s="1" t="s">
        <v>16</v>
      </c>
      <c r="H1695" s="1" t="s">
        <v>71</v>
      </c>
      <c r="I1695" s="1" t="s">
        <v>18</v>
      </c>
      <c r="J1695">
        <v>30</v>
      </c>
      <c r="K1695">
        <v>36</v>
      </c>
      <c r="L1695" s="1" t="s">
        <v>21</v>
      </c>
    </row>
    <row r="1696" spans="1:12" x14ac:dyDescent="0.3">
      <c r="A1696" s="1" t="s">
        <v>752</v>
      </c>
      <c r="B1696" s="2">
        <v>45917</v>
      </c>
      <c r="C1696" s="2">
        <v>45943</v>
      </c>
      <c r="D1696" s="1" t="s">
        <v>13</v>
      </c>
      <c r="E1696" s="1" t="s">
        <v>14</v>
      </c>
      <c r="F1696" s="1" t="s">
        <v>15</v>
      </c>
      <c r="G1696" s="1" t="s">
        <v>33</v>
      </c>
      <c r="H1696" s="1" t="s">
        <v>47</v>
      </c>
      <c r="I1696" s="1" t="s">
        <v>18</v>
      </c>
      <c r="J1696">
        <v>30</v>
      </c>
      <c r="K1696">
        <v>26</v>
      </c>
      <c r="L1696" s="1" t="s">
        <v>19</v>
      </c>
    </row>
    <row r="1697" spans="1:12" x14ac:dyDescent="0.3">
      <c r="A1697" s="1" t="s">
        <v>1117</v>
      </c>
      <c r="B1697" s="2">
        <v>45917</v>
      </c>
      <c r="C1697" s="2">
        <v>45972</v>
      </c>
      <c r="D1697" s="1" t="s">
        <v>28</v>
      </c>
      <c r="E1697" s="1" t="s">
        <v>14</v>
      </c>
      <c r="F1697" s="1" t="s">
        <v>15</v>
      </c>
      <c r="G1697" s="1" t="s">
        <v>16</v>
      </c>
      <c r="H1697" s="1" t="s">
        <v>54</v>
      </c>
      <c r="I1697" s="1" t="s">
        <v>26</v>
      </c>
      <c r="J1697">
        <v>15</v>
      </c>
      <c r="K1697">
        <v>55</v>
      </c>
      <c r="L1697" s="1" t="s">
        <v>44</v>
      </c>
    </row>
    <row r="1698" spans="1:12" x14ac:dyDescent="0.3">
      <c r="A1698" s="1" t="s">
        <v>1290</v>
      </c>
      <c r="B1698" s="2">
        <v>45917</v>
      </c>
      <c r="C1698" s="2">
        <v>45919</v>
      </c>
      <c r="D1698" s="1" t="s">
        <v>13</v>
      </c>
      <c r="E1698" s="1" t="s">
        <v>14</v>
      </c>
      <c r="F1698" s="1" t="s">
        <v>15</v>
      </c>
      <c r="G1698" s="1" t="s">
        <v>16</v>
      </c>
      <c r="H1698" s="1" t="s">
        <v>47</v>
      </c>
      <c r="I1698" s="1" t="s">
        <v>41</v>
      </c>
      <c r="J1698">
        <v>15</v>
      </c>
      <c r="K1698">
        <v>2</v>
      </c>
      <c r="L1698" s="1" t="s">
        <v>30</v>
      </c>
    </row>
    <row r="1699" spans="1:12" x14ac:dyDescent="0.3">
      <c r="A1699" s="1" t="s">
        <v>1996</v>
      </c>
      <c r="B1699" s="2">
        <v>45917</v>
      </c>
      <c r="C1699" s="2">
        <v>45971</v>
      </c>
      <c r="D1699" s="1" t="s">
        <v>32</v>
      </c>
      <c r="E1699" s="1" t="s">
        <v>14</v>
      </c>
      <c r="F1699" s="1" t="s">
        <v>15</v>
      </c>
      <c r="G1699" s="1" t="s">
        <v>16</v>
      </c>
      <c r="H1699" s="1" t="s">
        <v>71</v>
      </c>
      <c r="I1699" s="1" t="s">
        <v>26</v>
      </c>
      <c r="J1699">
        <v>15</v>
      </c>
      <c r="K1699">
        <v>54</v>
      </c>
      <c r="L1699" s="1" t="s">
        <v>44</v>
      </c>
    </row>
    <row r="1700" spans="1:12" x14ac:dyDescent="0.3">
      <c r="A1700" s="1" t="s">
        <v>2119</v>
      </c>
      <c r="B1700" s="2">
        <v>45917</v>
      </c>
      <c r="C1700" s="2">
        <v>45947</v>
      </c>
      <c r="D1700" s="1" t="s">
        <v>32</v>
      </c>
      <c r="E1700" s="1" t="s">
        <v>24</v>
      </c>
      <c r="F1700" s="1" t="s">
        <v>15</v>
      </c>
      <c r="G1700" s="1" t="s">
        <v>33</v>
      </c>
      <c r="H1700" s="1" t="s">
        <v>34</v>
      </c>
      <c r="I1700" s="1" t="s">
        <v>26</v>
      </c>
      <c r="J1700">
        <v>45</v>
      </c>
      <c r="K1700">
        <v>30</v>
      </c>
      <c r="L1700" s="1" t="s">
        <v>21</v>
      </c>
    </row>
    <row r="1701" spans="1:12" x14ac:dyDescent="0.3">
      <c r="A1701" s="1" t="s">
        <v>2396</v>
      </c>
      <c r="B1701" s="2">
        <v>45917</v>
      </c>
      <c r="C1701" s="2">
        <v>45928</v>
      </c>
      <c r="D1701" s="1" t="s">
        <v>13</v>
      </c>
      <c r="E1701" s="1" t="s">
        <v>14</v>
      </c>
      <c r="F1701" s="1" t="s">
        <v>38</v>
      </c>
      <c r="G1701" s="1" t="s">
        <v>16</v>
      </c>
      <c r="H1701" s="1" t="s">
        <v>17</v>
      </c>
      <c r="I1701" s="1" t="s">
        <v>26</v>
      </c>
      <c r="J1701">
        <v>15</v>
      </c>
      <c r="K1701">
        <v>11</v>
      </c>
      <c r="L1701" s="1" t="s">
        <v>30</v>
      </c>
    </row>
    <row r="1702" spans="1:12" x14ac:dyDescent="0.3">
      <c r="A1702" s="1" t="s">
        <v>2686</v>
      </c>
      <c r="B1702" s="2">
        <v>45917</v>
      </c>
      <c r="C1702" s="2">
        <v>45990</v>
      </c>
      <c r="D1702" s="1" t="s">
        <v>13</v>
      </c>
      <c r="E1702" s="1" t="s">
        <v>24</v>
      </c>
      <c r="F1702" s="1" t="s">
        <v>15</v>
      </c>
      <c r="G1702" s="1" t="s">
        <v>16</v>
      </c>
      <c r="H1702" s="1" t="s">
        <v>17</v>
      </c>
      <c r="I1702" s="1" t="s">
        <v>26</v>
      </c>
      <c r="J1702">
        <v>45</v>
      </c>
      <c r="K1702">
        <v>73</v>
      </c>
      <c r="L1702" s="1" t="s">
        <v>80</v>
      </c>
    </row>
    <row r="1703" spans="1:12" x14ac:dyDescent="0.3">
      <c r="A1703" s="1" t="s">
        <v>114</v>
      </c>
      <c r="B1703" s="2">
        <v>45916</v>
      </c>
      <c r="C1703" s="2">
        <v>45953</v>
      </c>
      <c r="D1703" s="1" t="s">
        <v>13</v>
      </c>
      <c r="E1703" s="1" t="s">
        <v>14</v>
      </c>
      <c r="F1703" s="1" t="s">
        <v>15</v>
      </c>
      <c r="G1703" s="1" t="s">
        <v>16</v>
      </c>
      <c r="H1703" s="1" t="s">
        <v>47</v>
      </c>
      <c r="I1703" s="1" t="s">
        <v>26</v>
      </c>
      <c r="J1703">
        <v>15</v>
      </c>
      <c r="K1703">
        <v>37</v>
      </c>
      <c r="L1703" s="1" t="s">
        <v>21</v>
      </c>
    </row>
    <row r="1704" spans="1:12" x14ac:dyDescent="0.3">
      <c r="A1704" s="1" t="s">
        <v>217</v>
      </c>
      <c r="B1704" s="2">
        <v>45916</v>
      </c>
      <c r="C1704" s="2">
        <v>45967</v>
      </c>
      <c r="D1704" s="1" t="s">
        <v>23</v>
      </c>
      <c r="E1704" s="1" t="s">
        <v>14</v>
      </c>
      <c r="F1704" s="1" t="s">
        <v>15</v>
      </c>
      <c r="G1704" s="1" t="s">
        <v>16</v>
      </c>
      <c r="H1704" s="1" t="s">
        <v>25</v>
      </c>
      <c r="I1704" s="1" t="s">
        <v>26</v>
      </c>
      <c r="J1704">
        <v>30</v>
      </c>
      <c r="K1704">
        <v>51</v>
      </c>
      <c r="L1704" s="1" t="s">
        <v>44</v>
      </c>
    </row>
    <row r="1705" spans="1:12" x14ac:dyDescent="0.3">
      <c r="A1705" s="1" t="s">
        <v>272</v>
      </c>
      <c r="B1705" s="2">
        <v>45916</v>
      </c>
      <c r="C1705" s="2">
        <v>45921</v>
      </c>
      <c r="D1705" s="1" t="s">
        <v>28</v>
      </c>
      <c r="E1705" s="1" t="s">
        <v>24</v>
      </c>
      <c r="F1705" s="1" t="s">
        <v>38</v>
      </c>
      <c r="G1705" s="1" t="s">
        <v>16</v>
      </c>
      <c r="H1705" s="1" t="s">
        <v>29</v>
      </c>
      <c r="I1705" s="1" t="s">
        <v>26</v>
      </c>
      <c r="J1705">
        <v>30</v>
      </c>
      <c r="K1705">
        <v>5</v>
      </c>
      <c r="L1705" s="1" t="s">
        <v>30</v>
      </c>
    </row>
    <row r="1706" spans="1:12" x14ac:dyDescent="0.3">
      <c r="A1706" s="1" t="s">
        <v>527</v>
      </c>
      <c r="B1706" s="2">
        <v>45916</v>
      </c>
      <c r="C1706" s="2">
        <v>45926</v>
      </c>
      <c r="D1706" s="1" t="s">
        <v>23</v>
      </c>
      <c r="E1706" s="1" t="s">
        <v>14</v>
      </c>
      <c r="F1706" s="1" t="s">
        <v>15</v>
      </c>
      <c r="G1706" s="1" t="s">
        <v>16</v>
      </c>
      <c r="H1706" s="1" t="s">
        <v>25</v>
      </c>
      <c r="I1706" s="1" t="s">
        <v>18</v>
      </c>
      <c r="J1706">
        <v>15</v>
      </c>
      <c r="K1706">
        <v>10</v>
      </c>
      <c r="L1706" s="1" t="s">
        <v>30</v>
      </c>
    </row>
    <row r="1707" spans="1:12" x14ac:dyDescent="0.3">
      <c r="A1707" s="1" t="s">
        <v>654</v>
      </c>
      <c r="B1707" s="2">
        <v>45916</v>
      </c>
      <c r="C1707" s="2">
        <v>45931</v>
      </c>
      <c r="D1707" s="1" t="s">
        <v>32</v>
      </c>
      <c r="E1707" s="1" t="s">
        <v>14</v>
      </c>
      <c r="F1707" s="1" t="s">
        <v>15</v>
      </c>
      <c r="G1707" s="1" t="s">
        <v>16</v>
      </c>
      <c r="H1707" s="1" t="s">
        <v>71</v>
      </c>
      <c r="I1707" s="1" t="s">
        <v>26</v>
      </c>
      <c r="J1707">
        <v>15</v>
      </c>
      <c r="K1707">
        <v>15</v>
      </c>
      <c r="L1707" s="1" t="s">
        <v>19</v>
      </c>
    </row>
    <row r="1708" spans="1:12" x14ac:dyDescent="0.3">
      <c r="A1708" s="1" t="s">
        <v>981</v>
      </c>
      <c r="B1708" s="2">
        <v>45916</v>
      </c>
      <c r="C1708" s="2">
        <v>45941</v>
      </c>
      <c r="D1708" s="1" t="s">
        <v>13</v>
      </c>
      <c r="E1708" s="1" t="s">
        <v>14</v>
      </c>
      <c r="F1708" s="1" t="s">
        <v>15</v>
      </c>
      <c r="G1708" s="1" t="s">
        <v>16</v>
      </c>
      <c r="H1708" s="1" t="s">
        <v>17</v>
      </c>
      <c r="I1708" s="1" t="s">
        <v>41</v>
      </c>
      <c r="J1708">
        <v>15</v>
      </c>
      <c r="K1708">
        <v>25</v>
      </c>
      <c r="L1708" s="1" t="s">
        <v>19</v>
      </c>
    </row>
    <row r="1709" spans="1:12" x14ac:dyDescent="0.3">
      <c r="A1709" s="1" t="s">
        <v>2758</v>
      </c>
      <c r="B1709" s="2">
        <v>45916</v>
      </c>
      <c r="C1709" s="2">
        <v>45944</v>
      </c>
      <c r="D1709" s="1" t="s">
        <v>37</v>
      </c>
      <c r="E1709" s="1" t="s">
        <v>14</v>
      </c>
      <c r="F1709" s="1" t="s">
        <v>15</v>
      </c>
      <c r="G1709" s="1" t="s">
        <v>16</v>
      </c>
      <c r="H1709" s="1" t="s">
        <v>49</v>
      </c>
      <c r="I1709" s="1" t="s">
        <v>26</v>
      </c>
      <c r="J1709">
        <v>15</v>
      </c>
      <c r="K1709">
        <v>28</v>
      </c>
      <c r="L1709" s="1" t="s">
        <v>19</v>
      </c>
    </row>
    <row r="1710" spans="1:12" x14ac:dyDescent="0.3">
      <c r="A1710" s="1" t="s">
        <v>2451</v>
      </c>
      <c r="B1710" s="2">
        <v>45916</v>
      </c>
      <c r="C1710" s="2">
        <v>45939</v>
      </c>
      <c r="D1710" s="1" t="s">
        <v>37</v>
      </c>
      <c r="E1710" s="1" t="s">
        <v>24</v>
      </c>
      <c r="F1710" s="1" t="s">
        <v>15</v>
      </c>
      <c r="G1710" s="1" t="s">
        <v>16</v>
      </c>
      <c r="H1710" s="1" t="s">
        <v>39</v>
      </c>
      <c r="I1710" s="1" t="s">
        <v>18</v>
      </c>
      <c r="J1710">
        <v>30</v>
      </c>
      <c r="K1710">
        <v>23</v>
      </c>
      <c r="L1710" s="1" t="s">
        <v>19</v>
      </c>
    </row>
    <row r="1711" spans="1:12" x14ac:dyDescent="0.3">
      <c r="A1711" s="1" t="s">
        <v>2507</v>
      </c>
      <c r="B1711" s="2">
        <v>45916</v>
      </c>
      <c r="C1711" s="2">
        <v>45935</v>
      </c>
      <c r="D1711" s="1" t="s">
        <v>37</v>
      </c>
      <c r="E1711" s="1" t="s">
        <v>24</v>
      </c>
      <c r="F1711" s="1" t="s">
        <v>15</v>
      </c>
      <c r="G1711" s="1" t="s">
        <v>16</v>
      </c>
      <c r="H1711" s="1" t="s">
        <v>39</v>
      </c>
      <c r="I1711" s="1" t="s">
        <v>26</v>
      </c>
      <c r="J1711">
        <v>30</v>
      </c>
      <c r="K1711">
        <v>19</v>
      </c>
      <c r="L1711" s="1" t="s">
        <v>19</v>
      </c>
    </row>
    <row r="1712" spans="1:12" x14ac:dyDescent="0.3">
      <c r="A1712" s="1" t="s">
        <v>2231</v>
      </c>
      <c r="B1712" s="2">
        <v>45916</v>
      </c>
      <c r="C1712" s="2">
        <v>45937</v>
      </c>
      <c r="D1712" s="1" t="s">
        <v>32</v>
      </c>
      <c r="E1712" s="1" t="s">
        <v>14</v>
      </c>
      <c r="F1712" s="1" t="s">
        <v>15</v>
      </c>
      <c r="G1712" s="1" t="s">
        <v>16</v>
      </c>
      <c r="H1712" s="1" t="s">
        <v>34</v>
      </c>
      <c r="I1712" s="1" t="s">
        <v>18</v>
      </c>
      <c r="J1712">
        <v>15</v>
      </c>
      <c r="K1712">
        <v>21</v>
      </c>
      <c r="L1712" s="1" t="s">
        <v>19</v>
      </c>
    </row>
    <row r="1713" spans="1:12" x14ac:dyDescent="0.3">
      <c r="A1713" s="1" t="s">
        <v>2624</v>
      </c>
      <c r="B1713" s="2">
        <v>45916</v>
      </c>
      <c r="C1713" s="2">
        <v>46013</v>
      </c>
      <c r="D1713" s="1" t="s">
        <v>32</v>
      </c>
      <c r="E1713" s="1" t="s">
        <v>14</v>
      </c>
      <c r="F1713" s="1" t="s">
        <v>38</v>
      </c>
      <c r="G1713" s="1" t="s">
        <v>16</v>
      </c>
      <c r="H1713" s="1" t="s">
        <v>71</v>
      </c>
      <c r="I1713" s="1" t="s">
        <v>41</v>
      </c>
      <c r="J1713">
        <v>15</v>
      </c>
      <c r="K1713">
        <v>97</v>
      </c>
      <c r="L1713" s="1" t="s">
        <v>80</v>
      </c>
    </row>
    <row r="1714" spans="1:12" x14ac:dyDescent="0.3">
      <c r="A1714" s="1" t="s">
        <v>2772</v>
      </c>
      <c r="B1714" s="2">
        <v>45916</v>
      </c>
      <c r="C1714" s="2">
        <v>45958</v>
      </c>
      <c r="D1714" s="1" t="s">
        <v>23</v>
      </c>
      <c r="E1714" s="1" t="s">
        <v>24</v>
      </c>
      <c r="F1714" s="1" t="s">
        <v>38</v>
      </c>
      <c r="G1714" s="1" t="s">
        <v>16</v>
      </c>
      <c r="H1714" s="1" t="s">
        <v>43</v>
      </c>
      <c r="I1714" s="1" t="s">
        <v>41</v>
      </c>
      <c r="J1714">
        <v>45</v>
      </c>
      <c r="K1714">
        <v>42</v>
      </c>
      <c r="L1714" s="1" t="s">
        <v>21</v>
      </c>
    </row>
    <row r="1715" spans="1:12" x14ac:dyDescent="0.3">
      <c r="A1715" s="1" t="s">
        <v>689</v>
      </c>
      <c r="B1715" s="2">
        <v>45915</v>
      </c>
      <c r="C1715" s="2">
        <v>45941</v>
      </c>
      <c r="D1715" s="1" t="s">
        <v>13</v>
      </c>
      <c r="E1715" s="1" t="s">
        <v>14</v>
      </c>
      <c r="F1715" s="1" t="s">
        <v>15</v>
      </c>
      <c r="G1715" s="1" t="s">
        <v>16</v>
      </c>
      <c r="H1715" s="1" t="s">
        <v>47</v>
      </c>
      <c r="I1715" s="1" t="s">
        <v>26</v>
      </c>
      <c r="J1715">
        <v>30</v>
      </c>
      <c r="K1715">
        <v>26</v>
      </c>
      <c r="L1715" s="1" t="s">
        <v>19</v>
      </c>
    </row>
    <row r="1716" spans="1:12" x14ac:dyDescent="0.3">
      <c r="A1716" s="1" t="s">
        <v>947</v>
      </c>
      <c r="B1716" s="2">
        <v>45915</v>
      </c>
      <c r="C1716" s="2">
        <v>45937</v>
      </c>
      <c r="D1716" s="1" t="s">
        <v>28</v>
      </c>
      <c r="E1716" s="1" t="s">
        <v>14</v>
      </c>
      <c r="F1716" s="1" t="s">
        <v>38</v>
      </c>
      <c r="G1716" s="1" t="s">
        <v>53</v>
      </c>
      <c r="H1716" s="1" t="s">
        <v>54</v>
      </c>
      <c r="I1716" s="1" t="s">
        <v>41</v>
      </c>
      <c r="J1716">
        <v>15</v>
      </c>
      <c r="K1716">
        <v>22</v>
      </c>
      <c r="L1716" s="1" t="s">
        <v>19</v>
      </c>
    </row>
    <row r="1717" spans="1:12" x14ac:dyDescent="0.3">
      <c r="A1717" s="1" t="s">
        <v>1255</v>
      </c>
      <c r="B1717" s="2">
        <v>45915</v>
      </c>
      <c r="C1717" s="2">
        <v>45945</v>
      </c>
      <c r="D1717" s="1" t="s">
        <v>23</v>
      </c>
      <c r="E1717" s="1" t="s">
        <v>24</v>
      </c>
      <c r="F1717" s="1" t="s">
        <v>15</v>
      </c>
      <c r="G1717" s="1" t="s">
        <v>16</v>
      </c>
      <c r="H1717" s="1" t="s">
        <v>43</v>
      </c>
      <c r="I1717" s="1" t="s">
        <v>26</v>
      </c>
      <c r="J1717">
        <v>30</v>
      </c>
      <c r="K1717">
        <v>30</v>
      </c>
      <c r="L1717" s="1" t="s">
        <v>21</v>
      </c>
    </row>
    <row r="1718" spans="1:12" x14ac:dyDescent="0.3">
      <c r="A1718" s="1" t="s">
        <v>1562</v>
      </c>
      <c r="B1718" s="2">
        <v>45915</v>
      </c>
      <c r="C1718" s="2">
        <v>45968</v>
      </c>
      <c r="D1718" s="1" t="s">
        <v>23</v>
      </c>
      <c r="E1718" s="1" t="s">
        <v>24</v>
      </c>
      <c r="F1718" s="1" t="s">
        <v>15</v>
      </c>
      <c r="G1718" s="1" t="s">
        <v>16</v>
      </c>
      <c r="H1718" s="1" t="s">
        <v>43</v>
      </c>
      <c r="I1718" s="1" t="s">
        <v>26</v>
      </c>
      <c r="J1718">
        <v>45</v>
      </c>
      <c r="K1718">
        <v>53</v>
      </c>
      <c r="L1718" s="1" t="s">
        <v>44</v>
      </c>
    </row>
    <row r="1719" spans="1:12" x14ac:dyDescent="0.3">
      <c r="A1719" s="1" t="s">
        <v>155</v>
      </c>
      <c r="B1719" s="2">
        <v>45915</v>
      </c>
      <c r="C1719" s="2">
        <v>45958</v>
      </c>
      <c r="D1719" s="1" t="s">
        <v>37</v>
      </c>
      <c r="E1719" s="1" t="s">
        <v>14</v>
      </c>
      <c r="F1719" s="1" t="s">
        <v>15</v>
      </c>
      <c r="G1719" s="1" t="s">
        <v>53</v>
      </c>
      <c r="H1719" s="1" t="s">
        <v>49</v>
      </c>
      <c r="I1719" s="1" t="s">
        <v>26</v>
      </c>
      <c r="J1719">
        <v>30</v>
      </c>
      <c r="K1719">
        <v>43</v>
      </c>
      <c r="L1719" s="1" t="s">
        <v>44</v>
      </c>
    </row>
    <row r="1720" spans="1:12" x14ac:dyDescent="0.3">
      <c r="A1720" s="1" t="s">
        <v>376</v>
      </c>
      <c r="B1720" s="2">
        <v>45915</v>
      </c>
      <c r="C1720" s="2">
        <v>45945</v>
      </c>
      <c r="D1720" s="1" t="s">
        <v>37</v>
      </c>
      <c r="E1720" s="1" t="s">
        <v>14</v>
      </c>
      <c r="F1720" s="1" t="s">
        <v>15</v>
      </c>
      <c r="G1720" s="1" t="s">
        <v>33</v>
      </c>
      <c r="H1720" s="1" t="s">
        <v>49</v>
      </c>
      <c r="I1720" s="1" t="s">
        <v>26</v>
      </c>
      <c r="J1720">
        <v>30</v>
      </c>
      <c r="K1720">
        <v>30</v>
      </c>
      <c r="L1720" s="1" t="s">
        <v>21</v>
      </c>
    </row>
    <row r="1721" spans="1:12" x14ac:dyDescent="0.3">
      <c r="A1721" s="1" t="s">
        <v>2062</v>
      </c>
      <c r="B1721" s="2">
        <v>45915</v>
      </c>
      <c r="C1721" s="2">
        <v>45925</v>
      </c>
      <c r="D1721" s="1" t="s">
        <v>23</v>
      </c>
      <c r="E1721" s="1" t="s">
        <v>14</v>
      </c>
      <c r="F1721" s="1" t="s">
        <v>15</v>
      </c>
      <c r="G1721" s="1" t="s">
        <v>33</v>
      </c>
      <c r="H1721" s="1" t="s">
        <v>43</v>
      </c>
      <c r="I1721" s="1" t="s">
        <v>26</v>
      </c>
      <c r="J1721">
        <v>15</v>
      </c>
      <c r="K1721">
        <v>10</v>
      </c>
      <c r="L1721" s="1" t="s">
        <v>30</v>
      </c>
    </row>
    <row r="1722" spans="1:12" x14ac:dyDescent="0.3">
      <c r="A1722" s="1" t="s">
        <v>2316</v>
      </c>
      <c r="B1722" s="2">
        <v>45915</v>
      </c>
      <c r="C1722" s="2">
        <v>45936</v>
      </c>
      <c r="D1722" s="1" t="s">
        <v>32</v>
      </c>
      <c r="E1722" s="1" t="s">
        <v>14</v>
      </c>
      <c r="F1722" s="1" t="s">
        <v>15</v>
      </c>
      <c r="G1722" s="1" t="s">
        <v>16</v>
      </c>
      <c r="H1722" s="1" t="s">
        <v>71</v>
      </c>
      <c r="I1722" s="1" t="s">
        <v>18</v>
      </c>
      <c r="J1722">
        <v>15</v>
      </c>
      <c r="K1722">
        <v>21</v>
      </c>
      <c r="L1722" s="1" t="s">
        <v>19</v>
      </c>
    </row>
    <row r="1723" spans="1:12" x14ac:dyDescent="0.3">
      <c r="A1723" s="1" t="s">
        <v>2549</v>
      </c>
      <c r="B1723" s="2">
        <v>45915</v>
      </c>
      <c r="C1723" s="2">
        <v>45935</v>
      </c>
      <c r="D1723" s="1" t="s">
        <v>23</v>
      </c>
      <c r="E1723" s="1" t="s">
        <v>14</v>
      </c>
      <c r="F1723" s="1" t="s">
        <v>38</v>
      </c>
      <c r="G1723" s="1" t="s">
        <v>16</v>
      </c>
      <c r="H1723" s="1" t="s">
        <v>25</v>
      </c>
      <c r="I1723" s="1" t="s">
        <v>41</v>
      </c>
      <c r="J1723">
        <v>15</v>
      </c>
      <c r="K1723">
        <v>20</v>
      </c>
      <c r="L1723" s="1" t="s">
        <v>19</v>
      </c>
    </row>
    <row r="1724" spans="1:12" x14ac:dyDescent="0.3">
      <c r="A1724" s="1" t="s">
        <v>3058</v>
      </c>
      <c r="B1724" s="2">
        <v>45915</v>
      </c>
      <c r="C1724" s="2">
        <v>45956</v>
      </c>
      <c r="D1724" s="1" t="s">
        <v>23</v>
      </c>
      <c r="E1724" s="1" t="s">
        <v>24</v>
      </c>
      <c r="F1724" s="1" t="s">
        <v>38</v>
      </c>
      <c r="G1724" s="1" t="s">
        <v>16</v>
      </c>
      <c r="H1724" s="1" t="s">
        <v>43</v>
      </c>
      <c r="I1724" s="1" t="s">
        <v>26</v>
      </c>
      <c r="J1724">
        <v>30</v>
      </c>
      <c r="K1724">
        <v>41</v>
      </c>
      <c r="L1724" s="1" t="s">
        <v>21</v>
      </c>
    </row>
    <row r="1725" spans="1:12" x14ac:dyDescent="0.3">
      <c r="A1725" s="1" t="s">
        <v>3174</v>
      </c>
      <c r="B1725" s="2">
        <v>45915</v>
      </c>
      <c r="C1725" s="2">
        <v>45955</v>
      </c>
      <c r="D1725" s="1" t="s">
        <v>28</v>
      </c>
      <c r="E1725" s="1" t="s">
        <v>24</v>
      </c>
      <c r="F1725" s="1" t="s">
        <v>15</v>
      </c>
      <c r="G1725" s="1" t="s">
        <v>16</v>
      </c>
      <c r="H1725" s="1" t="s">
        <v>29</v>
      </c>
      <c r="I1725" s="1" t="s">
        <v>26</v>
      </c>
      <c r="J1725">
        <v>30</v>
      </c>
      <c r="K1725">
        <v>40</v>
      </c>
      <c r="L1725" s="1" t="s">
        <v>21</v>
      </c>
    </row>
    <row r="1726" spans="1:12" x14ac:dyDescent="0.3">
      <c r="A1726" s="1" t="s">
        <v>246</v>
      </c>
      <c r="B1726" s="2">
        <v>45914</v>
      </c>
      <c r="C1726" s="2">
        <v>45930</v>
      </c>
      <c r="D1726" s="1" t="s">
        <v>28</v>
      </c>
      <c r="E1726" s="1" t="s">
        <v>24</v>
      </c>
      <c r="F1726" s="1" t="s">
        <v>15</v>
      </c>
      <c r="G1726" s="1" t="s">
        <v>53</v>
      </c>
      <c r="H1726" s="1" t="s">
        <v>29</v>
      </c>
      <c r="I1726" s="1" t="s">
        <v>41</v>
      </c>
      <c r="J1726">
        <v>30</v>
      </c>
      <c r="K1726">
        <v>16</v>
      </c>
      <c r="L1726" s="1" t="s">
        <v>19</v>
      </c>
    </row>
    <row r="1727" spans="1:12" x14ac:dyDescent="0.3">
      <c r="A1727" s="1" t="s">
        <v>958</v>
      </c>
      <c r="B1727" s="2">
        <v>45914</v>
      </c>
      <c r="C1727" s="2">
        <v>45949</v>
      </c>
      <c r="D1727" s="1" t="s">
        <v>23</v>
      </c>
      <c r="E1727" s="1" t="s">
        <v>24</v>
      </c>
      <c r="F1727" s="1" t="s">
        <v>15</v>
      </c>
      <c r="G1727" s="1" t="s">
        <v>16</v>
      </c>
      <c r="H1727" s="1" t="s">
        <v>25</v>
      </c>
      <c r="I1727" s="1" t="s">
        <v>18</v>
      </c>
      <c r="J1727">
        <v>30</v>
      </c>
      <c r="K1727">
        <v>35</v>
      </c>
      <c r="L1727" s="1" t="s">
        <v>21</v>
      </c>
    </row>
    <row r="1728" spans="1:12" x14ac:dyDescent="0.3">
      <c r="A1728" s="1" t="s">
        <v>1597</v>
      </c>
      <c r="B1728" s="2">
        <v>45914</v>
      </c>
      <c r="C1728" s="2">
        <v>45954</v>
      </c>
      <c r="D1728" s="1" t="s">
        <v>23</v>
      </c>
      <c r="E1728" s="1" t="s">
        <v>24</v>
      </c>
      <c r="F1728" s="1" t="s">
        <v>15</v>
      </c>
      <c r="G1728" s="1" t="s">
        <v>16</v>
      </c>
      <c r="H1728" s="1" t="s">
        <v>43</v>
      </c>
      <c r="I1728" s="1" t="s">
        <v>26</v>
      </c>
      <c r="J1728">
        <v>45</v>
      </c>
      <c r="K1728">
        <v>40</v>
      </c>
      <c r="L1728" s="1" t="s">
        <v>21</v>
      </c>
    </row>
    <row r="1729" spans="1:12" x14ac:dyDescent="0.3">
      <c r="A1729" s="1" t="s">
        <v>840</v>
      </c>
      <c r="B1729" s="2">
        <v>45914</v>
      </c>
      <c r="C1729" s="2">
        <v>45954</v>
      </c>
      <c r="D1729" s="1" t="s">
        <v>37</v>
      </c>
      <c r="E1729" s="1" t="s">
        <v>24</v>
      </c>
      <c r="F1729" s="1" t="s">
        <v>38</v>
      </c>
      <c r="G1729" s="1" t="s">
        <v>53</v>
      </c>
      <c r="H1729" s="1" t="s">
        <v>39</v>
      </c>
      <c r="I1729" s="1" t="s">
        <v>41</v>
      </c>
      <c r="J1729">
        <v>30</v>
      </c>
      <c r="K1729">
        <v>40</v>
      </c>
      <c r="L1729" s="1" t="s">
        <v>21</v>
      </c>
    </row>
    <row r="1730" spans="1:12" x14ac:dyDescent="0.3">
      <c r="A1730" s="1" t="s">
        <v>913</v>
      </c>
      <c r="B1730" s="2">
        <v>45914</v>
      </c>
      <c r="C1730" s="2">
        <v>45921</v>
      </c>
      <c r="D1730" s="1" t="s">
        <v>37</v>
      </c>
      <c r="E1730" s="1" t="s">
        <v>14</v>
      </c>
      <c r="F1730" s="1" t="s">
        <v>15</v>
      </c>
      <c r="G1730" s="1" t="s">
        <v>16</v>
      </c>
      <c r="H1730" s="1" t="s">
        <v>49</v>
      </c>
      <c r="I1730" s="1" t="s">
        <v>26</v>
      </c>
      <c r="J1730">
        <v>15</v>
      </c>
      <c r="K1730">
        <v>7</v>
      </c>
      <c r="L1730" s="1" t="s">
        <v>30</v>
      </c>
    </row>
    <row r="1731" spans="1:12" x14ac:dyDescent="0.3">
      <c r="A1731" s="1" t="s">
        <v>2046</v>
      </c>
      <c r="B1731" s="2">
        <v>45914</v>
      </c>
      <c r="C1731" s="2">
        <v>45945</v>
      </c>
      <c r="D1731" s="1" t="s">
        <v>32</v>
      </c>
      <c r="E1731" s="1" t="s">
        <v>24</v>
      </c>
      <c r="F1731" s="1" t="s">
        <v>15</v>
      </c>
      <c r="G1731" s="1" t="s">
        <v>33</v>
      </c>
      <c r="H1731" s="1" t="s">
        <v>71</v>
      </c>
      <c r="I1731" s="1" t="s">
        <v>26</v>
      </c>
      <c r="J1731">
        <v>30</v>
      </c>
      <c r="K1731">
        <v>31</v>
      </c>
      <c r="L1731" s="1" t="s">
        <v>21</v>
      </c>
    </row>
    <row r="1732" spans="1:12" x14ac:dyDescent="0.3">
      <c r="A1732" s="1" t="s">
        <v>2222</v>
      </c>
      <c r="B1732" s="2">
        <v>45914</v>
      </c>
      <c r="C1732" s="2">
        <v>45940</v>
      </c>
      <c r="D1732" s="1" t="s">
        <v>23</v>
      </c>
      <c r="E1732" s="1" t="s">
        <v>24</v>
      </c>
      <c r="F1732" s="1" t="s">
        <v>15</v>
      </c>
      <c r="G1732" s="1" t="s">
        <v>16</v>
      </c>
      <c r="H1732" s="1" t="s">
        <v>43</v>
      </c>
      <c r="I1732" s="1" t="s">
        <v>41</v>
      </c>
      <c r="J1732">
        <v>45</v>
      </c>
      <c r="K1732">
        <v>26</v>
      </c>
      <c r="L1732" s="1" t="s">
        <v>19</v>
      </c>
    </row>
    <row r="1733" spans="1:12" x14ac:dyDescent="0.3">
      <c r="A1733" s="1" t="s">
        <v>2887</v>
      </c>
      <c r="B1733" s="2">
        <v>45914</v>
      </c>
      <c r="C1733" s="2">
        <v>45947</v>
      </c>
      <c r="D1733" s="1" t="s">
        <v>23</v>
      </c>
      <c r="E1733" s="1" t="s">
        <v>14</v>
      </c>
      <c r="F1733" s="1" t="s">
        <v>15</v>
      </c>
      <c r="G1733" s="1" t="s">
        <v>53</v>
      </c>
      <c r="H1733" s="1" t="s">
        <v>25</v>
      </c>
      <c r="I1733" s="1" t="s">
        <v>41</v>
      </c>
      <c r="J1733">
        <v>15</v>
      </c>
      <c r="K1733">
        <v>33</v>
      </c>
      <c r="L1733" s="1" t="s">
        <v>21</v>
      </c>
    </row>
    <row r="1734" spans="1:12" x14ac:dyDescent="0.3">
      <c r="A1734" s="1" t="s">
        <v>2888</v>
      </c>
      <c r="B1734" s="2">
        <v>45914</v>
      </c>
      <c r="C1734" s="2">
        <v>45971</v>
      </c>
      <c r="D1734" s="1" t="s">
        <v>13</v>
      </c>
      <c r="E1734" s="1" t="s">
        <v>24</v>
      </c>
      <c r="F1734" s="1" t="s">
        <v>15</v>
      </c>
      <c r="G1734" s="1" t="s">
        <v>16</v>
      </c>
      <c r="H1734" s="1" t="s">
        <v>47</v>
      </c>
      <c r="I1734" s="1" t="s">
        <v>26</v>
      </c>
      <c r="J1734">
        <v>30</v>
      </c>
      <c r="K1734">
        <v>57</v>
      </c>
      <c r="L1734" s="1" t="s">
        <v>80</v>
      </c>
    </row>
    <row r="1735" spans="1:12" x14ac:dyDescent="0.3">
      <c r="A1735" s="1" t="s">
        <v>3033</v>
      </c>
      <c r="B1735" s="2">
        <v>45914</v>
      </c>
      <c r="C1735" s="2">
        <v>45966</v>
      </c>
      <c r="D1735" s="1" t="s">
        <v>28</v>
      </c>
      <c r="E1735" s="1" t="s">
        <v>24</v>
      </c>
      <c r="F1735" s="1" t="s">
        <v>15</v>
      </c>
      <c r="G1735" s="1" t="s">
        <v>16</v>
      </c>
      <c r="H1735" s="1" t="s">
        <v>29</v>
      </c>
      <c r="I1735" s="1" t="s">
        <v>26</v>
      </c>
      <c r="J1735">
        <v>30</v>
      </c>
      <c r="K1735">
        <v>52</v>
      </c>
      <c r="L1735" s="1" t="s">
        <v>44</v>
      </c>
    </row>
    <row r="1736" spans="1:12" x14ac:dyDescent="0.3">
      <c r="A1736" s="1" t="s">
        <v>548</v>
      </c>
      <c r="B1736" s="2">
        <v>45913</v>
      </c>
      <c r="C1736" s="2">
        <v>45944</v>
      </c>
      <c r="D1736" s="1" t="s">
        <v>23</v>
      </c>
      <c r="E1736" s="1" t="s">
        <v>24</v>
      </c>
      <c r="F1736" s="1" t="s">
        <v>15</v>
      </c>
      <c r="G1736" s="1" t="s">
        <v>16</v>
      </c>
      <c r="H1736" s="1" t="s">
        <v>25</v>
      </c>
      <c r="I1736" s="1" t="s">
        <v>26</v>
      </c>
      <c r="J1736">
        <v>30</v>
      </c>
      <c r="K1736">
        <v>31</v>
      </c>
      <c r="L1736" s="1" t="s">
        <v>21</v>
      </c>
    </row>
    <row r="1737" spans="1:12" x14ac:dyDescent="0.3">
      <c r="A1737" s="1" t="s">
        <v>579</v>
      </c>
      <c r="B1737" s="2">
        <v>45913</v>
      </c>
      <c r="C1737" s="2">
        <v>45963</v>
      </c>
      <c r="D1737" s="1" t="s">
        <v>32</v>
      </c>
      <c r="E1737" s="1" t="s">
        <v>24</v>
      </c>
      <c r="F1737" s="1" t="s">
        <v>15</v>
      </c>
      <c r="G1737" s="1" t="s">
        <v>16</v>
      </c>
      <c r="H1737" s="1" t="s">
        <v>34</v>
      </c>
      <c r="I1737" s="1" t="s">
        <v>18</v>
      </c>
      <c r="J1737">
        <v>30</v>
      </c>
      <c r="K1737">
        <v>50</v>
      </c>
      <c r="L1737" s="1" t="s">
        <v>44</v>
      </c>
    </row>
    <row r="1738" spans="1:12" x14ac:dyDescent="0.3">
      <c r="A1738" s="1" t="s">
        <v>1500</v>
      </c>
      <c r="B1738" s="2">
        <v>45913</v>
      </c>
      <c r="C1738" s="2">
        <v>45967</v>
      </c>
      <c r="D1738" s="1" t="s">
        <v>13</v>
      </c>
      <c r="E1738" s="1" t="s">
        <v>24</v>
      </c>
      <c r="F1738" s="1" t="s">
        <v>38</v>
      </c>
      <c r="G1738" s="1" t="s">
        <v>16</v>
      </c>
      <c r="H1738" s="1" t="s">
        <v>47</v>
      </c>
      <c r="I1738" s="1" t="s">
        <v>18</v>
      </c>
      <c r="J1738">
        <v>30</v>
      </c>
      <c r="K1738">
        <v>54</v>
      </c>
      <c r="L1738" s="1" t="s">
        <v>44</v>
      </c>
    </row>
    <row r="1739" spans="1:12" x14ac:dyDescent="0.3">
      <c r="A1739" s="1" t="s">
        <v>1785</v>
      </c>
      <c r="B1739" s="2">
        <v>45913</v>
      </c>
      <c r="C1739" s="2">
        <v>45964</v>
      </c>
      <c r="D1739" s="1" t="s">
        <v>37</v>
      </c>
      <c r="E1739" s="1" t="s">
        <v>14</v>
      </c>
      <c r="F1739" s="1" t="s">
        <v>38</v>
      </c>
      <c r="G1739" s="1" t="s">
        <v>16</v>
      </c>
      <c r="H1739" s="1" t="s">
        <v>39</v>
      </c>
      <c r="I1739" s="1" t="s">
        <v>18</v>
      </c>
      <c r="J1739">
        <v>15</v>
      </c>
      <c r="K1739">
        <v>51</v>
      </c>
      <c r="L1739" s="1" t="s">
        <v>44</v>
      </c>
    </row>
    <row r="1740" spans="1:12" x14ac:dyDescent="0.3">
      <c r="A1740" s="1" t="s">
        <v>834</v>
      </c>
      <c r="B1740" s="2">
        <v>45913</v>
      </c>
      <c r="C1740" s="2">
        <v>45959</v>
      </c>
      <c r="D1740" s="1" t="s">
        <v>37</v>
      </c>
      <c r="E1740" s="1" t="s">
        <v>14</v>
      </c>
      <c r="F1740" s="1" t="s">
        <v>15</v>
      </c>
      <c r="G1740" s="1" t="s">
        <v>16</v>
      </c>
      <c r="H1740" s="1" t="s">
        <v>39</v>
      </c>
      <c r="I1740" s="1" t="s">
        <v>26</v>
      </c>
      <c r="J1740">
        <v>15</v>
      </c>
      <c r="K1740">
        <v>46</v>
      </c>
      <c r="L1740" s="1" t="s">
        <v>44</v>
      </c>
    </row>
    <row r="1741" spans="1:12" x14ac:dyDescent="0.3">
      <c r="A1741" s="1" t="s">
        <v>1608</v>
      </c>
      <c r="B1741" s="2">
        <v>45913</v>
      </c>
      <c r="C1741" s="2">
        <v>45958</v>
      </c>
      <c r="D1741" s="1" t="s">
        <v>37</v>
      </c>
      <c r="E1741" s="1" t="s">
        <v>24</v>
      </c>
      <c r="F1741" s="1" t="s">
        <v>15</v>
      </c>
      <c r="G1741" s="1" t="s">
        <v>16</v>
      </c>
      <c r="H1741" s="1" t="s">
        <v>39</v>
      </c>
      <c r="I1741" s="1" t="s">
        <v>18</v>
      </c>
      <c r="J1741">
        <v>30</v>
      </c>
      <c r="K1741">
        <v>45</v>
      </c>
      <c r="L1741" s="1" t="s">
        <v>44</v>
      </c>
    </row>
    <row r="1742" spans="1:12" x14ac:dyDescent="0.3">
      <c r="A1742" s="1" t="s">
        <v>1895</v>
      </c>
      <c r="B1742" s="2">
        <v>45913</v>
      </c>
      <c r="C1742" s="2">
        <v>45950</v>
      </c>
      <c r="D1742" s="1" t="s">
        <v>37</v>
      </c>
      <c r="E1742" s="1" t="s">
        <v>24</v>
      </c>
      <c r="F1742" s="1" t="s">
        <v>15</v>
      </c>
      <c r="G1742" s="1" t="s">
        <v>16</v>
      </c>
      <c r="H1742" s="1" t="s">
        <v>39</v>
      </c>
      <c r="I1742" s="1" t="s">
        <v>41</v>
      </c>
      <c r="J1742">
        <v>30</v>
      </c>
      <c r="K1742">
        <v>37</v>
      </c>
      <c r="L1742" s="1" t="s">
        <v>21</v>
      </c>
    </row>
    <row r="1743" spans="1:12" x14ac:dyDescent="0.3">
      <c r="A1743" s="1" t="s">
        <v>263</v>
      </c>
      <c r="B1743" s="2">
        <v>45913</v>
      </c>
      <c r="C1743" s="2">
        <v>45949</v>
      </c>
      <c r="D1743" s="1" t="s">
        <v>37</v>
      </c>
      <c r="E1743" s="1" t="s">
        <v>24</v>
      </c>
      <c r="F1743" s="1" t="s">
        <v>15</v>
      </c>
      <c r="G1743" s="1" t="s">
        <v>16</v>
      </c>
      <c r="H1743" s="1" t="s">
        <v>49</v>
      </c>
      <c r="I1743" s="1" t="s">
        <v>41</v>
      </c>
      <c r="J1743">
        <v>45</v>
      </c>
      <c r="K1743">
        <v>36</v>
      </c>
      <c r="L1743" s="1" t="s">
        <v>21</v>
      </c>
    </row>
    <row r="1744" spans="1:12" x14ac:dyDescent="0.3">
      <c r="A1744" s="1" t="s">
        <v>2247</v>
      </c>
      <c r="B1744" s="2">
        <v>45913</v>
      </c>
      <c r="C1744" s="2">
        <v>45946</v>
      </c>
      <c r="D1744" s="1" t="s">
        <v>37</v>
      </c>
      <c r="E1744" s="1" t="s">
        <v>14</v>
      </c>
      <c r="F1744" s="1" t="s">
        <v>15</v>
      </c>
      <c r="G1744" s="1" t="s">
        <v>16</v>
      </c>
      <c r="H1744" s="1" t="s">
        <v>39</v>
      </c>
      <c r="I1744" s="1" t="s">
        <v>26</v>
      </c>
      <c r="J1744">
        <v>15</v>
      </c>
      <c r="K1744">
        <v>33</v>
      </c>
      <c r="L1744" s="1" t="s">
        <v>21</v>
      </c>
    </row>
    <row r="1745" spans="1:12" x14ac:dyDescent="0.3">
      <c r="A1745" s="1" t="s">
        <v>2433</v>
      </c>
      <c r="B1745" s="2">
        <v>45913</v>
      </c>
      <c r="C1745" s="2">
        <v>45934</v>
      </c>
      <c r="D1745" s="1" t="s">
        <v>37</v>
      </c>
      <c r="E1745" s="1" t="s">
        <v>14</v>
      </c>
      <c r="F1745" s="1" t="s">
        <v>15</v>
      </c>
      <c r="G1745" s="1" t="s">
        <v>16</v>
      </c>
      <c r="H1745" s="1" t="s">
        <v>49</v>
      </c>
      <c r="I1745" s="1" t="s">
        <v>26</v>
      </c>
      <c r="J1745">
        <v>15</v>
      </c>
      <c r="K1745">
        <v>21</v>
      </c>
      <c r="L1745" s="1" t="s">
        <v>19</v>
      </c>
    </row>
    <row r="1746" spans="1:12" x14ac:dyDescent="0.3">
      <c r="A1746" s="1" t="s">
        <v>2379</v>
      </c>
      <c r="B1746" s="2">
        <v>45913</v>
      </c>
      <c r="C1746" s="2">
        <v>45923</v>
      </c>
      <c r="D1746" s="1" t="s">
        <v>37</v>
      </c>
      <c r="E1746" s="1" t="s">
        <v>24</v>
      </c>
      <c r="F1746" s="1" t="s">
        <v>38</v>
      </c>
      <c r="G1746" s="1" t="s">
        <v>53</v>
      </c>
      <c r="H1746" s="1" t="s">
        <v>39</v>
      </c>
      <c r="I1746" s="1" t="s">
        <v>26</v>
      </c>
      <c r="J1746">
        <v>45</v>
      </c>
      <c r="K1746">
        <v>10</v>
      </c>
      <c r="L1746" s="1" t="s">
        <v>30</v>
      </c>
    </row>
    <row r="1747" spans="1:12" x14ac:dyDescent="0.3">
      <c r="A1747" s="1" t="s">
        <v>1845</v>
      </c>
      <c r="B1747" s="2">
        <v>45913</v>
      </c>
      <c r="C1747" s="2">
        <v>45951</v>
      </c>
      <c r="D1747" s="1" t="s">
        <v>32</v>
      </c>
      <c r="E1747" s="1" t="s">
        <v>24</v>
      </c>
      <c r="F1747" s="1" t="s">
        <v>15</v>
      </c>
      <c r="G1747" s="1" t="s">
        <v>53</v>
      </c>
      <c r="H1747" s="1" t="s">
        <v>34</v>
      </c>
      <c r="I1747" s="1" t="s">
        <v>26</v>
      </c>
      <c r="J1747">
        <v>30</v>
      </c>
      <c r="K1747">
        <v>38</v>
      </c>
      <c r="L1747" s="1" t="s">
        <v>21</v>
      </c>
    </row>
    <row r="1748" spans="1:12" x14ac:dyDescent="0.3">
      <c r="A1748" s="1" t="s">
        <v>1410</v>
      </c>
      <c r="B1748" s="2">
        <v>45912</v>
      </c>
      <c r="C1748" s="2">
        <v>45951</v>
      </c>
      <c r="D1748" s="1" t="s">
        <v>23</v>
      </c>
      <c r="E1748" s="1" t="s">
        <v>24</v>
      </c>
      <c r="F1748" s="1" t="s">
        <v>38</v>
      </c>
      <c r="G1748" s="1" t="s">
        <v>16</v>
      </c>
      <c r="H1748" s="1" t="s">
        <v>43</v>
      </c>
      <c r="I1748" s="1" t="s">
        <v>26</v>
      </c>
      <c r="J1748">
        <v>30</v>
      </c>
      <c r="K1748">
        <v>39</v>
      </c>
      <c r="L1748" s="1" t="s">
        <v>21</v>
      </c>
    </row>
    <row r="1749" spans="1:12" x14ac:dyDescent="0.3">
      <c r="A1749" s="1" t="s">
        <v>1961</v>
      </c>
      <c r="B1749" s="2">
        <v>45912</v>
      </c>
      <c r="C1749" s="2">
        <v>45967</v>
      </c>
      <c r="D1749" s="1" t="s">
        <v>37</v>
      </c>
      <c r="E1749" s="1" t="s">
        <v>24</v>
      </c>
      <c r="F1749" s="1" t="s">
        <v>38</v>
      </c>
      <c r="G1749" s="1" t="s">
        <v>16</v>
      </c>
      <c r="H1749" s="1" t="s">
        <v>39</v>
      </c>
      <c r="I1749" s="1" t="s">
        <v>26</v>
      </c>
      <c r="J1749">
        <v>30</v>
      </c>
      <c r="K1749">
        <v>55</v>
      </c>
      <c r="L1749" s="1" t="s">
        <v>44</v>
      </c>
    </row>
    <row r="1750" spans="1:12" x14ac:dyDescent="0.3">
      <c r="A1750" s="1" t="s">
        <v>875</v>
      </c>
      <c r="B1750" s="2">
        <v>45912</v>
      </c>
      <c r="C1750" s="2">
        <v>45917</v>
      </c>
      <c r="D1750" s="1" t="s">
        <v>37</v>
      </c>
      <c r="E1750" s="1" t="s">
        <v>24</v>
      </c>
      <c r="F1750" s="1" t="s">
        <v>15</v>
      </c>
      <c r="G1750" s="1" t="s">
        <v>16</v>
      </c>
      <c r="H1750" s="1" t="s">
        <v>39</v>
      </c>
      <c r="I1750" s="1" t="s">
        <v>41</v>
      </c>
      <c r="J1750">
        <v>30</v>
      </c>
      <c r="K1750">
        <v>5</v>
      </c>
      <c r="L1750" s="1" t="s">
        <v>30</v>
      </c>
    </row>
    <row r="1751" spans="1:12" x14ac:dyDescent="0.3">
      <c r="A1751" s="1" t="s">
        <v>2089</v>
      </c>
      <c r="B1751" s="2">
        <v>45912</v>
      </c>
      <c r="C1751" s="2">
        <v>45917</v>
      </c>
      <c r="D1751" s="1" t="s">
        <v>13</v>
      </c>
      <c r="E1751" s="1" t="s">
        <v>24</v>
      </c>
      <c r="F1751" s="1" t="s">
        <v>15</v>
      </c>
      <c r="G1751" s="1" t="s">
        <v>16</v>
      </c>
      <c r="H1751" s="1" t="s">
        <v>47</v>
      </c>
      <c r="I1751" s="1" t="s">
        <v>26</v>
      </c>
      <c r="J1751">
        <v>45</v>
      </c>
      <c r="K1751">
        <v>5</v>
      </c>
      <c r="L1751" s="1" t="s">
        <v>30</v>
      </c>
    </row>
    <row r="1752" spans="1:12" x14ac:dyDescent="0.3">
      <c r="A1752" s="1" t="s">
        <v>2259</v>
      </c>
      <c r="B1752" s="2">
        <v>45912</v>
      </c>
      <c r="C1752" s="2">
        <v>45930</v>
      </c>
      <c r="D1752" s="1" t="s">
        <v>32</v>
      </c>
      <c r="E1752" s="1" t="s">
        <v>24</v>
      </c>
      <c r="F1752" s="1" t="s">
        <v>15</v>
      </c>
      <c r="G1752" s="1" t="s">
        <v>33</v>
      </c>
      <c r="H1752" s="1" t="s">
        <v>34</v>
      </c>
      <c r="I1752" s="1" t="s">
        <v>26</v>
      </c>
      <c r="J1752">
        <v>30</v>
      </c>
      <c r="K1752">
        <v>18</v>
      </c>
      <c r="L1752" s="1" t="s">
        <v>19</v>
      </c>
    </row>
    <row r="1753" spans="1:12" x14ac:dyDescent="0.3">
      <c r="A1753" s="1" t="s">
        <v>2285</v>
      </c>
      <c r="B1753" s="2">
        <v>45912</v>
      </c>
      <c r="C1753" s="2">
        <v>45943</v>
      </c>
      <c r="D1753" s="1" t="s">
        <v>13</v>
      </c>
      <c r="E1753" s="1" t="s">
        <v>14</v>
      </c>
      <c r="F1753" s="1" t="s">
        <v>15</v>
      </c>
      <c r="G1753" s="1" t="s">
        <v>16</v>
      </c>
      <c r="H1753" s="1" t="s">
        <v>17</v>
      </c>
      <c r="I1753" s="1" t="s">
        <v>41</v>
      </c>
      <c r="J1753">
        <v>15</v>
      </c>
      <c r="K1753">
        <v>31</v>
      </c>
      <c r="L1753" s="1" t="s">
        <v>21</v>
      </c>
    </row>
    <row r="1754" spans="1:12" x14ac:dyDescent="0.3">
      <c r="A1754" s="1" t="s">
        <v>2620</v>
      </c>
      <c r="B1754" s="2">
        <v>45912</v>
      </c>
      <c r="C1754" s="2">
        <v>45950</v>
      </c>
      <c r="D1754" s="1" t="s">
        <v>28</v>
      </c>
      <c r="E1754" s="1" t="s">
        <v>24</v>
      </c>
      <c r="F1754" s="1" t="s">
        <v>15</v>
      </c>
      <c r="G1754" s="1" t="s">
        <v>16</v>
      </c>
      <c r="H1754" s="1" t="s">
        <v>29</v>
      </c>
      <c r="I1754" s="1" t="s">
        <v>41</v>
      </c>
      <c r="J1754">
        <v>45</v>
      </c>
      <c r="K1754">
        <v>38</v>
      </c>
      <c r="L1754" s="1" t="s">
        <v>21</v>
      </c>
    </row>
    <row r="1755" spans="1:12" x14ac:dyDescent="0.3">
      <c r="A1755" s="1" t="s">
        <v>2687</v>
      </c>
      <c r="B1755" s="2">
        <v>45912</v>
      </c>
      <c r="C1755" s="2">
        <v>45972</v>
      </c>
      <c r="D1755" s="1" t="s">
        <v>28</v>
      </c>
      <c r="E1755" s="1" t="s">
        <v>24</v>
      </c>
      <c r="F1755" s="1" t="s">
        <v>15</v>
      </c>
      <c r="G1755" s="1" t="s">
        <v>16</v>
      </c>
      <c r="H1755" s="1" t="s">
        <v>54</v>
      </c>
      <c r="I1755" s="1" t="s">
        <v>41</v>
      </c>
      <c r="J1755">
        <v>45</v>
      </c>
      <c r="K1755">
        <v>60</v>
      </c>
      <c r="L1755" s="1" t="s">
        <v>80</v>
      </c>
    </row>
    <row r="1756" spans="1:12" x14ac:dyDescent="0.3">
      <c r="A1756" s="1" t="s">
        <v>3185</v>
      </c>
      <c r="B1756" s="2">
        <v>45912</v>
      </c>
      <c r="C1756" s="2">
        <v>45914</v>
      </c>
      <c r="D1756" s="1" t="s">
        <v>23</v>
      </c>
      <c r="E1756" s="1" t="s">
        <v>24</v>
      </c>
      <c r="F1756" s="1" t="s">
        <v>38</v>
      </c>
      <c r="G1756" s="1" t="s">
        <v>16</v>
      </c>
      <c r="H1756" s="1" t="s">
        <v>25</v>
      </c>
      <c r="I1756" s="1" t="s">
        <v>18</v>
      </c>
      <c r="J1756">
        <v>30</v>
      </c>
      <c r="K1756">
        <v>2</v>
      </c>
      <c r="L1756" s="1" t="s">
        <v>30</v>
      </c>
    </row>
    <row r="1757" spans="1:12" x14ac:dyDescent="0.3">
      <c r="A1757" s="1" t="s">
        <v>59</v>
      </c>
      <c r="B1757" s="2">
        <v>45911</v>
      </c>
      <c r="C1757" s="2">
        <v>45952</v>
      </c>
      <c r="D1757" s="1" t="s">
        <v>28</v>
      </c>
      <c r="E1757" s="1" t="s">
        <v>14</v>
      </c>
      <c r="F1757" s="1" t="s">
        <v>38</v>
      </c>
      <c r="G1757" s="1" t="s">
        <v>16</v>
      </c>
      <c r="H1757" s="1" t="s">
        <v>54</v>
      </c>
      <c r="I1757" s="1" t="s">
        <v>18</v>
      </c>
      <c r="J1757">
        <v>30</v>
      </c>
      <c r="K1757">
        <v>41</v>
      </c>
      <c r="L1757" s="1" t="s">
        <v>21</v>
      </c>
    </row>
    <row r="1758" spans="1:12" x14ac:dyDescent="0.3">
      <c r="A1758" s="1" t="s">
        <v>70</v>
      </c>
      <c r="B1758" s="2">
        <v>45911</v>
      </c>
      <c r="C1758" s="2">
        <v>45921</v>
      </c>
      <c r="D1758" s="1" t="s">
        <v>32</v>
      </c>
      <c r="E1758" s="1" t="s">
        <v>14</v>
      </c>
      <c r="F1758" s="1" t="s">
        <v>15</v>
      </c>
      <c r="G1758" s="1" t="s">
        <v>16</v>
      </c>
      <c r="H1758" s="1" t="s">
        <v>71</v>
      </c>
      <c r="I1758" s="1" t="s">
        <v>18</v>
      </c>
      <c r="J1758">
        <v>15</v>
      </c>
      <c r="K1758">
        <v>10</v>
      </c>
      <c r="L1758" s="1" t="s">
        <v>30</v>
      </c>
    </row>
    <row r="1759" spans="1:12" x14ac:dyDescent="0.3">
      <c r="A1759" s="1" t="s">
        <v>925</v>
      </c>
      <c r="B1759" s="2">
        <v>45911</v>
      </c>
      <c r="C1759" s="2">
        <v>45928</v>
      </c>
      <c r="D1759" s="1" t="s">
        <v>23</v>
      </c>
      <c r="E1759" s="1" t="s">
        <v>24</v>
      </c>
      <c r="F1759" s="1" t="s">
        <v>15</v>
      </c>
      <c r="G1759" s="1" t="s">
        <v>33</v>
      </c>
      <c r="H1759" s="1" t="s">
        <v>43</v>
      </c>
      <c r="I1759" s="1" t="s">
        <v>26</v>
      </c>
      <c r="J1759">
        <v>30</v>
      </c>
      <c r="K1759">
        <v>17</v>
      </c>
      <c r="L1759" s="1" t="s">
        <v>19</v>
      </c>
    </row>
    <row r="1760" spans="1:12" x14ac:dyDescent="0.3">
      <c r="A1760" s="1" t="s">
        <v>1099</v>
      </c>
      <c r="B1760" s="2">
        <v>45911</v>
      </c>
      <c r="C1760" s="2">
        <v>45945</v>
      </c>
      <c r="D1760" s="1" t="s">
        <v>13</v>
      </c>
      <c r="E1760" s="1" t="s">
        <v>24</v>
      </c>
      <c r="F1760" s="1" t="s">
        <v>15</v>
      </c>
      <c r="G1760" s="1" t="s">
        <v>16</v>
      </c>
      <c r="H1760" s="1" t="s">
        <v>47</v>
      </c>
      <c r="I1760" s="1" t="s">
        <v>26</v>
      </c>
      <c r="J1760">
        <v>45</v>
      </c>
      <c r="K1760">
        <v>34</v>
      </c>
      <c r="L1760" s="1" t="s">
        <v>21</v>
      </c>
    </row>
    <row r="1761" spans="1:12" x14ac:dyDescent="0.3">
      <c r="A1761" s="1" t="s">
        <v>1226</v>
      </c>
      <c r="B1761" s="2">
        <v>45911</v>
      </c>
      <c r="C1761" s="2">
        <v>45914</v>
      </c>
      <c r="D1761" s="1" t="s">
        <v>28</v>
      </c>
      <c r="E1761" s="1" t="s">
        <v>24</v>
      </c>
      <c r="F1761" s="1" t="s">
        <v>15</v>
      </c>
      <c r="G1761" s="1" t="s">
        <v>16</v>
      </c>
      <c r="H1761" s="1" t="s">
        <v>29</v>
      </c>
      <c r="I1761" s="1" t="s">
        <v>18</v>
      </c>
      <c r="J1761">
        <v>30</v>
      </c>
      <c r="K1761">
        <v>3</v>
      </c>
      <c r="L1761" s="1" t="s">
        <v>30</v>
      </c>
    </row>
    <row r="1762" spans="1:12" x14ac:dyDescent="0.3">
      <c r="A1762" s="1" t="s">
        <v>1373</v>
      </c>
      <c r="B1762" s="2">
        <v>45911</v>
      </c>
      <c r="C1762" s="2">
        <v>45931</v>
      </c>
      <c r="D1762" s="1" t="s">
        <v>23</v>
      </c>
      <c r="E1762" s="1" t="s">
        <v>14</v>
      </c>
      <c r="F1762" s="1" t="s">
        <v>15</v>
      </c>
      <c r="G1762" s="1" t="s">
        <v>16</v>
      </c>
      <c r="H1762" s="1" t="s">
        <v>43</v>
      </c>
      <c r="I1762" s="1" t="s">
        <v>26</v>
      </c>
      <c r="J1762">
        <v>15</v>
      </c>
      <c r="K1762">
        <v>20</v>
      </c>
      <c r="L1762" s="1" t="s">
        <v>19</v>
      </c>
    </row>
    <row r="1763" spans="1:12" x14ac:dyDescent="0.3">
      <c r="A1763" s="1" t="s">
        <v>255</v>
      </c>
      <c r="B1763" s="2">
        <v>45911</v>
      </c>
      <c r="C1763" s="2">
        <v>45976</v>
      </c>
      <c r="D1763" s="1" t="s">
        <v>37</v>
      </c>
      <c r="E1763" s="1" t="s">
        <v>14</v>
      </c>
      <c r="F1763" s="1" t="s">
        <v>15</v>
      </c>
      <c r="G1763" s="1" t="s">
        <v>16</v>
      </c>
      <c r="H1763" s="1" t="s">
        <v>39</v>
      </c>
      <c r="I1763" s="1" t="s">
        <v>41</v>
      </c>
      <c r="J1763">
        <v>15</v>
      </c>
      <c r="K1763">
        <v>65</v>
      </c>
      <c r="L1763" s="1" t="s">
        <v>80</v>
      </c>
    </row>
    <row r="1764" spans="1:12" x14ac:dyDescent="0.3">
      <c r="A1764" s="1" t="s">
        <v>1415</v>
      </c>
      <c r="B1764" s="2">
        <v>45911</v>
      </c>
      <c r="C1764" s="2">
        <v>45967</v>
      </c>
      <c r="D1764" s="1" t="s">
        <v>37</v>
      </c>
      <c r="E1764" s="1" t="s">
        <v>14</v>
      </c>
      <c r="F1764" s="1" t="s">
        <v>15</v>
      </c>
      <c r="G1764" s="1" t="s">
        <v>16</v>
      </c>
      <c r="H1764" s="1" t="s">
        <v>49</v>
      </c>
      <c r="I1764" s="1" t="s">
        <v>26</v>
      </c>
      <c r="J1764">
        <v>15</v>
      </c>
      <c r="K1764">
        <v>56</v>
      </c>
      <c r="L1764" s="1" t="s">
        <v>44</v>
      </c>
    </row>
    <row r="1765" spans="1:12" x14ac:dyDescent="0.3">
      <c r="A1765" s="1" t="s">
        <v>1361</v>
      </c>
      <c r="B1765" s="2">
        <v>45911</v>
      </c>
      <c r="C1765" s="2">
        <v>45931</v>
      </c>
      <c r="D1765" s="1" t="s">
        <v>37</v>
      </c>
      <c r="E1765" s="1" t="s">
        <v>14</v>
      </c>
      <c r="F1765" s="1" t="s">
        <v>38</v>
      </c>
      <c r="G1765" s="1" t="s">
        <v>16</v>
      </c>
      <c r="H1765" s="1" t="s">
        <v>39</v>
      </c>
      <c r="I1765" s="1" t="s">
        <v>41</v>
      </c>
      <c r="J1765">
        <v>15</v>
      </c>
      <c r="K1765">
        <v>20</v>
      </c>
      <c r="L1765" s="1" t="s">
        <v>19</v>
      </c>
    </row>
    <row r="1766" spans="1:12" x14ac:dyDescent="0.3">
      <c r="A1766" s="1" t="s">
        <v>1515</v>
      </c>
      <c r="B1766" s="2">
        <v>45911</v>
      </c>
      <c r="C1766" s="2">
        <v>45923</v>
      </c>
      <c r="D1766" s="1" t="s">
        <v>37</v>
      </c>
      <c r="E1766" s="1" t="s">
        <v>14</v>
      </c>
      <c r="F1766" s="1" t="s">
        <v>38</v>
      </c>
      <c r="G1766" s="1" t="s">
        <v>16</v>
      </c>
      <c r="H1766" s="1" t="s">
        <v>49</v>
      </c>
      <c r="I1766" s="1" t="s">
        <v>18</v>
      </c>
      <c r="J1766">
        <v>15</v>
      </c>
      <c r="K1766">
        <v>12</v>
      </c>
      <c r="L1766" s="1" t="s">
        <v>30</v>
      </c>
    </row>
    <row r="1767" spans="1:12" x14ac:dyDescent="0.3">
      <c r="A1767" s="1" t="s">
        <v>1134</v>
      </c>
      <c r="B1767" s="2">
        <v>45911</v>
      </c>
      <c r="C1767" s="2">
        <v>45913</v>
      </c>
      <c r="D1767" s="1" t="s">
        <v>37</v>
      </c>
      <c r="E1767" s="1" t="s">
        <v>24</v>
      </c>
      <c r="F1767" s="1" t="s">
        <v>15</v>
      </c>
      <c r="G1767" s="1" t="s">
        <v>16</v>
      </c>
      <c r="H1767" s="1" t="s">
        <v>49</v>
      </c>
      <c r="I1767" s="1" t="s">
        <v>26</v>
      </c>
      <c r="J1767">
        <v>30</v>
      </c>
      <c r="K1767">
        <v>2</v>
      </c>
      <c r="L1767" s="1" t="s">
        <v>30</v>
      </c>
    </row>
    <row r="1768" spans="1:12" x14ac:dyDescent="0.3">
      <c r="A1768" s="1" t="s">
        <v>1932</v>
      </c>
      <c r="B1768" s="2">
        <v>45911</v>
      </c>
      <c r="C1768" s="2">
        <v>45945</v>
      </c>
      <c r="D1768" s="1" t="s">
        <v>28</v>
      </c>
      <c r="E1768" s="1" t="s">
        <v>14</v>
      </c>
      <c r="F1768" s="1" t="s">
        <v>15</v>
      </c>
      <c r="G1768" s="1" t="s">
        <v>16</v>
      </c>
      <c r="H1768" s="1" t="s">
        <v>54</v>
      </c>
      <c r="I1768" s="1" t="s">
        <v>41</v>
      </c>
      <c r="J1768">
        <v>15</v>
      </c>
      <c r="K1768">
        <v>34</v>
      </c>
      <c r="L1768" s="1" t="s">
        <v>21</v>
      </c>
    </row>
    <row r="1769" spans="1:12" x14ac:dyDescent="0.3">
      <c r="A1769" s="1" t="s">
        <v>2082</v>
      </c>
      <c r="B1769" s="2">
        <v>45911</v>
      </c>
      <c r="C1769" s="2">
        <v>45971</v>
      </c>
      <c r="D1769" s="1" t="s">
        <v>32</v>
      </c>
      <c r="E1769" s="1" t="s">
        <v>14</v>
      </c>
      <c r="F1769" s="1" t="s">
        <v>15</v>
      </c>
      <c r="G1769" s="1" t="s">
        <v>16</v>
      </c>
      <c r="H1769" s="1" t="s">
        <v>71</v>
      </c>
      <c r="I1769" s="1" t="s">
        <v>26</v>
      </c>
      <c r="J1769">
        <v>30</v>
      </c>
      <c r="K1769">
        <v>60</v>
      </c>
      <c r="L1769" s="1" t="s">
        <v>80</v>
      </c>
    </row>
    <row r="1770" spans="1:12" x14ac:dyDescent="0.3">
      <c r="A1770" s="1" t="s">
        <v>2424</v>
      </c>
      <c r="B1770" s="2">
        <v>45911</v>
      </c>
      <c r="C1770" s="2">
        <v>45940</v>
      </c>
      <c r="D1770" s="1" t="s">
        <v>23</v>
      </c>
      <c r="E1770" s="1" t="s">
        <v>14</v>
      </c>
      <c r="F1770" s="1" t="s">
        <v>15</v>
      </c>
      <c r="G1770" s="1" t="s">
        <v>33</v>
      </c>
      <c r="H1770" s="1" t="s">
        <v>25</v>
      </c>
      <c r="I1770" s="1" t="s">
        <v>41</v>
      </c>
      <c r="J1770">
        <v>15</v>
      </c>
      <c r="K1770">
        <v>29</v>
      </c>
      <c r="L1770" s="1" t="s">
        <v>21</v>
      </c>
    </row>
    <row r="1771" spans="1:12" x14ac:dyDescent="0.3">
      <c r="A1771" s="1" t="s">
        <v>2477</v>
      </c>
      <c r="B1771" s="2">
        <v>45911</v>
      </c>
      <c r="C1771" s="2">
        <v>45956</v>
      </c>
      <c r="D1771" s="1" t="s">
        <v>28</v>
      </c>
      <c r="E1771" s="1" t="s">
        <v>24</v>
      </c>
      <c r="F1771" s="1" t="s">
        <v>38</v>
      </c>
      <c r="G1771" s="1" t="s">
        <v>16</v>
      </c>
      <c r="H1771" s="1" t="s">
        <v>54</v>
      </c>
      <c r="I1771" s="1" t="s">
        <v>18</v>
      </c>
      <c r="J1771">
        <v>30</v>
      </c>
      <c r="K1771">
        <v>45</v>
      </c>
      <c r="L1771" s="1" t="s">
        <v>44</v>
      </c>
    </row>
    <row r="1772" spans="1:12" x14ac:dyDescent="0.3">
      <c r="A1772" s="1" t="s">
        <v>3122</v>
      </c>
      <c r="B1772" s="2">
        <v>45911</v>
      </c>
      <c r="C1772" s="2">
        <v>45935</v>
      </c>
      <c r="D1772" s="1" t="s">
        <v>13</v>
      </c>
      <c r="E1772" s="1" t="s">
        <v>14</v>
      </c>
      <c r="F1772" s="1" t="s">
        <v>38</v>
      </c>
      <c r="G1772" s="1" t="s">
        <v>53</v>
      </c>
      <c r="H1772" s="1" t="s">
        <v>17</v>
      </c>
      <c r="I1772" s="1" t="s">
        <v>26</v>
      </c>
      <c r="J1772">
        <v>15</v>
      </c>
      <c r="K1772">
        <v>24</v>
      </c>
      <c r="L1772" s="1" t="s">
        <v>19</v>
      </c>
    </row>
    <row r="1773" spans="1:12" x14ac:dyDescent="0.3">
      <c r="A1773" s="1" t="s">
        <v>88</v>
      </c>
      <c r="B1773" s="2">
        <v>45910</v>
      </c>
      <c r="C1773" s="2">
        <v>45954</v>
      </c>
      <c r="D1773" s="1" t="s">
        <v>28</v>
      </c>
      <c r="E1773" s="1" t="s">
        <v>14</v>
      </c>
      <c r="F1773" s="1" t="s">
        <v>15</v>
      </c>
      <c r="G1773" s="1" t="s">
        <v>53</v>
      </c>
      <c r="H1773" s="1" t="s">
        <v>29</v>
      </c>
      <c r="I1773" s="1" t="s">
        <v>41</v>
      </c>
      <c r="J1773">
        <v>30</v>
      </c>
      <c r="K1773">
        <v>44</v>
      </c>
      <c r="L1773" s="1" t="s">
        <v>44</v>
      </c>
    </row>
    <row r="1774" spans="1:12" x14ac:dyDescent="0.3">
      <c r="A1774" s="1" t="s">
        <v>227</v>
      </c>
      <c r="B1774" s="2">
        <v>45910</v>
      </c>
      <c r="C1774" s="2">
        <v>45931</v>
      </c>
      <c r="D1774" s="1" t="s">
        <v>23</v>
      </c>
      <c r="E1774" s="1" t="s">
        <v>14</v>
      </c>
      <c r="F1774" s="1" t="s">
        <v>15</v>
      </c>
      <c r="G1774" s="1" t="s">
        <v>16</v>
      </c>
      <c r="H1774" s="1" t="s">
        <v>43</v>
      </c>
      <c r="I1774" s="1" t="s">
        <v>26</v>
      </c>
      <c r="J1774">
        <v>15</v>
      </c>
      <c r="K1774">
        <v>21</v>
      </c>
      <c r="L1774" s="1" t="s">
        <v>19</v>
      </c>
    </row>
    <row r="1775" spans="1:12" x14ac:dyDescent="0.3">
      <c r="A1775" s="1" t="s">
        <v>260</v>
      </c>
      <c r="B1775" s="2">
        <v>45910</v>
      </c>
      <c r="C1775" s="2">
        <v>45924</v>
      </c>
      <c r="D1775" s="1" t="s">
        <v>32</v>
      </c>
      <c r="E1775" s="1" t="s">
        <v>14</v>
      </c>
      <c r="F1775" s="1" t="s">
        <v>15</v>
      </c>
      <c r="G1775" s="1" t="s">
        <v>16</v>
      </c>
      <c r="H1775" s="1" t="s">
        <v>71</v>
      </c>
      <c r="I1775" s="1" t="s">
        <v>26</v>
      </c>
      <c r="J1775">
        <v>15</v>
      </c>
      <c r="K1775">
        <v>14</v>
      </c>
      <c r="L1775" s="1" t="s">
        <v>30</v>
      </c>
    </row>
    <row r="1776" spans="1:12" x14ac:dyDescent="0.3">
      <c r="A1776" s="1" t="s">
        <v>308</v>
      </c>
      <c r="B1776" s="2">
        <v>45910</v>
      </c>
      <c r="C1776" s="2">
        <v>45960</v>
      </c>
      <c r="D1776" s="1" t="s">
        <v>13</v>
      </c>
      <c r="E1776" s="1" t="s">
        <v>14</v>
      </c>
      <c r="F1776" s="1" t="s">
        <v>15</v>
      </c>
      <c r="G1776" s="1" t="s">
        <v>53</v>
      </c>
      <c r="H1776" s="1" t="s">
        <v>17</v>
      </c>
      <c r="I1776" s="1" t="s">
        <v>26</v>
      </c>
      <c r="J1776">
        <v>15</v>
      </c>
      <c r="K1776">
        <v>50</v>
      </c>
      <c r="L1776" s="1" t="s">
        <v>44</v>
      </c>
    </row>
    <row r="1777" spans="1:12" x14ac:dyDescent="0.3">
      <c r="A1777" s="1" t="s">
        <v>731</v>
      </c>
      <c r="B1777" s="2">
        <v>45910</v>
      </c>
      <c r="C1777" s="2">
        <v>45944</v>
      </c>
      <c r="D1777" s="1" t="s">
        <v>32</v>
      </c>
      <c r="E1777" s="1" t="s">
        <v>14</v>
      </c>
      <c r="F1777" s="1" t="s">
        <v>15</v>
      </c>
      <c r="G1777" s="1" t="s">
        <v>16</v>
      </c>
      <c r="H1777" s="1" t="s">
        <v>34</v>
      </c>
      <c r="I1777" s="1" t="s">
        <v>18</v>
      </c>
      <c r="J1777">
        <v>15</v>
      </c>
      <c r="K1777">
        <v>34</v>
      </c>
      <c r="L1777" s="1" t="s">
        <v>21</v>
      </c>
    </row>
    <row r="1778" spans="1:12" x14ac:dyDescent="0.3">
      <c r="A1778" s="1" t="s">
        <v>911</v>
      </c>
      <c r="B1778" s="2">
        <v>45910</v>
      </c>
      <c r="C1778" s="2">
        <v>45944</v>
      </c>
      <c r="D1778" s="1" t="s">
        <v>23</v>
      </c>
      <c r="E1778" s="1" t="s">
        <v>24</v>
      </c>
      <c r="F1778" s="1" t="s">
        <v>15</v>
      </c>
      <c r="G1778" s="1" t="s">
        <v>16</v>
      </c>
      <c r="H1778" s="1" t="s">
        <v>25</v>
      </c>
      <c r="I1778" s="1" t="s">
        <v>18</v>
      </c>
      <c r="J1778">
        <v>30</v>
      </c>
      <c r="K1778">
        <v>34</v>
      </c>
      <c r="L1778" s="1" t="s">
        <v>21</v>
      </c>
    </row>
    <row r="1779" spans="1:12" x14ac:dyDescent="0.3">
      <c r="A1779" s="1" t="s">
        <v>965</v>
      </c>
      <c r="B1779" s="2">
        <v>45910</v>
      </c>
      <c r="C1779" s="2">
        <v>45948</v>
      </c>
      <c r="D1779" s="1" t="s">
        <v>28</v>
      </c>
      <c r="E1779" s="1" t="s">
        <v>14</v>
      </c>
      <c r="F1779" s="1" t="s">
        <v>38</v>
      </c>
      <c r="G1779" s="1" t="s">
        <v>16</v>
      </c>
      <c r="H1779" s="1" t="s">
        <v>54</v>
      </c>
      <c r="I1779" s="1" t="s">
        <v>26</v>
      </c>
      <c r="J1779">
        <v>15</v>
      </c>
      <c r="K1779">
        <v>38</v>
      </c>
      <c r="L1779" s="1" t="s">
        <v>21</v>
      </c>
    </row>
    <row r="1780" spans="1:12" x14ac:dyDescent="0.3">
      <c r="A1780" s="1" t="s">
        <v>1685</v>
      </c>
      <c r="B1780" s="2">
        <v>45910</v>
      </c>
      <c r="C1780" s="2">
        <v>45939</v>
      </c>
      <c r="D1780" s="1" t="s">
        <v>37</v>
      </c>
      <c r="E1780" s="1" t="s">
        <v>14</v>
      </c>
      <c r="F1780" s="1" t="s">
        <v>15</v>
      </c>
      <c r="G1780" s="1" t="s">
        <v>16</v>
      </c>
      <c r="H1780" s="1" t="s">
        <v>39</v>
      </c>
      <c r="I1780" s="1" t="s">
        <v>18</v>
      </c>
      <c r="J1780">
        <v>30</v>
      </c>
      <c r="K1780">
        <v>29</v>
      </c>
      <c r="L1780" s="1" t="s">
        <v>21</v>
      </c>
    </row>
    <row r="1781" spans="1:12" x14ac:dyDescent="0.3">
      <c r="A1781" s="1" t="s">
        <v>2777</v>
      </c>
      <c r="B1781" s="2">
        <v>45910</v>
      </c>
      <c r="C1781" s="2">
        <v>45946</v>
      </c>
      <c r="D1781" s="1" t="s">
        <v>32</v>
      </c>
      <c r="E1781" s="1" t="s">
        <v>24</v>
      </c>
      <c r="F1781" s="1" t="s">
        <v>15</v>
      </c>
      <c r="G1781" s="1" t="s">
        <v>16</v>
      </c>
      <c r="H1781" s="1" t="s">
        <v>34</v>
      </c>
      <c r="I1781" s="1" t="s">
        <v>18</v>
      </c>
      <c r="J1781">
        <v>30</v>
      </c>
      <c r="K1781">
        <v>36</v>
      </c>
      <c r="L1781" s="1" t="s">
        <v>21</v>
      </c>
    </row>
    <row r="1782" spans="1:12" x14ac:dyDescent="0.3">
      <c r="A1782" s="1" t="s">
        <v>2902</v>
      </c>
      <c r="B1782" s="2">
        <v>45910</v>
      </c>
      <c r="C1782" s="2">
        <v>45969</v>
      </c>
      <c r="D1782" s="1" t="s">
        <v>28</v>
      </c>
      <c r="E1782" s="1" t="s">
        <v>14</v>
      </c>
      <c r="F1782" s="1" t="s">
        <v>38</v>
      </c>
      <c r="G1782" s="1" t="s">
        <v>16</v>
      </c>
      <c r="H1782" s="1" t="s">
        <v>29</v>
      </c>
      <c r="I1782" s="1" t="s">
        <v>26</v>
      </c>
      <c r="J1782">
        <v>30</v>
      </c>
      <c r="K1782">
        <v>59</v>
      </c>
      <c r="L1782" s="1" t="s">
        <v>80</v>
      </c>
    </row>
    <row r="1783" spans="1:12" x14ac:dyDescent="0.3">
      <c r="A1783" s="1" t="s">
        <v>69</v>
      </c>
      <c r="B1783" s="2">
        <v>45909</v>
      </c>
      <c r="C1783" s="2">
        <v>45935</v>
      </c>
      <c r="D1783" s="1" t="s">
        <v>23</v>
      </c>
      <c r="E1783" s="1" t="s">
        <v>14</v>
      </c>
      <c r="F1783" s="1" t="s">
        <v>38</v>
      </c>
      <c r="G1783" s="1" t="s">
        <v>16</v>
      </c>
      <c r="H1783" s="1" t="s">
        <v>43</v>
      </c>
      <c r="I1783" s="1" t="s">
        <v>26</v>
      </c>
      <c r="J1783">
        <v>15</v>
      </c>
      <c r="K1783">
        <v>26</v>
      </c>
      <c r="L1783" s="1" t="s">
        <v>19</v>
      </c>
    </row>
    <row r="1784" spans="1:12" x14ac:dyDescent="0.3">
      <c r="A1784" s="1" t="s">
        <v>842</v>
      </c>
      <c r="B1784" s="2">
        <v>45909</v>
      </c>
      <c r="C1784" s="2">
        <v>45972</v>
      </c>
      <c r="D1784" s="1" t="s">
        <v>28</v>
      </c>
      <c r="E1784" s="1" t="s">
        <v>14</v>
      </c>
      <c r="F1784" s="1" t="s">
        <v>38</v>
      </c>
      <c r="G1784" s="1" t="s">
        <v>33</v>
      </c>
      <c r="H1784" s="1" t="s">
        <v>54</v>
      </c>
      <c r="I1784" s="1" t="s">
        <v>18</v>
      </c>
      <c r="J1784">
        <v>30</v>
      </c>
      <c r="K1784">
        <v>63</v>
      </c>
      <c r="L1784" s="1" t="s">
        <v>80</v>
      </c>
    </row>
    <row r="1785" spans="1:12" x14ac:dyDescent="0.3">
      <c r="A1785" s="1" t="s">
        <v>977</v>
      </c>
      <c r="B1785" s="2">
        <v>45909</v>
      </c>
      <c r="C1785" s="2">
        <v>45963</v>
      </c>
      <c r="D1785" s="1" t="s">
        <v>32</v>
      </c>
      <c r="E1785" s="1" t="s">
        <v>14</v>
      </c>
      <c r="F1785" s="1" t="s">
        <v>15</v>
      </c>
      <c r="G1785" s="1" t="s">
        <v>33</v>
      </c>
      <c r="H1785" s="1" t="s">
        <v>34</v>
      </c>
      <c r="I1785" s="1" t="s">
        <v>26</v>
      </c>
      <c r="J1785">
        <v>15</v>
      </c>
      <c r="K1785">
        <v>54</v>
      </c>
      <c r="L1785" s="1" t="s">
        <v>44</v>
      </c>
    </row>
    <row r="1786" spans="1:12" x14ac:dyDescent="0.3">
      <c r="A1786" s="1" t="s">
        <v>1305</v>
      </c>
      <c r="B1786" s="2">
        <v>45909</v>
      </c>
      <c r="C1786" s="2">
        <v>45956</v>
      </c>
      <c r="D1786" s="1" t="s">
        <v>23</v>
      </c>
      <c r="E1786" s="1" t="s">
        <v>24</v>
      </c>
      <c r="F1786" s="1" t="s">
        <v>15</v>
      </c>
      <c r="G1786" s="1" t="s">
        <v>16</v>
      </c>
      <c r="H1786" s="1" t="s">
        <v>43</v>
      </c>
      <c r="I1786" s="1" t="s">
        <v>26</v>
      </c>
      <c r="J1786">
        <v>45</v>
      </c>
      <c r="K1786">
        <v>47</v>
      </c>
      <c r="L1786" s="1" t="s">
        <v>44</v>
      </c>
    </row>
    <row r="1787" spans="1:12" x14ac:dyDescent="0.3">
      <c r="A1787" s="1" t="s">
        <v>1335</v>
      </c>
      <c r="B1787" s="2">
        <v>45909</v>
      </c>
      <c r="C1787" s="2">
        <v>45968</v>
      </c>
      <c r="D1787" s="1" t="s">
        <v>37</v>
      </c>
      <c r="E1787" s="1" t="s">
        <v>14</v>
      </c>
      <c r="F1787" s="1" t="s">
        <v>15</v>
      </c>
      <c r="G1787" s="1" t="s">
        <v>53</v>
      </c>
      <c r="H1787" s="1" t="s">
        <v>39</v>
      </c>
      <c r="I1787" s="1" t="s">
        <v>26</v>
      </c>
      <c r="J1787">
        <v>30</v>
      </c>
      <c r="K1787">
        <v>59</v>
      </c>
      <c r="L1787" s="1" t="s">
        <v>80</v>
      </c>
    </row>
    <row r="1788" spans="1:12" x14ac:dyDescent="0.3">
      <c r="A1788" s="1" t="s">
        <v>2563</v>
      </c>
      <c r="B1788" s="2">
        <v>45909</v>
      </c>
      <c r="C1788" s="2">
        <v>45963</v>
      </c>
      <c r="D1788" s="1" t="s">
        <v>37</v>
      </c>
      <c r="E1788" s="1" t="s">
        <v>24</v>
      </c>
      <c r="F1788" s="1" t="s">
        <v>15</v>
      </c>
      <c r="G1788" s="1" t="s">
        <v>16</v>
      </c>
      <c r="H1788" s="1" t="s">
        <v>39</v>
      </c>
      <c r="I1788" s="1" t="s">
        <v>26</v>
      </c>
      <c r="J1788">
        <v>30</v>
      </c>
      <c r="K1788">
        <v>54</v>
      </c>
      <c r="L1788" s="1" t="s">
        <v>44</v>
      </c>
    </row>
    <row r="1789" spans="1:12" x14ac:dyDescent="0.3">
      <c r="A1789" s="1" t="s">
        <v>2844</v>
      </c>
      <c r="B1789" s="2">
        <v>45909</v>
      </c>
      <c r="C1789" s="2">
        <v>45950</v>
      </c>
      <c r="D1789" s="1" t="s">
        <v>37</v>
      </c>
      <c r="E1789" s="1" t="s">
        <v>14</v>
      </c>
      <c r="F1789" s="1" t="s">
        <v>15</v>
      </c>
      <c r="G1789" s="1" t="s">
        <v>16</v>
      </c>
      <c r="H1789" s="1" t="s">
        <v>39</v>
      </c>
      <c r="I1789" s="1" t="s">
        <v>41</v>
      </c>
      <c r="J1789">
        <v>30</v>
      </c>
      <c r="K1789">
        <v>41</v>
      </c>
      <c r="L1789" s="1" t="s">
        <v>21</v>
      </c>
    </row>
    <row r="1790" spans="1:12" x14ac:dyDescent="0.3">
      <c r="A1790" s="1" t="s">
        <v>1771</v>
      </c>
      <c r="B1790" s="2">
        <v>45909</v>
      </c>
      <c r="C1790" s="2">
        <v>45936</v>
      </c>
      <c r="D1790" s="1" t="s">
        <v>37</v>
      </c>
      <c r="E1790" s="1" t="s">
        <v>14</v>
      </c>
      <c r="F1790" s="1" t="s">
        <v>15</v>
      </c>
      <c r="G1790" s="1" t="s">
        <v>53</v>
      </c>
      <c r="H1790" s="1" t="s">
        <v>49</v>
      </c>
      <c r="I1790" s="1" t="s">
        <v>26</v>
      </c>
      <c r="J1790">
        <v>15</v>
      </c>
      <c r="K1790">
        <v>27</v>
      </c>
      <c r="L1790" s="1" t="s">
        <v>19</v>
      </c>
    </row>
    <row r="1791" spans="1:12" x14ac:dyDescent="0.3">
      <c r="A1791" s="1" t="s">
        <v>2188</v>
      </c>
      <c r="B1791" s="2">
        <v>45909</v>
      </c>
      <c r="C1791" s="2">
        <v>45939</v>
      </c>
      <c r="D1791" s="1" t="s">
        <v>28</v>
      </c>
      <c r="E1791" s="1" t="s">
        <v>14</v>
      </c>
      <c r="F1791" s="1" t="s">
        <v>15</v>
      </c>
      <c r="G1791" s="1" t="s">
        <v>16</v>
      </c>
      <c r="H1791" s="1" t="s">
        <v>54</v>
      </c>
      <c r="I1791" s="1" t="s">
        <v>18</v>
      </c>
      <c r="J1791">
        <v>30</v>
      </c>
      <c r="K1791">
        <v>30</v>
      </c>
      <c r="L1791" s="1" t="s">
        <v>21</v>
      </c>
    </row>
    <row r="1792" spans="1:12" x14ac:dyDescent="0.3">
      <c r="A1792" s="1" t="s">
        <v>2199</v>
      </c>
      <c r="B1792" s="2">
        <v>45909</v>
      </c>
      <c r="C1792" s="2">
        <v>45957</v>
      </c>
      <c r="D1792" s="1" t="s">
        <v>23</v>
      </c>
      <c r="E1792" s="1" t="s">
        <v>14</v>
      </c>
      <c r="F1792" s="1" t="s">
        <v>38</v>
      </c>
      <c r="G1792" s="1" t="s">
        <v>16</v>
      </c>
      <c r="H1792" s="1" t="s">
        <v>25</v>
      </c>
      <c r="I1792" s="1" t="s">
        <v>26</v>
      </c>
      <c r="J1792">
        <v>15</v>
      </c>
      <c r="K1792">
        <v>48</v>
      </c>
      <c r="L1792" s="1" t="s">
        <v>44</v>
      </c>
    </row>
    <row r="1793" spans="1:12" x14ac:dyDescent="0.3">
      <c r="A1793" s="1" t="s">
        <v>162</v>
      </c>
      <c r="B1793" s="2">
        <v>45908</v>
      </c>
      <c r="C1793" s="2">
        <v>45915</v>
      </c>
      <c r="D1793" s="1" t="s">
        <v>13</v>
      </c>
      <c r="E1793" s="1" t="s">
        <v>14</v>
      </c>
      <c r="F1793" s="1" t="s">
        <v>15</v>
      </c>
      <c r="G1793" s="1" t="s">
        <v>16</v>
      </c>
      <c r="H1793" s="1" t="s">
        <v>17</v>
      </c>
      <c r="I1793" s="1" t="s">
        <v>41</v>
      </c>
      <c r="J1793">
        <v>15</v>
      </c>
      <c r="K1793">
        <v>7</v>
      </c>
      <c r="L1793" s="1" t="s">
        <v>30</v>
      </c>
    </row>
    <row r="1794" spans="1:12" x14ac:dyDescent="0.3">
      <c r="A1794" s="1" t="s">
        <v>326</v>
      </c>
      <c r="B1794" s="2">
        <v>45908</v>
      </c>
      <c r="C1794" s="2">
        <v>45919</v>
      </c>
      <c r="D1794" s="1" t="s">
        <v>23</v>
      </c>
      <c r="E1794" s="1" t="s">
        <v>14</v>
      </c>
      <c r="F1794" s="1" t="s">
        <v>15</v>
      </c>
      <c r="G1794" s="1" t="s">
        <v>16</v>
      </c>
      <c r="H1794" s="1" t="s">
        <v>43</v>
      </c>
      <c r="I1794" s="1" t="s">
        <v>26</v>
      </c>
      <c r="J1794">
        <v>30</v>
      </c>
      <c r="K1794">
        <v>11</v>
      </c>
      <c r="L1794" s="1" t="s">
        <v>30</v>
      </c>
    </row>
    <row r="1795" spans="1:12" x14ac:dyDescent="0.3">
      <c r="A1795" s="1" t="s">
        <v>1262</v>
      </c>
      <c r="B1795" s="2">
        <v>45908</v>
      </c>
      <c r="C1795" s="2">
        <v>45924</v>
      </c>
      <c r="D1795" s="1" t="s">
        <v>28</v>
      </c>
      <c r="E1795" s="1" t="s">
        <v>14</v>
      </c>
      <c r="F1795" s="1" t="s">
        <v>15</v>
      </c>
      <c r="G1795" s="1" t="s">
        <v>16</v>
      </c>
      <c r="H1795" s="1" t="s">
        <v>29</v>
      </c>
      <c r="I1795" s="1" t="s">
        <v>18</v>
      </c>
      <c r="J1795">
        <v>15</v>
      </c>
      <c r="K1795">
        <v>16</v>
      </c>
      <c r="L1795" s="1" t="s">
        <v>19</v>
      </c>
    </row>
    <row r="1796" spans="1:12" x14ac:dyDescent="0.3">
      <c r="A1796" s="1" t="s">
        <v>2120</v>
      </c>
      <c r="B1796" s="2">
        <v>45908</v>
      </c>
      <c r="C1796" s="2">
        <v>45967</v>
      </c>
      <c r="D1796" s="1" t="s">
        <v>28</v>
      </c>
      <c r="E1796" s="1" t="s">
        <v>24</v>
      </c>
      <c r="F1796" s="1" t="s">
        <v>15</v>
      </c>
      <c r="G1796" s="1" t="s">
        <v>16</v>
      </c>
      <c r="H1796" s="1" t="s">
        <v>29</v>
      </c>
      <c r="I1796" s="1" t="s">
        <v>26</v>
      </c>
      <c r="J1796">
        <v>45</v>
      </c>
      <c r="K1796">
        <v>59</v>
      </c>
      <c r="L1796" s="1" t="s">
        <v>80</v>
      </c>
    </row>
    <row r="1797" spans="1:12" x14ac:dyDescent="0.3">
      <c r="A1797" s="1" t="s">
        <v>2177</v>
      </c>
      <c r="B1797" s="2">
        <v>45908</v>
      </c>
      <c r="C1797" s="2">
        <v>45966</v>
      </c>
      <c r="D1797" s="1" t="s">
        <v>23</v>
      </c>
      <c r="E1797" s="1" t="s">
        <v>24</v>
      </c>
      <c r="F1797" s="1" t="s">
        <v>15</v>
      </c>
      <c r="G1797" s="1" t="s">
        <v>16</v>
      </c>
      <c r="H1797" s="1" t="s">
        <v>25</v>
      </c>
      <c r="I1797" s="1" t="s">
        <v>18</v>
      </c>
      <c r="J1797">
        <v>30</v>
      </c>
      <c r="K1797">
        <v>58</v>
      </c>
      <c r="L1797" s="1" t="s">
        <v>80</v>
      </c>
    </row>
    <row r="1798" spans="1:12" x14ac:dyDescent="0.3">
      <c r="A1798" s="1" t="s">
        <v>2607</v>
      </c>
      <c r="B1798" s="2">
        <v>45908</v>
      </c>
      <c r="C1798" s="2">
        <v>45956</v>
      </c>
      <c r="D1798" s="1" t="s">
        <v>32</v>
      </c>
      <c r="E1798" s="1" t="s">
        <v>14</v>
      </c>
      <c r="F1798" s="1" t="s">
        <v>15</v>
      </c>
      <c r="G1798" s="1" t="s">
        <v>16</v>
      </c>
      <c r="H1798" s="1" t="s">
        <v>71</v>
      </c>
      <c r="I1798" s="1" t="s">
        <v>18</v>
      </c>
      <c r="J1798">
        <v>15</v>
      </c>
      <c r="K1798">
        <v>48</v>
      </c>
      <c r="L1798" s="1" t="s">
        <v>44</v>
      </c>
    </row>
    <row r="1799" spans="1:12" x14ac:dyDescent="0.3">
      <c r="A1799" s="1" t="s">
        <v>3167</v>
      </c>
      <c r="B1799" s="2">
        <v>45908</v>
      </c>
      <c r="C1799" s="2">
        <v>45931</v>
      </c>
      <c r="D1799" s="1" t="s">
        <v>13</v>
      </c>
      <c r="E1799" s="1" t="s">
        <v>14</v>
      </c>
      <c r="F1799" s="1" t="s">
        <v>38</v>
      </c>
      <c r="G1799" s="1" t="s">
        <v>16</v>
      </c>
      <c r="H1799" s="1" t="s">
        <v>17</v>
      </c>
      <c r="I1799" s="1" t="s">
        <v>18</v>
      </c>
      <c r="J1799">
        <v>15</v>
      </c>
      <c r="K1799">
        <v>23</v>
      </c>
      <c r="L1799" s="1" t="s">
        <v>19</v>
      </c>
    </row>
    <row r="1800" spans="1:12" x14ac:dyDescent="0.3">
      <c r="A1800" s="1" t="s">
        <v>27</v>
      </c>
      <c r="B1800" s="2">
        <v>45907</v>
      </c>
      <c r="C1800" s="2">
        <v>45921</v>
      </c>
      <c r="D1800" s="1" t="s">
        <v>28</v>
      </c>
      <c r="E1800" s="1" t="s">
        <v>14</v>
      </c>
      <c r="F1800" s="1" t="s">
        <v>15</v>
      </c>
      <c r="G1800" s="1" t="s">
        <v>16</v>
      </c>
      <c r="H1800" s="1" t="s">
        <v>29</v>
      </c>
      <c r="I1800" s="1" t="s">
        <v>26</v>
      </c>
      <c r="J1800">
        <v>15</v>
      </c>
      <c r="K1800">
        <v>14</v>
      </c>
      <c r="L1800" s="1" t="s">
        <v>30</v>
      </c>
    </row>
    <row r="1801" spans="1:12" x14ac:dyDescent="0.3">
      <c r="A1801" s="1" t="s">
        <v>123</v>
      </c>
      <c r="B1801" s="2">
        <v>45907</v>
      </c>
      <c r="C1801" s="2">
        <v>45951</v>
      </c>
      <c r="D1801" s="1" t="s">
        <v>32</v>
      </c>
      <c r="E1801" s="1" t="s">
        <v>24</v>
      </c>
      <c r="F1801" s="1" t="s">
        <v>15</v>
      </c>
      <c r="G1801" s="1" t="s">
        <v>16</v>
      </c>
      <c r="H1801" s="1" t="s">
        <v>34</v>
      </c>
      <c r="I1801" s="1" t="s">
        <v>18</v>
      </c>
      <c r="J1801">
        <v>45</v>
      </c>
      <c r="K1801">
        <v>44</v>
      </c>
      <c r="L1801" s="1" t="s">
        <v>44</v>
      </c>
    </row>
    <row r="1802" spans="1:12" x14ac:dyDescent="0.3">
      <c r="A1802" s="1" t="s">
        <v>339</v>
      </c>
      <c r="B1802" s="2">
        <v>45907</v>
      </c>
      <c r="C1802" s="2">
        <v>45960</v>
      </c>
      <c r="D1802" s="1" t="s">
        <v>23</v>
      </c>
      <c r="E1802" s="1" t="s">
        <v>14</v>
      </c>
      <c r="F1802" s="1" t="s">
        <v>15</v>
      </c>
      <c r="G1802" s="1" t="s">
        <v>16</v>
      </c>
      <c r="H1802" s="1" t="s">
        <v>25</v>
      </c>
      <c r="I1802" s="1" t="s">
        <v>26</v>
      </c>
      <c r="J1802">
        <v>15</v>
      </c>
      <c r="K1802">
        <v>53</v>
      </c>
      <c r="L1802" s="1" t="s">
        <v>44</v>
      </c>
    </row>
    <row r="1803" spans="1:12" x14ac:dyDescent="0.3">
      <c r="A1803" s="1" t="s">
        <v>798</v>
      </c>
      <c r="B1803" s="2">
        <v>45907</v>
      </c>
      <c r="C1803" s="2">
        <v>45948</v>
      </c>
      <c r="D1803" s="1" t="s">
        <v>23</v>
      </c>
      <c r="E1803" s="1" t="s">
        <v>14</v>
      </c>
      <c r="F1803" s="1" t="s">
        <v>15</v>
      </c>
      <c r="G1803" s="1" t="s">
        <v>16</v>
      </c>
      <c r="H1803" s="1" t="s">
        <v>25</v>
      </c>
      <c r="I1803" s="1" t="s">
        <v>26</v>
      </c>
      <c r="J1803">
        <v>30</v>
      </c>
      <c r="K1803">
        <v>41</v>
      </c>
      <c r="L1803" s="1" t="s">
        <v>21</v>
      </c>
    </row>
    <row r="1804" spans="1:12" x14ac:dyDescent="0.3">
      <c r="A1804" s="1" t="s">
        <v>2883</v>
      </c>
      <c r="B1804" s="2">
        <v>45907</v>
      </c>
      <c r="C1804" s="2">
        <v>45941</v>
      </c>
      <c r="D1804" s="1" t="s">
        <v>37</v>
      </c>
      <c r="E1804" s="1" t="s">
        <v>14</v>
      </c>
      <c r="F1804" s="1" t="s">
        <v>15</v>
      </c>
      <c r="G1804" s="1" t="s">
        <v>16</v>
      </c>
      <c r="H1804" s="1" t="s">
        <v>49</v>
      </c>
      <c r="I1804" s="1" t="s">
        <v>41</v>
      </c>
      <c r="J1804">
        <v>30</v>
      </c>
      <c r="K1804">
        <v>34</v>
      </c>
      <c r="L1804" s="1" t="s">
        <v>21</v>
      </c>
    </row>
    <row r="1805" spans="1:12" x14ac:dyDescent="0.3">
      <c r="A1805" s="1" t="s">
        <v>1460</v>
      </c>
      <c r="B1805" s="2">
        <v>45907</v>
      </c>
      <c r="C1805" s="2">
        <v>45939</v>
      </c>
      <c r="D1805" s="1" t="s">
        <v>37</v>
      </c>
      <c r="E1805" s="1" t="s">
        <v>24</v>
      </c>
      <c r="F1805" s="1" t="s">
        <v>15</v>
      </c>
      <c r="G1805" s="1" t="s">
        <v>33</v>
      </c>
      <c r="H1805" s="1" t="s">
        <v>49</v>
      </c>
      <c r="I1805" s="1" t="s">
        <v>18</v>
      </c>
      <c r="J1805">
        <v>30</v>
      </c>
      <c r="K1805">
        <v>32</v>
      </c>
      <c r="L1805" s="1" t="s">
        <v>21</v>
      </c>
    </row>
    <row r="1806" spans="1:12" x14ac:dyDescent="0.3">
      <c r="A1806" s="1" t="s">
        <v>3146</v>
      </c>
      <c r="B1806" s="2">
        <v>45907</v>
      </c>
      <c r="C1806" s="2">
        <v>45929</v>
      </c>
      <c r="D1806" s="1" t="s">
        <v>37</v>
      </c>
      <c r="E1806" s="1" t="s">
        <v>24</v>
      </c>
      <c r="F1806" s="1" t="s">
        <v>15</v>
      </c>
      <c r="G1806" s="1" t="s">
        <v>53</v>
      </c>
      <c r="H1806" s="1" t="s">
        <v>39</v>
      </c>
      <c r="I1806" s="1" t="s">
        <v>26</v>
      </c>
      <c r="J1806">
        <v>30</v>
      </c>
      <c r="K1806">
        <v>22</v>
      </c>
      <c r="L1806" s="1" t="s">
        <v>19</v>
      </c>
    </row>
    <row r="1807" spans="1:12" x14ac:dyDescent="0.3">
      <c r="A1807" s="1" t="s">
        <v>2034</v>
      </c>
      <c r="B1807" s="2">
        <v>45907</v>
      </c>
      <c r="C1807" s="2">
        <v>45920</v>
      </c>
      <c r="D1807" s="1" t="s">
        <v>28</v>
      </c>
      <c r="E1807" s="1" t="s">
        <v>24</v>
      </c>
      <c r="F1807" s="1" t="s">
        <v>15</v>
      </c>
      <c r="G1807" s="1" t="s">
        <v>16</v>
      </c>
      <c r="H1807" s="1" t="s">
        <v>29</v>
      </c>
      <c r="I1807" s="1" t="s">
        <v>26</v>
      </c>
      <c r="J1807">
        <v>30</v>
      </c>
      <c r="K1807">
        <v>13</v>
      </c>
      <c r="L1807" s="1" t="s">
        <v>30</v>
      </c>
    </row>
    <row r="1808" spans="1:12" x14ac:dyDescent="0.3">
      <c r="A1808" s="1" t="s">
        <v>2958</v>
      </c>
      <c r="B1808" s="2">
        <v>45907</v>
      </c>
      <c r="C1808" s="2">
        <v>45951</v>
      </c>
      <c r="D1808" s="1" t="s">
        <v>28</v>
      </c>
      <c r="E1808" s="1" t="s">
        <v>24</v>
      </c>
      <c r="F1808" s="1" t="s">
        <v>38</v>
      </c>
      <c r="G1808" s="1" t="s">
        <v>16</v>
      </c>
      <c r="H1808" s="1" t="s">
        <v>29</v>
      </c>
      <c r="I1808" s="1" t="s">
        <v>26</v>
      </c>
      <c r="J1808">
        <v>30</v>
      </c>
      <c r="K1808">
        <v>44</v>
      </c>
      <c r="L1808" s="1" t="s">
        <v>44</v>
      </c>
    </row>
    <row r="1809" spans="1:12" x14ac:dyDescent="0.3">
      <c r="A1809" s="1" t="s">
        <v>3123</v>
      </c>
      <c r="B1809" s="2">
        <v>45907</v>
      </c>
      <c r="C1809" s="2">
        <v>45969</v>
      </c>
      <c r="D1809" s="1" t="s">
        <v>23</v>
      </c>
      <c r="E1809" s="1" t="s">
        <v>24</v>
      </c>
      <c r="F1809" s="1" t="s">
        <v>15</v>
      </c>
      <c r="G1809" s="1" t="s">
        <v>16</v>
      </c>
      <c r="H1809" s="1" t="s">
        <v>43</v>
      </c>
      <c r="I1809" s="1" t="s">
        <v>18</v>
      </c>
      <c r="J1809">
        <v>30</v>
      </c>
      <c r="K1809">
        <v>62</v>
      </c>
      <c r="L1809" s="1" t="s">
        <v>80</v>
      </c>
    </row>
    <row r="1810" spans="1:12" x14ac:dyDescent="0.3">
      <c r="A1810" s="1" t="s">
        <v>132</v>
      </c>
      <c r="B1810" s="2">
        <v>45906</v>
      </c>
      <c r="C1810" s="2">
        <v>45931</v>
      </c>
      <c r="D1810" s="1" t="s">
        <v>23</v>
      </c>
      <c r="E1810" s="1" t="s">
        <v>24</v>
      </c>
      <c r="F1810" s="1" t="s">
        <v>15</v>
      </c>
      <c r="G1810" s="1" t="s">
        <v>16</v>
      </c>
      <c r="H1810" s="1" t="s">
        <v>43</v>
      </c>
      <c r="I1810" s="1" t="s">
        <v>41</v>
      </c>
      <c r="J1810">
        <v>45</v>
      </c>
      <c r="K1810">
        <v>25</v>
      </c>
      <c r="L1810" s="1" t="s">
        <v>19</v>
      </c>
    </row>
    <row r="1811" spans="1:12" x14ac:dyDescent="0.3">
      <c r="A1811" s="1" t="s">
        <v>181</v>
      </c>
      <c r="B1811" s="2">
        <v>45906</v>
      </c>
      <c r="C1811" s="2">
        <v>45944</v>
      </c>
      <c r="D1811" s="1" t="s">
        <v>28</v>
      </c>
      <c r="E1811" s="1" t="s">
        <v>14</v>
      </c>
      <c r="F1811" s="1" t="s">
        <v>15</v>
      </c>
      <c r="G1811" s="1" t="s">
        <v>16</v>
      </c>
      <c r="H1811" s="1" t="s">
        <v>29</v>
      </c>
      <c r="I1811" s="1" t="s">
        <v>26</v>
      </c>
      <c r="J1811">
        <v>30</v>
      </c>
      <c r="K1811">
        <v>38</v>
      </c>
      <c r="L1811" s="1" t="s">
        <v>21</v>
      </c>
    </row>
    <row r="1812" spans="1:12" x14ac:dyDescent="0.3">
      <c r="A1812" s="1" t="s">
        <v>196</v>
      </c>
      <c r="B1812" s="2">
        <v>45906</v>
      </c>
      <c r="C1812" s="2">
        <v>45922</v>
      </c>
      <c r="D1812" s="1" t="s">
        <v>23</v>
      </c>
      <c r="E1812" s="1" t="s">
        <v>14</v>
      </c>
      <c r="F1812" s="1" t="s">
        <v>15</v>
      </c>
      <c r="G1812" s="1" t="s">
        <v>33</v>
      </c>
      <c r="H1812" s="1" t="s">
        <v>25</v>
      </c>
      <c r="I1812" s="1" t="s">
        <v>18</v>
      </c>
      <c r="J1812">
        <v>15</v>
      </c>
      <c r="K1812">
        <v>16</v>
      </c>
      <c r="L1812" s="1" t="s">
        <v>19</v>
      </c>
    </row>
    <row r="1813" spans="1:12" x14ac:dyDescent="0.3">
      <c r="A1813" s="1" t="s">
        <v>2360</v>
      </c>
      <c r="B1813" s="2">
        <v>45906</v>
      </c>
      <c r="C1813" s="2">
        <v>45946</v>
      </c>
      <c r="D1813" s="1" t="s">
        <v>37</v>
      </c>
      <c r="E1813" s="1" t="s">
        <v>14</v>
      </c>
      <c r="F1813" s="1" t="s">
        <v>15</v>
      </c>
      <c r="G1813" s="1" t="s">
        <v>16</v>
      </c>
      <c r="H1813" s="1" t="s">
        <v>39</v>
      </c>
      <c r="I1813" s="1" t="s">
        <v>26</v>
      </c>
      <c r="J1813">
        <v>15</v>
      </c>
      <c r="K1813">
        <v>40</v>
      </c>
      <c r="L1813" s="1" t="s">
        <v>21</v>
      </c>
    </row>
    <row r="1814" spans="1:12" x14ac:dyDescent="0.3">
      <c r="A1814" s="1" t="s">
        <v>395</v>
      </c>
      <c r="B1814" s="2">
        <v>45906</v>
      </c>
      <c r="C1814" s="2">
        <v>45908</v>
      </c>
      <c r="D1814" s="1" t="s">
        <v>37</v>
      </c>
      <c r="E1814" s="1" t="s">
        <v>24</v>
      </c>
      <c r="F1814" s="1" t="s">
        <v>15</v>
      </c>
      <c r="G1814" s="1" t="s">
        <v>16</v>
      </c>
      <c r="H1814" s="1" t="s">
        <v>49</v>
      </c>
      <c r="I1814" s="1" t="s">
        <v>41</v>
      </c>
      <c r="J1814">
        <v>30</v>
      </c>
      <c r="K1814">
        <v>2</v>
      </c>
      <c r="L1814" s="1" t="s">
        <v>30</v>
      </c>
    </row>
    <row r="1815" spans="1:12" x14ac:dyDescent="0.3">
      <c r="A1815" s="1" t="s">
        <v>1081</v>
      </c>
      <c r="B1815" s="2">
        <v>45906</v>
      </c>
      <c r="C1815" s="2">
        <v>45908</v>
      </c>
      <c r="D1815" s="1" t="s">
        <v>37</v>
      </c>
      <c r="E1815" s="1" t="s">
        <v>24</v>
      </c>
      <c r="F1815" s="1" t="s">
        <v>38</v>
      </c>
      <c r="G1815" s="1" t="s">
        <v>16</v>
      </c>
      <c r="H1815" s="1" t="s">
        <v>39</v>
      </c>
      <c r="I1815" s="1" t="s">
        <v>41</v>
      </c>
      <c r="J1815">
        <v>30</v>
      </c>
      <c r="K1815">
        <v>2</v>
      </c>
      <c r="L1815" s="1" t="s">
        <v>30</v>
      </c>
    </row>
    <row r="1816" spans="1:12" x14ac:dyDescent="0.3">
      <c r="A1816" s="1" t="s">
        <v>1966</v>
      </c>
      <c r="B1816" s="2">
        <v>45906</v>
      </c>
      <c r="C1816" s="2">
        <v>45964</v>
      </c>
      <c r="D1816" s="1" t="s">
        <v>32</v>
      </c>
      <c r="E1816" s="1" t="s">
        <v>14</v>
      </c>
      <c r="F1816" s="1" t="s">
        <v>15</v>
      </c>
      <c r="G1816" s="1" t="s">
        <v>16</v>
      </c>
      <c r="H1816" s="1" t="s">
        <v>71</v>
      </c>
      <c r="I1816" s="1" t="s">
        <v>26</v>
      </c>
      <c r="J1816">
        <v>30</v>
      </c>
      <c r="K1816">
        <v>58</v>
      </c>
      <c r="L1816" s="1" t="s">
        <v>80</v>
      </c>
    </row>
    <row r="1817" spans="1:12" x14ac:dyDescent="0.3">
      <c r="A1817" s="1" t="s">
        <v>2703</v>
      </c>
      <c r="B1817" s="2">
        <v>45906</v>
      </c>
      <c r="C1817" s="2">
        <v>45970</v>
      </c>
      <c r="D1817" s="1" t="s">
        <v>23</v>
      </c>
      <c r="E1817" s="1" t="s">
        <v>14</v>
      </c>
      <c r="F1817" s="1" t="s">
        <v>15</v>
      </c>
      <c r="G1817" s="1" t="s">
        <v>16</v>
      </c>
      <c r="H1817" s="1" t="s">
        <v>43</v>
      </c>
      <c r="I1817" s="1" t="s">
        <v>26</v>
      </c>
      <c r="J1817">
        <v>15</v>
      </c>
      <c r="K1817">
        <v>64</v>
      </c>
      <c r="L1817" s="1" t="s">
        <v>80</v>
      </c>
    </row>
    <row r="1818" spans="1:12" x14ac:dyDescent="0.3">
      <c r="A1818" s="1" t="s">
        <v>2976</v>
      </c>
      <c r="B1818" s="2">
        <v>45906</v>
      </c>
      <c r="C1818" s="2">
        <v>45923</v>
      </c>
      <c r="D1818" s="1" t="s">
        <v>28</v>
      </c>
      <c r="E1818" s="1" t="s">
        <v>14</v>
      </c>
      <c r="F1818" s="1" t="s">
        <v>15</v>
      </c>
      <c r="G1818" s="1" t="s">
        <v>53</v>
      </c>
      <c r="H1818" s="1" t="s">
        <v>29</v>
      </c>
      <c r="I1818" s="1" t="s">
        <v>41</v>
      </c>
      <c r="J1818">
        <v>15</v>
      </c>
      <c r="K1818">
        <v>17</v>
      </c>
      <c r="L1818" s="1" t="s">
        <v>19</v>
      </c>
    </row>
    <row r="1819" spans="1:12" x14ac:dyDescent="0.3">
      <c r="A1819" s="1" t="s">
        <v>2996</v>
      </c>
      <c r="B1819" s="2">
        <v>45906</v>
      </c>
      <c r="C1819" s="2">
        <v>45927</v>
      </c>
      <c r="D1819" s="1" t="s">
        <v>32</v>
      </c>
      <c r="E1819" s="1" t="s">
        <v>24</v>
      </c>
      <c r="F1819" s="1" t="s">
        <v>15</v>
      </c>
      <c r="G1819" s="1" t="s">
        <v>16</v>
      </c>
      <c r="H1819" s="1" t="s">
        <v>71</v>
      </c>
      <c r="I1819" s="1" t="s">
        <v>26</v>
      </c>
      <c r="J1819">
        <v>30</v>
      </c>
      <c r="K1819">
        <v>21</v>
      </c>
      <c r="L1819" s="1" t="s">
        <v>19</v>
      </c>
    </row>
    <row r="1820" spans="1:12" x14ac:dyDescent="0.3">
      <c r="A1820" s="1" t="s">
        <v>3041</v>
      </c>
      <c r="B1820" s="2">
        <v>45906</v>
      </c>
      <c r="C1820" s="2">
        <v>45955</v>
      </c>
      <c r="D1820" s="1" t="s">
        <v>32</v>
      </c>
      <c r="E1820" s="1" t="s">
        <v>24</v>
      </c>
      <c r="F1820" s="1" t="s">
        <v>15</v>
      </c>
      <c r="G1820" s="1" t="s">
        <v>16</v>
      </c>
      <c r="H1820" s="1" t="s">
        <v>71</v>
      </c>
      <c r="I1820" s="1" t="s">
        <v>26</v>
      </c>
      <c r="J1820">
        <v>30</v>
      </c>
      <c r="K1820">
        <v>49</v>
      </c>
      <c r="L1820" s="1" t="s">
        <v>44</v>
      </c>
    </row>
    <row r="1821" spans="1:12" x14ac:dyDescent="0.3">
      <c r="A1821" s="1" t="s">
        <v>31</v>
      </c>
      <c r="B1821" s="2">
        <v>45905</v>
      </c>
      <c r="C1821" s="2">
        <v>45923</v>
      </c>
      <c r="D1821" s="1" t="s">
        <v>32</v>
      </c>
      <c r="E1821" s="1" t="s">
        <v>24</v>
      </c>
      <c r="F1821" s="1" t="s">
        <v>15</v>
      </c>
      <c r="G1821" s="1" t="s">
        <v>33</v>
      </c>
      <c r="H1821" s="1" t="s">
        <v>34</v>
      </c>
      <c r="I1821" s="1" t="s">
        <v>18</v>
      </c>
      <c r="J1821">
        <v>30</v>
      </c>
      <c r="K1821">
        <v>18</v>
      </c>
      <c r="L1821" s="1" t="s">
        <v>19</v>
      </c>
    </row>
    <row r="1822" spans="1:12" x14ac:dyDescent="0.3">
      <c r="A1822" s="1" t="s">
        <v>449</v>
      </c>
      <c r="B1822" s="2">
        <v>45905</v>
      </c>
      <c r="C1822" s="2">
        <v>45944</v>
      </c>
      <c r="D1822" s="1" t="s">
        <v>23</v>
      </c>
      <c r="E1822" s="1" t="s">
        <v>14</v>
      </c>
      <c r="F1822" s="1" t="s">
        <v>38</v>
      </c>
      <c r="G1822" s="1" t="s">
        <v>16</v>
      </c>
      <c r="H1822" s="1" t="s">
        <v>43</v>
      </c>
      <c r="I1822" s="1" t="s">
        <v>26</v>
      </c>
      <c r="J1822">
        <v>30</v>
      </c>
      <c r="K1822">
        <v>39</v>
      </c>
      <c r="L1822" s="1" t="s">
        <v>21</v>
      </c>
    </row>
    <row r="1823" spans="1:12" x14ac:dyDescent="0.3">
      <c r="A1823" s="1" t="s">
        <v>477</v>
      </c>
      <c r="B1823" s="2">
        <v>45905</v>
      </c>
      <c r="C1823" s="2">
        <v>45941</v>
      </c>
      <c r="D1823" s="1" t="s">
        <v>13</v>
      </c>
      <c r="E1823" s="1" t="s">
        <v>14</v>
      </c>
      <c r="F1823" s="1" t="s">
        <v>15</v>
      </c>
      <c r="G1823" s="1" t="s">
        <v>16</v>
      </c>
      <c r="H1823" s="1" t="s">
        <v>47</v>
      </c>
      <c r="I1823" s="1" t="s">
        <v>18</v>
      </c>
      <c r="J1823">
        <v>30</v>
      </c>
      <c r="K1823">
        <v>36</v>
      </c>
      <c r="L1823" s="1" t="s">
        <v>21</v>
      </c>
    </row>
    <row r="1824" spans="1:12" x14ac:dyDescent="0.3">
      <c r="A1824" s="1" t="s">
        <v>663</v>
      </c>
      <c r="B1824" s="2">
        <v>45905</v>
      </c>
      <c r="C1824" s="2">
        <v>45978</v>
      </c>
      <c r="D1824" s="1" t="s">
        <v>23</v>
      </c>
      <c r="E1824" s="1" t="s">
        <v>24</v>
      </c>
      <c r="F1824" s="1" t="s">
        <v>15</v>
      </c>
      <c r="G1824" s="1" t="s">
        <v>33</v>
      </c>
      <c r="H1824" s="1" t="s">
        <v>43</v>
      </c>
      <c r="I1824" s="1" t="s">
        <v>26</v>
      </c>
      <c r="J1824">
        <v>30</v>
      </c>
      <c r="K1824">
        <v>73</v>
      </c>
      <c r="L1824" s="1" t="s">
        <v>80</v>
      </c>
    </row>
    <row r="1825" spans="1:12" x14ac:dyDescent="0.3">
      <c r="A1825" s="1" t="s">
        <v>675</v>
      </c>
      <c r="B1825" s="2">
        <v>45905</v>
      </c>
      <c r="C1825" s="2">
        <v>45922</v>
      </c>
      <c r="D1825" s="1" t="s">
        <v>23</v>
      </c>
      <c r="E1825" s="1" t="s">
        <v>14</v>
      </c>
      <c r="F1825" s="1" t="s">
        <v>38</v>
      </c>
      <c r="G1825" s="1" t="s">
        <v>16</v>
      </c>
      <c r="H1825" s="1" t="s">
        <v>43</v>
      </c>
      <c r="I1825" s="1" t="s">
        <v>26</v>
      </c>
      <c r="J1825">
        <v>15</v>
      </c>
      <c r="K1825">
        <v>17</v>
      </c>
      <c r="L1825" s="1" t="s">
        <v>19</v>
      </c>
    </row>
    <row r="1826" spans="1:12" x14ac:dyDescent="0.3">
      <c r="A1826" s="1" t="s">
        <v>1036</v>
      </c>
      <c r="B1826" s="2">
        <v>45905</v>
      </c>
      <c r="C1826" s="2">
        <v>45907</v>
      </c>
      <c r="D1826" s="1" t="s">
        <v>13</v>
      </c>
      <c r="E1826" s="1" t="s">
        <v>24</v>
      </c>
      <c r="F1826" s="1" t="s">
        <v>15</v>
      </c>
      <c r="G1826" s="1" t="s">
        <v>16</v>
      </c>
      <c r="H1826" s="1" t="s">
        <v>47</v>
      </c>
      <c r="I1826" s="1" t="s">
        <v>18</v>
      </c>
      <c r="J1826">
        <v>30</v>
      </c>
      <c r="K1826">
        <v>2</v>
      </c>
      <c r="L1826" s="1" t="s">
        <v>30</v>
      </c>
    </row>
    <row r="1827" spans="1:12" x14ac:dyDescent="0.3">
      <c r="A1827" s="1" t="s">
        <v>1142</v>
      </c>
      <c r="B1827" s="2">
        <v>45905</v>
      </c>
      <c r="C1827" s="2">
        <v>45948</v>
      </c>
      <c r="D1827" s="1" t="s">
        <v>13</v>
      </c>
      <c r="E1827" s="1" t="s">
        <v>14</v>
      </c>
      <c r="F1827" s="1" t="s">
        <v>38</v>
      </c>
      <c r="G1827" s="1" t="s">
        <v>16</v>
      </c>
      <c r="H1827" s="1" t="s">
        <v>47</v>
      </c>
      <c r="I1827" s="1" t="s">
        <v>41</v>
      </c>
      <c r="J1827">
        <v>15</v>
      </c>
      <c r="K1827">
        <v>43</v>
      </c>
      <c r="L1827" s="1" t="s">
        <v>44</v>
      </c>
    </row>
    <row r="1828" spans="1:12" x14ac:dyDescent="0.3">
      <c r="A1828" s="1" t="s">
        <v>1486</v>
      </c>
      <c r="B1828" s="2">
        <v>45905</v>
      </c>
      <c r="C1828" s="2">
        <v>45912</v>
      </c>
      <c r="D1828" s="1" t="s">
        <v>13</v>
      </c>
      <c r="E1828" s="1" t="s">
        <v>14</v>
      </c>
      <c r="F1828" s="1" t="s">
        <v>15</v>
      </c>
      <c r="G1828" s="1" t="s">
        <v>16</v>
      </c>
      <c r="H1828" s="1" t="s">
        <v>47</v>
      </c>
      <c r="I1828" s="1" t="s">
        <v>26</v>
      </c>
      <c r="J1828">
        <v>30</v>
      </c>
      <c r="K1828">
        <v>7</v>
      </c>
      <c r="L1828" s="1" t="s">
        <v>30</v>
      </c>
    </row>
    <row r="1829" spans="1:12" x14ac:dyDescent="0.3">
      <c r="A1829" s="1" t="s">
        <v>1538</v>
      </c>
      <c r="B1829" s="2">
        <v>45905</v>
      </c>
      <c r="C1829" s="2">
        <v>45919</v>
      </c>
      <c r="D1829" s="1" t="s">
        <v>32</v>
      </c>
      <c r="E1829" s="1" t="s">
        <v>14</v>
      </c>
      <c r="F1829" s="1" t="s">
        <v>15</v>
      </c>
      <c r="G1829" s="1" t="s">
        <v>16</v>
      </c>
      <c r="H1829" s="1" t="s">
        <v>34</v>
      </c>
      <c r="I1829" s="1" t="s">
        <v>41</v>
      </c>
      <c r="J1829">
        <v>15</v>
      </c>
      <c r="K1829">
        <v>14</v>
      </c>
      <c r="L1829" s="1" t="s">
        <v>30</v>
      </c>
    </row>
    <row r="1830" spans="1:12" x14ac:dyDescent="0.3">
      <c r="A1830" s="1" t="s">
        <v>2049</v>
      </c>
      <c r="B1830" s="2">
        <v>45905</v>
      </c>
      <c r="C1830" s="2">
        <v>45952</v>
      </c>
      <c r="D1830" s="1" t="s">
        <v>37</v>
      </c>
      <c r="E1830" s="1" t="s">
        <v>14</v>
      </c>
      <c r="F1830" s="1" t="s">
        <v>38</v>
      </c>
      <c r="G1830" s="1" t="s">
        <v>53</v>
      </c>
      <c r="H1830" s="1" t="s">
        <v>49</v>
      </c>
      <c r="I1830" s="1" t="s">
        <v>41</v>
      </c>
      <c r="J1830">
        <v>15</v>
      </c>
      <c r="K1830">
        <v>47</v>
      </c>
      <c r="L1830" s="1" t="s">
        <v>44</v>
      </c>
    </row>
    <row r="1831" spans="1:12" x14ac:dyDescent="0.3">
      <c r="A1831" s="1" t="s">
        <v>515</v>
      </c>
      <c r="B1831" s="2">
        <v>45905</v>
      </c>
      <c r="C1831" s="2">
        <v>45951</v>
      </c>
      <c r="D1831" s="1" t="s">
        <v>37</v>
      </c>
      <c r="E1831" s="1" t="s">
        <v>14</v>
      </c>
      <c r="F1831" s="1" t="s">
        <v>38</v>
      </c>
      <c r="G1831" s="1" t="s">
        <v>16</v>
      </c>
      <c r="H1831" s="1" t="s">
        <v>39</v>
      </c>
      <c r="I1831" s="1" t="s">
        <v>26</v>
      </c>
      <c r="J1831">
        <v>15</v>
      </c>
      <c r="K1831">
        <v>46</v>
      </c>
      <c r="L1831" s="1" t="s">
        <v>44</v>
      </c>
    </row>
    <row r="1832" spans="1:12" x14ac:dyDescent="0.3">
      <c r="A1832" s="1" t="s">
        <v>279</v>
      </c>
      <c r="B1832" s="2">
        <v>45905</v>
      </c>
      <c r="C1832" s="2">
        <v>45937</v>
      </c>
      <c r="D1832" s="1" t="s">
        <v>37</v>
      </c>
      <c r="E1832" s="1" t="s">
        <v>14</v>
      </c>
      <c r="F1832" s="1" t="s">
        <v>15</v>
      </c>
      <c r="G1832" s="1" t="s">
        <v>16</v>
      </c>
      <c r="H1832" s="1" t="s">
        <v>49</v>
      </c>
      <c r="I1832" s="1" t="s">
        <v>26</v>
      </c>
      <c r="J1832">
        <v>15</v>
      </c>
      <c r="K1832">
        <v>32</v>
      </c>
      <c r="L1832" s="1" t="s">
        <v>21</v>
      </c>
    </row>
    <row r="1833" spans="1:12" x14ac:dyDescent="0.3">
      <c r="A1833" s="1" t="s">
        <v>2608</v>
      </c>
      <c r="B1833" s="2">
        <v>45905</v>
      </c>
      <c r="C1833" s="2">
        <v>45938</v>
      </c>
      <c r="D1833" s="1" t="s">
        <v>23</v>
      </c>
      <c r="E1833" s="1" t="s">
        <v>14</v>
      </c>
      <c r="F1833" s="1" t="s">
        <v>15</v>
      </c>
      <c r="G1833" s="1" t="s">
        <v>16</v>
      </c>
      <c r="H1833" s="1" t="s">
        <v>25</v>
      </c>
      <c r="I1833" s="1" t="s">
        <v>18</v>
      </c>
      <c r="J1833">
        <v>15</v>
      </c>
      <c r="K1833">
        <v>33</v>
      </c>
      <c r="L1833" s="1" t="s">
        <v>21</v>
      </c>
    </row>
    <row r="1834" spans="1:12" x14ac:dyDescent="0.3">
      <c r="A1834" s="1" t="s">
        <v>2759</v>
      </c>
      <c r="B1834" s="2">
        <v>45905</v>
      </c>
      <c r="C1834" s="2">
        <v>45953</v>
      </c>
      <c r="D1834" s="1" t="s">
        <v>32</v>
      </c>
      <c r="E1834" s="1" t="s">
        <v>24</v>
      </c>
      <c r="F1834" s="1" t="s">
        <v>15</v>
      </c>
      <c r="G1834" s="1" t="s">
        <v>16</v>
      </c>
      <c r="H1834" s="1" t="s">
        <v>71</v>
      </c>
      <c r="I1834" s="1" t="s">
        <v>41</v>
      </c>
      <c r="J1834">
        <v>45</v>
      </c>
      <c r="K1834">
        <v>48</v>
      </c>
      <c r="L1834" s="1" t="s">
        <v>44</v>
      </c>
    </row>
    <row r="1835" spans="1:12" x14ac:dyDescent="0.3">
      <c r="A1835" s="1" t="s">
        <v>3215</v>
      </c>
      <c r="B1835" s="2">
        <v>45905</v>
      </c>
      <c r="C1835" s="2">
        <v>45980</v>
      </c>
      <c r="D1835" s="1" t="s">
        <v>13</v>
      </c>
      <c r="E1835" s="1" t="s">
        <v>14</v>
      </c>
      <c r="F1835" s="1" t="s">
        <v>15</v>
      </c>
      <c r="G1835" s="1" t="s">
        <v>16</v>
      </c>
      <c r="H1835" s="1" t="s">
        <v>47</v>
      </c>
      <c r="I1835" s="1" t="s">
        <v>26</v>
      </c>
      <c r="J1835">
        <v>15</v>
      </c>
      <c r="K1835">
        <v>75</v>
      </c>
      <c r="L1835" s="1" t="s">
        <v>80</v>
      </c>
    </row>
    <row r="1836" spans="1:12" x14ac:dyDescent="0.3">
      <c r="A1836" s="1" t="s">
        <v>837</v>
      </c>
      <c r="B1836" s="2">
        <v>45904</v>
      </c>
      <c r="C1836" s="2">
        <v>45917</v>
      </c>
      <c r="D1836" s="1" t="s">
        <v>13</v>
      </c>
      <c r="E1836" s="1" t="s">
        <v>24</v>
      </c>
      <c r="F1836" s="1" t="s">
        <v>15</v>
      </c>
      <c r="G1836" s="1" t="s">
        <v>16</v>
      </c>
      <c r="H1836" s="1" t="s">
        <v>47</v>
      </c>
      <c r="I1836" s="1" t="s">
        <v>26</v>
      </c>
      <c r="J1836">
        <v>45</v>
      </c>
      <c r="K1836">
        <v>13</v>
      </c>
      <c r="L1836" s="1" t="s">
        <v>30</v>
      </c>
    </row>
    <row r="1837" spans="1:12" x14ac:dyDescent="0.3">
      <c r="A1837" s="1" t="s">
        <v>1195</v>
      </c>
      <c r="B1837" s="2">
        <v>45904</v>
      </c>
      <c r="C1837" s="2">
        <v>45937</v>
      </c>
      <c r="D1837" s="1" t="s">
        <v>13</v>
      </c>
      <c r="E1837" s="1" t="s">
        <v>24</v>
      </c>
      <c r="F1837" s="1" t="s">
        <v>15</v>
      </c>
      <c r="G1837" s="1" t="s">
        <v>16</v>
      </c>
      <c r="H1837" s="1" t="s">
        <v>17</v>
      </c>
      <c r="I1837" s="1" t="s">
        <v>26</v>
      </c>
      <c r="J1837">
        <v>30</v>
      </c>
      <c r="K1837">
        <v>33</v>
      </c>
      <c r="L1837" s="1" t="s">
        <v>21</v>
      </c>
    </row>
    <row r="1838" spans="1:12" x14ac:dyDescent="0.3">
      <c r="A1838" s="1" t="s">
        <v>1783</v>
      </c>
      <c r="B1838" s="2">
        <v>45904</v>
      </c>
      <c r="C1838" s="2">
        <v>45948</v>
      </c>
      <c r="D1838" s="1" t="s">
        <v>13</v>
      </c>
      <c r="E1838" s="1" t="s">
        <v>24</v>
      </c>
      <c r="F1838" s="1" t="s">
        <v>15</v>
      </c>
      <c r="G1838" s="1" t="s">
        <v>16</v>
      </c>
      <c r="H1838" s="1" t="s">
        <v>17</v>
      </c>
      <c r="I1838" s="1" t="s">
        <v>26</v>
      </c>
      <c r="J1838">
        <v>30</v>
      </c>
      <c r="K1838">
        <v>44</v>
      </c>
      <c r="L1838" s="1" t="s">
        <v>44</v>
      </c>
    </row>
    <row r="1839" spans="1:12" x14ac:dyDescent="0.3">
      <c r="A1839" s="1" t="s">
        <v>2802</v>
      </c>
      <c r="B1839" s="2">
        <v>45904</v>
      </c>
      <c r="C1839" s="2">
        <v>45993</v>
      </c>
      <c r="D1839" s="1" t="s">
        <v>37</v>
      </c>
      <c r="E1839" s="1" t="s">
        <v>14</v>
      </c>
      <c r="F1839" s="1" t="s">
        <v>15</v>
      </c>
      <c r="G1839" s="1" t="s">
        <v>16</v>
      </c>
      <c r="H1839" s="1" t="s">
        <v>39</v>
      </c>
      <c r="I1839" s="1" t="s">
        <v>41</v>
      </c>
      <c r="J1839">
        <v>15</v>
      </c>
      <c r="K1839">
        <v>89</v>
      </c>
      <c r="L1839" s="1" t="s">
        <v>80</v>
      </c>
    </row>
    <row r="1840" spans="1:12" x14ac:dyDescent="0.3">
      <c r="A1840" s="1" t="s">
        <v>589</v>
      </c>
      <c r="B1840" s="2">
        <v>45904</v>
      </c>
      <c r="C1840" s="2">
        <v>45964</v>
      </c>
      <c r="D1840" s="1" t="s">
        <v>37</v>
      </c>
      <c r="E1840" s="1" t="s">
        <v>24</v>
      </c>
      <c r="F1840" s="1" t="s">
        <v>15</v>
      </c>
      <c r="G1840" s="1" t="s">
        <v>33</v>
      </c>
      <c r="H1840" s="1" t="s">
        <v>49</v>
      </c>
      <c r="I1840" s="1" t="s">
        <v>26</v>
      </c>
      <c r="J1840">
        <v>30</v>
      </c>
      <c r="K1840">
        <v>60</v>
      </c>
      <c r="L1840" s="1" t="s">
        <v>80</v>
      </c>
    </row>
    <row r="1841" spans="1:12" x14ac:dyDescent="0.3">
      <c r="A1841" s="1" t="s">
        <v>2804</v>
      </c>
      <c r="B1841" s="2">
        <v>45904</v>
      </c>
      <c r="C1841" s="2">
        <v>45940</v>
      </c>
      <c r="D1841" s="1" t="s">
        <v>13</v>
      </c>
      <c r="E1841" s="1" t="s">
        <v>14</v>
      </c>
      <c r="F1841" s="1" t="s">
        <v>15</v>
      </c>
      <c r="G1841" s="1" t="s">
        <v>16</v>
      </c>
      <c r="H1841" s="1" t="s">
        <v>47</v>
      </c>
      <c r="I1841" s="1" t="s">
        <v>41</v>
      </c>
      <c r="J1841">
        <v>15</v>
      </c>
      <c r="K1841">
        <v>36</v>
      </c>
      <c r="L1841" s="1" t="s">
        <v>21</v>
      </c>
    </row>
    <row r="1842" spans="1:12" x14ac:dyDescent="0.3">
      <c r="A1842" s="1" t="s">
        <v>542</v>
      </c>
      <c r="B1842" s="2">
        <v>45903</v>
      </c>
      <c r="C1842" s="2">
        <v>45918</v>
      </c>
      <c r="D1842" s="1" t="s">
        <v>32</v>
      </c>
      <c r="E1842" s="1" t="s">
        <v>24</v>
      </c>
      <c r="F1842" s="1" t="s">
        <v>15</v>
      </c>
      <c r="G1842" s="1" t="s">
        <v>16</v>
      </c>
      <c r="H1842" s="1" t="s">
        <v>71</v>
      </c>
      <c r="I1842" s="1" t="s">
        <v>26</v>
      </c>
      <c r="J1842">
        <v>30</v>
      </c>
      <c r="K1842">
        <v>15</v>
      </c>
      <c r="L1842" s="1" t="s">
        <v>19</v>
      </c>
    </row>
    <row r="1843" spans="1:12" x14ac:dyDescent="0.3">
      <c r="A1843" s="1" t="s">
        <v>996</v>
      </c>
      <c r="B1843" s="2">
        <v>45903</v>
      </c>
      <c r="C1843" s="2">
        <v>45952</v>
      </c>
      <c r="D1843" s="1" t="s">
        <v>13</v>
      </c>
      <c r="E1843" s="1" t="s">
        <v>14</v>
      </c>
      <c r="F1843" s="1" t="s">
        <v>38</v>
      </c>
      <c r="G1843" s="1" t="s">
        <v>16</v>
      </c>
      <c r="H1843" s="1" t="s">
        <v>47</v>
      </c>
      <c r="I1843" s="1" t="s">
        <v>41</v>
      </c>
      <c r="J1843">
        <v>15</v>
      </c>
      <c r="K1843">
        <v>49</v>
      </c>
      <c r="L1843" s="1" t="s">
        <v>44</v>
      </c>
    </row>
    <row r="1844" spans="1:12" x14ac:dyDescent="0.3">
      <c r="A1844" s="1" t="s">
        <v>1479</v>
      </c>
      <c r="B1844" s="2">
        <v>45903</v>
      </c>
      <c r="C1844" s="2">
        <v>45916</v>
      </c>
      <c r="D1844" s="1" t="s">
        <v>32</v>
      </c>
      <c r="E1844" s="1" t="s">
        <v>24</v>
      </c>
      <c r="F1844" s="1" t="s">
        <v>15</v>
      </c>
      <c r="G1844" s="1" t="s">
        <v>53</v>
      </c>
      <c r="H1844" s="1" t="s">
        <v>34</v>
      </c>
      <c r="I1844" s="1" t="s">
        <v>18</v>
      </c>
      <c r="J1844">
        <v>30</v>
      </c>
      <c r="K1844">
        <v>13</v>
      </c>
      <c r="L1844" s="1" t="s">
        <v>30</v>
      </c>
    </row>
    <row r="1845" spans="1:12" x14ac:dyDescent="0.3">
      <c r="A1845" s="1" t="s">
        <v>1729</v>
      </c>
      <c r="B1845" s="2">
        <v>45903</v>
      </c>
      <c r="C1845" s="2">
        <v>45922</v>
      </c>
      <c r="D1845" s="1" t="s">
        <v>28</v>
      </c>
      <c r="E1845" s="1" t="s">
        <v>14</v>
      </c>
      <c r="F1845" s="1" t="s">
        <v>15</v>
      </c>
      <c r="G1845" s="1" t="s">
        <v>16</v>
      </c>
      <c r="H1845" s="1" t="s">
        <v>29</v>
      </c>
      <c r="I1845" s="1" t="s">
        <v>18</v>
      </c>
      <c r="J1845">
        <v>15</v>
      </c>
      <c r="K1845">
        <v>19</v>
      </c>
      <c r="L1845" s="1" t="s">
        <v>19</v>
      </c>
    </row>
    <row r="1846" spans="1:12" x14ac:dyDescent="0.3">
      <c r="A1846" s="1" t="s">
        <v>3032</v>
      </c>
      <c r="B1846" s="2">
        <v>45903</v>
      </c>
      <c r="C1846" s="2">
        <v>45923</v>
      </c>
      <c r="D1846" s="1" t="s">
        <v>23</v>
      </c>
      <c r="E1846" s="1" t="s">
        <v>14</v>
      </c>
      <c r="F1846" s="1" t="s">
        <v>38</v>
      </c>
      <c r="G1846" s="1" t="s">
        <v>16</v>
      </c>
      <c r="H1846" s="1" t="s">
        <v>25</v>
      </c>
      <c r="I1846" s="1" t="s">
        <v>26</v>
      </c>
      <c r="J1846">
        <v>15</v>
      </c>
      <c r="K1846">
        <v>20</v>
      </c>
      <c r="L1846" s="1" t="s">
        <v>19</v>
      </c>
    </row>
    <row r="1847" spans="1:12" x14ac:dyDescent="0.3">
      <c r="A1847" s="1" t="s">
        <v>819</v>
      </c>
      <c r="B1847" s="2">
        <v>45902</v>
      </c>
      <c r="C1847" s="2">
        <v>45986</v>
      </c>
      <c r="D1847" s="1" t="s">
        <v>13</v>
      </c>
      <c r="E1847" s="1" t="s">
        <v>14</v>
      </c>
      <c r="F1847" s="1" t="s">
        <v>38</v>
      </c>
      <c r="G1847" s="1" t="s">
        <v>16</v>
      </c>
      <c r="H1847" s="1" t="s">
        <v>47</v>
      </c>
      <c r="I1847" s="1" t="s">
        <v>41</v>
      </c>
      <c r="J1847">
        <v>15</v>
      </c>
      <c r="K1847">
        <v>84</v>
      </c>
      <c r="L1847" s="1" t="s">
        <v>80</v>
      </c>
    </row>
    <row r="1848" spans="1:12" x14ac:dyDescent="0.3">
      <c r="A1848" s="1" t="s">
        <v>1101</v>
      </c>
      <c r="B1848" s="2">
        <v>45902</v>
      </c>
      <c r="C1848" s="2">
        <v>45923</v>
      </c>
      <c r="D1848" s="1" t="s">
        <v>13</v>
      </c>
      <c r="E1848" s="1" t="s">
        <v>14</v>
      </c>
      <c r="F1848" s="1" t="s">
        <v>15</v>
      </c>
      <c r="G1848" s="1" t="s">
        <v>16</v>
      </c>
      <c r="H1848" s="1" t="s">
        <v>17</v>
      </c>
      <c r="I1848" s="1" t="s">
        <v>18</v>
      </c>
      <c r="J1848">
        <v>15</v>
      </c>
      <c r="K1848">
        <v>21</v>
      </c>
      <c r="L1848" s="1" t="s">
        <v>19</v>
      </c>
    </row>
    <row r="1849" spans="1:12" x14ac:dyDescent="0.3">
      <c r="A1849" s="1" t="s">
        <v>1375</v>
      </c>
      <c r="B1849" s="2">
        <v>45902</v>
      </c>
      <c r="C1849" s="2">
        <v>45935</v>
      </c>
      <c r="D1849" s="1" t="s">
        <v>23</v>
      </c>
      <c r="E1849" s="1" t="s">
        <v>24</v>
      </c>
      <c r="F1849" s="1" t="s">
        <v>15</v>
      </c>
      <c r="G1849" s="1" t="s">
        <v>16</v>
      </c>
      <c r="H1849" s="1" t="s">
        <v>25</v>
      </c>
      <c r="I1849" s="1" t="s">
        <v>18</v>
      </c>
      <c r="J1849">
        <v>30</v>
      </c>
      <c r="K1849">
        <v>33</v>
      </c>
      <c r="L1849" s="1" t="s">
        <v>21</v>
      </c>
    </row>
    <row r="1850" spans="1:12" x14ac:dyDescent="0.3">
      <c r="A1850" s="1" t="s">
        <v>1883</v>
      </c>
      <c r="B1850" s="2">
        <v>45902</v>
      </c>
      <c r="C1850" s="2">
        <v>45944</v>
      </c>
      <c r="D1850" s="1" t="s">
        <v>32</v>
      </c>
      <c r="E1850" s="1" t="s">
        <v>24</v>
      </c>
      <c r="F1850" s="1" t="s">
        <v>15</v>
      </c>
      <c r="G1850" s="1" t="s">
        <v>16</v>
      </c>
      <c r="H1850" s="1" t="s">
        <v>71</v>
      </c>
      <c r="I1850" s="1" t="s">
        <v>26</v>
      </c>
      <c r="J1850">
        <v>30</v>
      </c>
      <c r="K1850">
        <v>42</v>
      </c>
      <c r="L1850" s="1" t="s">
        <v>21</v>
      </c>
    </row>
    <row r="1851" spans="1:12" x14ac:dyDescent="0.3">
      <c r="A1851" s="1" t="s">
        <v>2736</v>
      </c>
      <c r="B1851" s="2">
        <v>45902</v>
      </c>
      <c r="C1851" s="2">
        <v>45904</v>
      </c>
      <c r="D1851" s="1" t="s">
        <v>37</v>
      </c>
      <c r="E1851" s="1" t="s">
        <v>24</v>
      </c>
      <c r="F1851" s="1" t="s">
        <v>15</v>
      </c>
      <c r="G1851" s="1" t="s">
        <v>16</v>
      </c>
      <c r="H1851" s="1" t="s">
        <v>49</v>
      </c>
      <c r="I1851" s="1" t="s">
        <v>26</v>
      </c>
      <c r="J1851">
        <v>30</v>
      </c>
      <c r="K1851">
        <v>2</v>
      </c>
      <c r="L1851" s="1" t="s">
        <v>30</v>
      </c>
    </row>
    <row r="1852" spans="1:12" x14ac:dyDescent="0.3">
      <c r="A1852" s="1" t="s">
        <v>2292</v>
      </c>
      <c r="B1852" s="2">
        <v>45902</v>
      </c>
      <c r="C1852" s="2">
        <v>45944</v>
      </c>
      <c r="D1852" s="1" t="s">
        <v>28</v>
      </c>
      <c r="E1852" s="1" t="s">
        <v>24</v>
      </c>
      <c r="F1852" s="1" t="s">
        <v>15</v>
      </c>
      <c r="G1852" s="1" t="s">
        <v>16</v>
      </c>
      <c r="H1852" s="1" t="s">
        <v>54</v>
      </c>
      <c r="I1852" s="1" t="s">
        <v>41</v>
      </c>
      <c r="J1852">
        <v>45</v>
      </c>
      <c r="K1852">
        <v>42</v>
      </c>
      <c r="L1852" s="1" t="s">
        <v>21</v>
      </c>
    </row>
    <row r="1853" spans="1:12" x14ac:dyDescent="0.3">
      <c r="A1853" s="1" t="s">
        <v>2318</v>
      </c>
      <c r="B1853" s="2">
        <v>45902</v>
      </c>
      <c r="C1853" s="2">
        <v>45942</v>
      </c>
      <c r="D1853" s="1" t="s">
        <v>28</v>
      </c>
      <c r="E1853" s="1" t="s">
        <v>14</v>
      </c>
      <c r="F1853" s="1" t="s">
        <v>38</v>
      </c>
      <c r="G1853" s="1" t="s">
        <v>16</v>
      </c>
      <c r="H1853" s="1" t="s">
        <v>29</v>
      </c>
      <c r="I1853" s="1" t="s">
        <v>26</v>
      </c>
      <c r="J1853">
        <v>30</v>
      </c>
      <c r="K1853">
        <v>40</v>
      </c>
      <c r="L1853" s="1" t="s">
        <v>21</v>
      </c>
    </row>
    <row r="1854" spans="1:12" x14ac:dyDescent="0.3">
      <c r="A1854" s="1" t="s">
        <v>2383</v>
      </c>
      <c r="B1854" s="2">
        <v>45902</v>
      </c>
      <c r="C1854" s="2">
        <v>45948</v>
      </c>
      <c r="D1854" s="1" t="s">
        <v>13</v>
      </c>
      <c r="E1854" s="1" t="s">
        <v>24</v>
      </c>
      <c r="F1854" s="1" t="s">
        <v>15</v>
      </c>
      <c r="G1854" s="1" t="s">
        <v>53</v>
      </c>
      <c r="H1854" s="1" t="s">
        <v>47</v>
      </c>
      <c r="I1854" s="1" t="s">
        <v>18</v>
      </c>
      <c r="J1854">
        <v>30</v>
      </c>
      <c r="K1854">
        <v>46</v>
      </c>
      <c r="L1854" s="1" t="s">
        <v>44</v>
      </c>
    </row>
    <row r="1855" spans="1:12" x14ac:dyDescent="0.3">
      <c r="A1855" s="1" t="s">
        <v>3050</v>
      </c>
      <c r="B1855" s="2">
        <v>45902</v>
      </c>
      <c r="C1855" s="2">
        <v>45940</v>
      </c>
      <c r="D1855" s="1" t="s">
        <v>13</v>
      </c>
      <c r="E1855" s="1" t="s">
        <v>14</v>
      </c>
      <c r="F1855" s="1" t="s">
        <v>15</v>
      </c>
      <c r="G1855" s="1" t="s">
        <v>16</v>
      </c>
      <c r="H1855" s="1" t="s">
        <v>17</v>
      </c>
      <c r="I1855" s="1" t="s">
        <v>26</v>
      </c>
      <c r="J1855">
        <v>15</v>
      </c>
      <c r="K1855">
        <v>38</v>
      </c>
      <c r="L1855" s="1" t="s">
        <v>21</v>
      </c>
    </row>
    <row r="1856" spans="1:12" x14ac:dyDescent="0.3">
      <c r="A1856" s="1" t="s">
        <v>1416</v>
      </c>
      <c r="B1856" s="2">
        <v>45901</v>
      </c>
      <c r="C1856" s="2">
        <v>45955</v>
      </c>
      <c r="D1856" s="1" t="s">
        <v>23</v>
      </c>
      <c r="E1856" s="1" t="s">
        <v>24</v>
      </c>
      <c r="F1856" s="1" t="s">
        <v>15</v>
      </c>
      <c r="G1856" s="1" t="s">
        <v>16</v>
      </c>
      <c r="H1856" s="1" t="s">
        <v>25</v>
      </c>
      <c r="I1856" s="1" t="s">
        <v>26</v>
      </c>
      <c r="J1856">
        <v>30</v>
      </c>
      <c r="K1856">
        <v>54</v>
      </c>
      <c r="L1856" s="1" t="s">
        <v>44</v>
      </c>
    </row>
    <row r="1857" spans="1:12" x14ac:dyDescent="0.3">
      <c r="A1857" s="1" t="s">
        <v>2266</v>
      </c>
      <c r="B1857" s="2">
        <v>45901</v>
      </c>
      <c r="C1857" s="2">
        <v>45960</v>
      </c>
      <c r="D1857" s="1" t="s">
        <v>13</v>
      </c>
      <c r="E1857" s="1" t="s">
        <v>14</v>
      </c>
      <c r="F1857" s="1" t="s">
        <v>15</v>
      </c>
      <c r="G1857" s="1" t="s">
        <v>16</v>
      </c>
      <c r="H1857" s="1" t="s">
        <v>17</v>
      </c>
      <c r="I1857" s="1" t="s">
        <v>26</v>
      </c>
      <c r="J1857">
        <v>15</v>
      </c>
      <c r="K1857">
        <v>59</v>
      </c>
      <c r="L1857" s="1" t="s">
        <v>80</v>
      </c>
    </row>
    <row r="1858" spans="1:12" x14ac:dyDescent="0.3">
      <c r="A1858" s="1" t="s">
        <v>2518</v>
      </c>
      <c r="B1858" s="2">
        <v>45901</v>
      </c>
      <c r="C1858" s="2">
        <v>45938</v>
      </c>
      <c r="D1858" s="1" t="s">
        <v>28</v>
      </c>
      <c r="E1858" s="1" t="s">
        <v>24</v>
      </c>
      <c r="F1858" s="1" t="s">
        <v>15</v>
      </c>
      <c r="G1858" s="1" t="s">
        <v>33</v>
      </c>
      <c r="H1858" s="1" t="s">
        <v>54</v>
      </c>
      <c r="I1858" s="1" t="s">
        <v>26</v>
      </c>
      <c r="J1858">
        <v>45</v>
      </c>
      <c r="K1858">
        <v>37</v>
      </c>
      <c r="L1858" s="1" t="s">
        <v>21</v>
      </c>
    </row>
    <row r="1859" spans="1:12" x14ac:dyDescent="0.3">
      <c r="A1859" s="1" t="s">
        <v>2967</v>
      </c>
      <c r="B1859" s="2">
        <v>45901</v>
      </c>
      <c r="C1859" s="2">
        <v>45937</v>
      </c>
      <c r="D1859" s="1" t="s">
        <v>13</v>
      </c>
      <c r="E1859" s="1" t="s">
        <v>14</v>
      </c>
      <c r="F1859" s="1" t="s">
        <v>38</v>
      </c>
      <c r="G1859" s="1" t="s">
        <v>16</v>
      </c>
      <c r="H1859" s="1" t="s">
        <v>47</v>
      </c>
      <c r="I1859" s="1" t="s">
        <v>26</v>
      </c>
      <c r="J1859">
        <v>15</v>
      </c>
      <c r="K1859">
        <v>36</v>
      </c>
      <c r="L1859" s="1" t="s">
        <v>21</v>
      </c>
    </row>
    <row r="1860" spans="1:12" x14ac:dyDescent="0.3">
      <c r="A1860" s="1" t="s">
        <v>3004</v>
      </c>
      <c r="B1860" s="2">
        <v>45901</v>
      </c>
      <c r="C1860" s="2">
        <v>45941</v>
      </c>
      <c r="D1860" s="1" t="s">
        <v>13</v>
      </c>
      <c r="E1860" s="1" t="s">
        <v>14</v>
      </c>
      <c r="F1860" s="1" t="s">
        <v>15</v>
      </c>
      <c r="G1860" s="1" t="s">
        <v>33</v>
      </c>
      <c r="H1860" s="1" t="s">
        <v>47</v>
      </c>
      <c r="I1860" s="1" t="s">
        <v>26</v>
      </c>
      <c r="J1860">
        <v>15</v>
      </c>
      <c r="K1860">
        <v>40</v>
      </c>
      <c r="L1860" s="1" t="s">
        <v>21</v>
      </c>
    </row>
    <row r="1861" spans="1:12" x14ac:dyDescent="0.3">
      <c r="A1861" s="1" t="s">
        <v>3113</v>
      </c>
      <c r="B1861" s="2">
        <v>45901</v>
      </c>
      <c r="C1861" s="2">
        <v>45904</v>
      </c>
      <c r="D1861" s="1" t="s">
        <v>13</v>
      </c>
      <c r="E1861" s="1" t="s">
        <v>24</v>
      </c>
      <c r="F1861" s="1" t="s">
        <v>38</v>
      </c>
      <c r="G1861" s="1" t="s">
        <v>16</v>
      </c>
      <c r="H1861" s="1" t="s">
        <v>47</v>
      </c>
      <c r="I1861" s="1" t="s">
        <v>41</v>
      </c>
      <c r="J1861">
        <v>30</v>
      </c>
      <c r="K1861">
        <v>3</v>
      </c>
      <c r="L1861" s="1" t="s">
        <v>30</v>
      </c>
    </row>
    <row r="1862" spans="1:12" x14ac:dyDescent="0.3">
      <c r="A1862" s="1" t="s">
        <v>206</v>
      </c>
      <c r="B1862" s="2">
        <v>45900</v>
      </c>
      <c r="C1862" s="2">
        <v>45955</v>
      </c>
      <c r="D1862" s="1" t="s">
        <v>13</v>
      </c>
      <c r="E1862" s="1" t="s">
        <v>14</v>
      </c>
      <c r="F1862" s="1" t="s">
        <v>15</v>
      </c>
      <c r="G1862" s="1" t="s">
        <v>16</v>
      </c>
      <c r="H1862" s="1" t="s">
        <v>47</v>
      </c>
      <c r="I1862" s="1" t="s">
        <v>26</v>
      </c>
      <c r="J1862">
        <v>30</v>
      </c>
      <c r="K1862">
        <v>55</v>
      </c>
      <c r="L1862" s="1" t="s">
        <v>44</v>
      </c>
    </row>
    <row r="1863" spans="1:12" x14ac:dyDescent="0.3">
      <c r="A1863" s="1" t="s">
        <v>316</v>
      </c>
      <c r="B1863" s="2">
        <v>45900</v>
      </c>
      <c r="C1863" s="2">
        <v>45945</v>
      </c>
      <c r="D1863" s="1" t="s">
        <v>28</v>
      </c>
      <c r="E1863" s="1" t="s">
        <v>14</v>
      </c>
      <c r="F1863" s="1" t="s">
        <v>15</v>
      </c>
      <c r="G1863" s="1" t="s">
        <v>16</v>
      </c>
      <c r="H1863" s="1" t="s">
        <v>29</v>
      </c>
      <c r="I1863" s="1" t="s">
        <v>18</v>
      </c>
      <c r="J1863">
        <v>30</v>
      </c>
      <c r="K1863">
        <v>45</v>
      </c>
      <c r="L1863" s="1" t="s">
        <v>44</v>
      </c>
    </row>
    <row r="1864" spans="1:12" x14ac:dyDescent="0.3">
      <c r="A1864" s="1" t="s">
        <v>506</v>
      </c>
      <c r="B1864" s="2">
        <v>45900</v>
      </c>
      <c r="C1864" s="2">
        <v>45933</v>
      </c>
      <c r="D1864" s="1" t="s">
        <v>23</v>
      </c>
      <c r="E1864" s="1" t="s">
        <v>24</v>
      </c>
      <c r="F1864" s="1" t="s">
        <v>15</v>
      </c>
      <c r="G1864" s="1" t="s">
        <v>53</v>
      </c>
      <c r="H1864" s="1" t="s">
        <v>43</v>
      </c>
      <c r="I1864" s="1" t="s">
        <v>41</v>
      </c>
      <c r="J1864">
        <v>30</v>
      </c>
      <c r="K1864">
        <v>33</v>
      </c>
      <c r="L1864" s="1" t="s">
        <v>21</v>
      </c>
    </row>
    <row r="1865" spans="1:12" x14ac:dyDescent="0.3">
      <c r="A1865" s="1" t="s">
        <v>774</v>
      </c>
      <c r="B1865" s="2">
        <v>45900</v>
      </c>
      <c r="C1865" s="2">
        <v>45955</v>
      </c>
      <c r="D1865" s="1" t="s">
        <v>32</v>
      </c>
      <c r="E1865" s="1" t="s">
        <v>14</v>
      </c>
      <c r="F1865" s="1" t="s">
        <v>15</v>
      </c>
      <c r="G1865" s="1" t="s">
        <v>16</v>
      </c>
      <c r="H1865" s="1" t="s">
        <v>34</v>
      </c>
      <c r="I1865" s="1" t="s">
        <v>26</v>
      </c>
      <c r="J1865">
        <v>15</v>
      </c>
      <c r="K1865">
        <v>55</v>
      </c>
      <c r="L1865" s="1" t="s">
        <v>44</v>
      </c>
    </row>
    <row r="1866" spans="1:12" x14ac:dyDescent="0.3">
      <c r="A1866" s="1" t="s">
        <v>971</v>
      </c>
      <c r="B1866" s="2">
        <v>45900</v>
      </c>
      <c r="C1866" s="2">
        <v>45959</v>
      </c>
      <c r="D1866" s="1" t="s">
        <v>32</v>
      </c>
      <c r="E1866" s="1" t="s">
        <v>24</v>
      </c>
      <c r="F1866" s="1" t="s">
        <v>15</v>
      </c>
      <c r="G1866" s="1" t="s">
        <v>16</v>
      </c>
      <c r="H1866" s="1" t="s">
        <v>34</v>
      </c>
      <c r="I1866" s="1" t="s">
        <v>41</v>
      </c>
      <c r="J1866">
        <v>30</v>
      </c>
      <c r="K1866">
        <v>59</v>
      </c>
      <c r="L1866" s="1" t="s">
        <v>80</v>
      </c>
    </row>
    <row r="1867" spans="1:12" x14ac:dyDescent="0.3">
      <c r="A1867" s="1" t="s">
        <v>1121</v>
      </c>
      <c r="B1867" s="2">
        <v>45900</v>
      </c>
      <c r="C1867" s="2">
        <v>45946</v>
      </c>
      <c r="D1867" s="1" t="s">
        <v>28</v>
      </c>
      <c r="E1867" s="1" t="s">
        <v>14</v>
      </c>
      <c r="F1867" s="1" t="s">
        <v>38</v>
      </c>
      <c r="G1867" s="1" t="s">
        <v>33</v>
      </c>
      <c r="H1867" s="1" t="s">
        <v>54</v>
      </c>
      <c r="I1867" s="1" t="s">
        <v>26</v>
      </c>
      <c r="J1867">
        <v>15</v>
      </c>
      <c r="K1867">
        <v>46</v>
      </c>
      <c r="L1867" s="1" t="s">
        <v>44</v>
      </c>
    </row>
    <row r="1868" spans="1:12" x14ac:dyDescent="0.3">
      <c r="A1868" s="1" t="s">
        <v>1227</v>
      </c>
      <c r="B1868" s="2">
        <v>45900</v>
      </c>
      <c r="C1868" s="2">
        <v>45953</v>
      </c>
      <c r="D1868" s="1" t="s">
        <v>23</v>
      </c>
      <c r="E1868" s="1" t="s">
        <v>14</v>
      </c>
      <c r="F1868" s="1" t="s">
        <v>15</v>
      </c>
      <c r="G1868" s="1" t="s">
        <v>53</v>
      </c>
      <c r="H1868" s="1" t="s">
        <v>25</v>
      </c>
      <c r="I1868" s="1" t="s">
        <v>18</v>
      </c>
      <c r="J1868">
        <v>15</v>
      </c>
      <c r="K1868">
        <v>53</v>
      </c>
      <c r="L1868" s="1" t="s">
        <v>44</v>
      </c>
    </row>
    <row r="1869" spans="1:12" x14ac:dyDescent="0.3">
      <c r="A1869" s="1" t="s">
        <v>1720</v>
      </c>
      <c r="B1869" s="2">
        <v>45900</v>
      </c>
      <c r="C1869" s="2">
        <v>45948</v>
      </c>
      <c r="D1869" s="1" t="s">
        <v>13</v>
      </c>
      <c r="E1869" s="1" t="s">
        <v>14</v>
      </c>
      <c r="F1869" s="1" t="s">
        <v>15</v>
      </c>
      <c r="G1869" s="1" t="s">
        <v>33</v>
      </c>
      <c r="H1869" s="1" t="s">
        <v>17</v>
      </c>
      <c r="I1869" s="1" t="s">
        <v>41</v>
      </c>
      <c r="J1869">
        <v>15</v>
      </c>
      <c r="K1869">
        <v>48</v>
      </c>
      <c r="L1869" s="1" t="s">
        <v>44</v>
      </c>
    </row>
    <row r="1870" spans="1:12" x14ac:dyDescent="0.3">
      <c r="A1870" s="1" t="s">
        <v>2740</v>
      </c>
      <c r="B1870" s="2">
        <v>45900</v>
      </c>
      <c r="C1870" s="2">
        <v>45955</v>
      </c>
      <c r="D1870" s="1" t="s">
        <v>37</v>
      </c>
      <c r="E1870" s="1" t="s">
        <v>24</v>
      </c>
      <c r="F1870" s="1" t="s">
        <v>15</v>
      </c>
      <c r="G1870" s="1" t="s">
        <v>16</v>
      </c>
      <c r="H1870" s="1" t="s">
        <v>39</v>
      </c>
      <c r="I1870" s="1" t="s">
        <v>18</v>
      </c>
      <c r="J1870">
        <v>30</v>
      </c>
      <c r="K1870">
        <v>55</v>
      </c>
      <c r="L1870" s="1" t="s">
        <v>44</v>
      </c>
    </row>
    <row r="1871" spans="1:12" x14ac:dyDescent="0.3">
      <c r="A1871" s="1" t="s">
        <v>1014</v>
      </c>
      <c r="B1871" s="2">
        <v>45900</v>
      </c>
      <c r="C1871" s="2">
        <v>45944</v>
      </c>
      <c r="D1871" s="1" t="s">
        <v>37</v>
      </c>
      <c r="E1871" s="1" t="s">
        <v>24</v>
      </c>
      <c r="F1871" s="1" t="s">
        <v>15</v>
      </c>
      <c r="G1871" s="1" t="s">
        <v>16</v>
      </c>
      <c r="H1871" s="1" t="s">
        <v>49</v>
      </c>
      <c r="I1871" s="1" t="s">
        <v>26</v>
      </c>
      <c r="J1871">
        <v>30</v>
      </c>
      <c r="K1871">
        <v>44</v>
      </c>
      <c r="L1871" s="1" t="s">
        <v>44</v>
      </c>
    </row>
    <row r="1872" spans="1:12" x14ac:dyDescent="0.3">
      <c r="A1872" s="1" t="s">
        <v>2112</v>
      </c>
      <c r="B1872" s="2">
        <v>45900</v>
      </c>
      <c r="C1872" s="2">
        <v>45946</v>
      </c>
      <c r="D1872" s="1" t="s">
        <v>32</v>
      </c>
      <c r="E1872" s="1" t="s">
        <v>24</v>
      </c>
      <c r="F1872" s="1" t="s">
        <v>15</v>
      </c>
      <c r="G1872" s="1" t="s">
        <v>16</v>
      </c>
      <c r="H1872" s="1" t="s">
        <v>34</v>
      </c>
      <c r="I1872" s="1" t="s">
        <v>41</v>
      </c>
      <c r="J1872">
        <v>30</v>
      </c>
      <c r="K1872">
        <v>46</v>
      </c>
      <c r="L1872" s="1" t="s">
        <v>44</v>
      </c>
    </row>
    <row r="1873" spans="1:12" x14ac:dyDescent="0.3">
      <c r="A1873" s="1" t="s">
        <v>2462</v>
      </c>
      <c r="B1873" s="2">
        <v>45900</v>
      </c>
      <c r="C1873" s="2">
        <v>45948</v>
      </c>
      <c r="D1873" s="1" t="s">
        <v>23</v>
      </c>
      <c r="E1873" s="1" t="s">
        <v>14</v>
      </c>
      <c r="F1873" s="1" t="s">
        <v>15</v>
      </c>
      <c r="G1873" s="1" t="s">
        <v>53</v>
      </c>
      <c r="H1873" s="1" t="s">
        <v>25</v>
      </c>
      <c r="I1873" s="1" t="s">
        <v>26</v>
      </c>
      <c r="J1873">
        <v>15</v>
      </c>
      <c r="K1873">
        <v>48</v>
      </c>
      <c r="L1873" s="1" t="s">
        <v>44</v>
      </c>
    </row>
    <row r="1874" spans="1:12" x14ac:dyDescent="0.3">
      <c r="A1874" s="1" t="s">
        <v>2537</v>
      </c>
      <c r="B1874" s="2">
        <v>45900</v>
      </c>
      <c r="C1874" s="2">
        <v>45945</v>
      </c>
      <c r="D1874" s="1" t="s">
        <v>28</v>
      </c>
      <c r="E1874" s="1" t="s">
        <v>14</v>
      </c>
      <c r="F1874" s="1" t="s">
        <v>15</v>
      </c>
      <c r="G1874" s="1" t="s">
        <v>53</v>
      </c>
      <c r="H1874" s="1" t="s">
        <v>54</v>
      </c>
      <c r="I1874" s="1" t="s">
        <v>26</v>
      </c>
      <c r="J1874">
        <v>30</v>
      </c>
      <c r="K1874">
        <v>45</v>
      </c>
      <c r="L1874" s="1" t="s">
        <v>44</v>
      </c>
    </row>
    <row r="1875" spans="1:12" x14ac:dyDescent="0.3">
      <c r="A1875" s="1" t="s">
        <v>289</v>
      </c>
      <c r="B1875" s="2">
        <v>45899</v>
      </c>
      <c r="C1875" s="2">
        <v>45933</v>
      </c>
      <c r="D1875" s="1" t="s">
        <v>23</v>
      </c>
      <c r="E1875" s="1" t="s">
        <v>24</v>
      </c>
      <c r="F1875" s="1" t="s">
        <v>15</v>
      </c>
      <c r="G1875" s="1" t="s">
        <v>16</v>
      </c>
      <c r="H1875" s="1" t="s">
        <v>43</v>
      </c>
      <c r="I1875" s="1" t="s">
        <v>18</v>
      </c>
      <c r="J1875">
        <v>30</v>
      </c>
      <c r="K1875">
        <v>34</v>
      </c>
      <c r="L1875" s="1" t="s">
        <v>21</v>
      </c>
    </row>
    <row r="1876" spans="1:12" x14ac:dyDescent="0.3">
      <c r="A1876" s="1" t="s">
        <v>467</v>
      </c>
      <c r="B1876" s="2">
        <v>45899</v>
      </c>
      <c r="C1876" s="2">
        <v>45919</v>
      </c>
      <c r="D1876" s="1" t="s">
        <v>32</v>
      </c>
      <c r="E1876" s="1" t="s">
        <v>24</v>
      </c>
      <c r="F1876" s="1" t="s">
        <v>15</v>
      </c>
      <c r="G1876" s="1" t="s">
        <v>16</v>
      </c>
      <c r="H1876" s="1" t="s">
        <v>71</v>
      </c>
      <c r="I1876" s="1" t="s">
        <v>18</v>
      </c>
      <c r="J1876">
        <v>30</v>
      </c>
      <c r="K1876">
        <v>20</v>
      </c>
      <c r="L1876" s="1" t="s">
        <v>19</v>
      </c>
    </row>
    <row r="1877" spans="1:12" x14ac:dyDescent="0.3">
      <c r="A1877" s="1" t="s">
        <v>614</v>
      </c>
      <c r="B1877" s="2">
        <v>45899</v>
      </c>
      <c r="C1877" s="2">
        <v>45976</v>
      </c>
      <c r="D1877" s="1" t="s">
        <v>28</v>
      </c>
      <c r="E1877" s="1" t="s">
        <v>14</v>
      </c>
      <c r="F1877" s="1" t="s">
        <v>15</v>
      </c>
      <c r="G1877" s="1" t="s">
        <v>53</v>
      </c>
      <c r="H1877" s="1" t="s">
        <v>29</v>
      </c>
      <c r="I1877" s="1" t="s">
        <v>18</v>
      </c>
      <c r="J1877">
        <v>15</v>
      </c>
      <c r="K1877">
        <v>77</v>
      </c>
      <c r="L1877" s="1" t="s">
        <v>80</v>
      </c>
    </row>
    <row r="1878" spans="1:12" x14ac:dyDescent="0.3">
      <c r="A1878" s="1" t="s">
        <v>666</v>
      </c>
      <c r="B1878" s="2">
        <v>45899</v>
      </c>
      <c r="C1878" s="2">
        <v>45915</v>
      </c>
      <c r="D1878" s="1" t="s">
        <v>28</v>
      </c>
      <c r="E1878" s="1" t="s">
        <v>14</v>
      </c>
      <c r="F1878" s="1" t="s">
        <v>15</v>
      </c>
      <c r="G1878" s="1" t="s">
        <v>16</v>
      </c>
      <c r="H1878" s="1" t="s">
        <v>29</v>
      </c>
      <c r="I1878" s="1" t="s">
        <v>26</v>
      </c>
      <c r="J1878">
        <v>15</v>
      </c>
      <c r="K1878">
        <v>16</v>
      </c>
      <c r="L1878" s="1" t="s">
        <v>19</v>
      </c>
    </row>
    <row r="1879" spans="1:12" x14ac:dyDescent="0.3">
      <c r="A1879" s="1" t="s">
        <v>1085</v>
      </c>
      <c r="B1879" s="2">
        <v>45899</v>
      </c>
      <c r="C1879" s="2">
        <v>45932</v>
      </c>
      <c r="D1879" s="1" t="s">
        <v>28</v>
      </c>
      <c r="E1879" s="1" t="s">
        <v>14</v>
      </c>
      <c r="F1879" s="1" t="s">
        <v>15</v>
      </c>
      <c r="G1879" s="1" t="s">
        <v>16</v>
      </c>
      <c r="H1879" s="1" t="s">
        <v>29</v>
      </c>
      <c r="I1879" s="1" t="s">
        <v>26</v>
      </c>
      <c r="J1879">
        <v>30</v>
      </c>
      <c r="K1879">
        <v>33</v>
      </c>
      <c r="L1879" s="1" t="s">
        <v>21</v>
      </c>
    </row>
    <row r="1880" spans="1:12" x14ac:dyDescent="0.3">
      <c r="A1880" s="1" t="s">
        <v>1233</v>
      </c>
      <c r="B1880" s="2">
        <v>45899</v>
      </c>
      <c r="C1880" s="2">
        <v>45941</v>
      </c>
      <c r="D1880" s="1" t="s">
        <v>13</v>
      </c>
      <c r="E1880" s="1" t="s">
        <v>14</v>
      </c>
      <c r="F1880" s="1" t="s">
        <v>15</v>
      </c>
      <c r="G1880" s="1" t="s">
        <v>16</v>
      </c>
      <c r="H1880" s="1" t="s">
        <v>47</v>
      </c>
      <c r="I1880" s="1" t="s">
        <v>41</v>
      </c>
      <c r="J1880">
        <v>15</v>
      </c>
      <c r="K1880">
        <v>42</v>
      </c>
      <c r="L1880" s="1" t="s">
        <v>21</v>
      </c>
    </row>
    <row r="1881" spans="1:12" x14ac:dyDescent="0.3">
      <c r="A1881" s="1" t="s">
        <v>1351</v>
      </c>
      <c r="B1881" s="2">
        <v>45899</v>
      </c>
      <c r="C1881" s="2">
        <v>45935</v>
      </c>
      <c r="D1881" s="1" t="s">
        <v>32</v>
      </c>
      <c r="E1881" s="1" t="s">
        <v>14</v>
      </c>
      <c r="F1881" s="1" t="s">
        <v>15</v>
      </c>
      <c r="G1881" s="1" t="s">
        <v>53</v>
      </c>
      <c r="H1881" s="1" t="s">
        <v>34</v>
      </c>
      <c r="I1881" s="1" t="s">
        <v>26</v>
      </c>
      <c r="J1881">
        <v>15</v>
      </c>
      <c r="K1881">
        <v>36</v>
      </c>
      <c r="L1881" s="1" t="s">
        <v>21</v>
      </c>
    </row>
    <row r="1882" spans="1:12" x14ac:dyDescent="0.3">
      <c r="A1882" s="1" t="s">
        <v>1677</v>
      </c>
      <c r="B1882" s="2">
        <v>45899</v>
      </c>
      <c r="C1882" s="2">
        <v>45931</v>
      </c>
      <c r="D1882" s="1" t="s">
        <v>23</v>
      </c>
      <c r="E1882" s="1" t="s">
        <v>14</v>
      </c>
      <c r="F1882" s="1" t="s">
        <v>15</v>
      </c>
      <c r="G1882" s="1" t="s">
        <v>16</v>
      </c>
      <c r="H1882" s="1" t="s">
        <v>25</v>
      </c>
      <c r="I1882" s="1" t="s">
        <v>26</v>
      </c>
      <c r="J1882">
        <v>30</v>
      </c>
      <c r="K1882">
        <v>32</v>
      </c>
      <c r="L1882" s="1" t="s">
        <v>21</v>
      </c>
    </row>
    <row r="1883" spans="1:12" x14ac:dyDescent="0.3">
      <c r="A1883" s="1" t="s">
        <v>1267</v>
      </c>
      <c r="B1883" s="2">
        <v>45899</v>
      </c>
      <c r="C1883" s="2">
        <v>45940</v>
      </c>
      <c r="D1883" s="1" t="s">
        <v>37</v>
      </c>
      <c r="E1883" s="1" t="s">
        <v>24</v>
      </c>
      <c r="F1883" s="1" t="s">
        <v>15</v>
      </c>
      <c r="G1883" s="1" t="s">
        <v>16</v>
      </c>
      <c r="H1883" s="1" t="s">
        <v>39</v>
      </c>
      <c r="I1883" s="1" t="s">
        <v>26</v>
      </c>
      <c r="J1883">
        <v>30</v>
      </c>
      <c r="K1883">
        <v>41</v>
      </c>
      <c r="L1883" s="1" t="s">
        <v>21</v>
      </c>
    </row>
    <row r="1884" spans="1:12" x14ac:dyDescent="0.3">
      <c r="A1884" s="1" t="s">
        <v>2791</v>
      </c>
      <c r="B1884" s="2">
        <v>45899</v>
      </c>
      <c r="C1884" s="2">
        <v>45940</v>
      </c>
      <c r="D1884" s="1" t="s">
        <v>37</v>
      </c>
      <c r="E1884" s="1" t="s">
        <v>14</v>
      </c>
      <c r="F1884" s="1" t="s">
        <v>15</v>
      </c>
      <c r="G1884" s="1" t="s">
        <v>16</v>
      </c>
      <c r="H1884" s="1" t="s">
        <v>49</v>
      </c>
      <c r="I1884" s="1" t="s">
        <v>26</v>
      </c>
      <c r="J1884">
        <v>15</v>
      </c>
      <c r="K1884">
        <v>41</v>
      </c>
      <c r="L1884" s="1" t="s">
        <v>21</v>
      </c>
    </row>
    <row r="1885" spans="1:12" x14ac:dyDescent="0.3">
      <c r="A1885" s="1" t="s">
        <v>1522</v>
      </c>
      <c r="B1885" s="2">
        <v>45899</v>
      </c>
      <c r="C1885" s="2">
        <v>45932</v>
      </c>
      <c r="D1885" s="1" t="s">
        <v>37</v>
      </c>
      <c r="E1885" s="1" t="s">
        <v>14</v>
      </c>
      <c r="F1885" s="1" t="s">
        <v>15</v>
      </c>
      <c r="G1885" s="1" t="s">
        <v>16</v>
      </c>
      <c r="H1885" s="1" t="s">
        <v>49</v>
      </c>
      <c r="I1885" s="1" t="s">
        <v>18</v>
      </c>
      <c r="J1885">
        <v>15</v>
      </c>
      <c r="K1885">
        <v>33</v>
      </c>
      <c r="L1885" s="1" t="s">
        <v>21</v>
      </c>
    </row>
    <row r="1886" spans="1:12" x14ac:dyDescent="0.3">
      <c r="A1886" s="1" t="s">
        <v>2332</v>
      </c>
      <c r="B1886" s="2">
        <v>45899</v>
      </c>
      <c r="C1886" s="2">
        <v>45919</v>
      </c>
      <c r="D1886" s="1" t="s">
        <v>23</v>
      </c>
      <c r="E1886" s="1" t="s">
        <v>14</v>
      </c>
      <c r="F1886" s="1" t="s">
        <v>15</v>
      </c>
      <c r="G1886" s="1" t="s">
        <v>16</v>
      </c>
      <c r="H1886" s="1" t="s">
        <v>43</v>
      </c>
      <c r="I1886" s="1" t="s">
        <v>18</v>
      </c>
      <c r="J1886">
        <v>15</v>
      </c>
      <c r="K1886">
        <v>20</v>
      </c>
      <c r="L1886" s="1" t="s">
        <v>19</v>
      </c>
    </row>
    <row r="1887" spans="1:12" x14ac:dyDescent="0.3">
      <c r="A1887" s="1" t="s">
        <v>538</v>
      </c>
      <c r="B1887" s="2">
        <v>45898</v>
      </c>
      <c r="C1887" s="2">
        <v>45943</v>
      </c>
      <c r="D1887" s="1" t="s">
        <v>28</v>
      </c>
      <c r="E1887" s="1" t="s">
        <v>24</v>
      </c>
      <c r="F1887" s="1" t="s">
        <v>15</v>
      </c>
      <c r="G1887" s="1" t="s">
        <v>33</v>
      </c>
      <c r="H1887" s="1" t="s">
        <v>54</v>
      </c>
      <c r="I1887" s="1" t="s">
        <v>18</v>
      </c>
      <c r="J1887">
        <v>30</v>
      </c>
      <c r="K1887">
        <v>45</v>
      </c>
      <c r="L1887" s="1" t="s">
        <v>44</v>
      </c>
    </row>
    <row r="1888" spans="1:12" x14ac:dyDescent="0.3">
      <c r="A1888" s="1" t="s">
        <v>1527</v>
      </c>
      <c r="B1888" s="2">
        <v>45898</v>
      </c>
      <c r="C1888" s="2">
        <v>45936</v>
      </c>
      <c r="D1888" s="1" t="s">
        <v>28</v>
      </c>
      <c r="E1888" s="1" t="s">
        <v>24</v>
      </c>
      <c r="F1888" s="1" t="s">
        <v>15</v>
      </c>
      <c r="G1888" s="1" t="s">
        <v>16</v>
      </c>
      <c r="H1888" s="1" t="s">
        <v>54</v>
      </c>
      <c r="I1888" s="1" t="s">
        <v>26</v>
      </c>
      <c r="J1888">
        <v>30</v>
      </c>
      <c r="K1888">
        <v>38</v>
      </c>
      <c r="L1888" s="1" t="s">
        <v>21</v>
      </c>
    </row>
    <row r="1889" spans="1:12" x14ac:dyDescent="0.3">
      <c r="A1889" s="1" t="s">
        <v>1626</v>
      </c>
      <c r="B1889" s="2">
        <v>45898</v>
      </c>
      <c r="C1889" s="2">
        <v>45937</v>
      </c>
      <c r="D1889" s="1" t="s">
        <v>32</v>
      </c>
      <c r="E1889" s="1" t="s">
        <v>14</v>
      </c>
      <c r="F1889" s="1" t="s">
        <v>38</v>
      </c>
      <c r="G1889" s="1" t="s">
        <v>16</v>
      </c>
      <c r="H1889" s="1" t="s">
        <v>34</v>
      </c>
      <c r="I1889" s="1" t="s">
        <v>41</v>
      </c>
      <c r="J1889">
        <v>15</v>
      </c>
      <c r="K1889">
        <v>39</v>
      </c>
      <c r="L1889" s="1" t="s">
        <v>21</v>
      </c>
    </row>
    <row r="1890" spans="1:12" x14ac:dyDescent="0.3">
      <c r="A1890" s="1" t="s">
        <v>1761</v>
      </c>
      <c r="B1890" s="2">
        <v>45898</v>
      </c>
      <c r="C1890" s="2">
        <v>45919</v>
      </c>
      <c r="D1890" s="1" t="s">
        <v>13</v>
      </c>
      <c r="E1890" s="1" t="s">
        <v>24</v>
      </c>
      <c r="F1890" s="1" t="s">
        <v>38</v>
      </c>
      <c r="G1890" s="1" t="s">
        <v>16</v>
      </c>
      <c r="H1890" s="1" t="s">
        <v>17</v>
      </c>
      <c r="I1890" s="1" t="s">
        <v>41</v>
      </c>
      <c r="J1890">
        <v>45</v>
      </c>
      <c r="K1890">
        <v>21</v>
      </c>
      <c r="L1890" s="1" t="s">
        <v>19</v>
      </c>
    </row>
    <row r="1891" spans="1:12" x14ac:dyDescent="0.3">
      <c r="A1891" s="1" t="s">
        <v>1930</v>
      </c>
      <c r="B1891" s="2">
        <v>45898</v>
      </c>
      <c r="C1891" s="2">
        <v>45950</v>
      </c>
      <c r="D1891" s="1" t="s">
        <v>32</v>
      </c>
      <c r="E1891" s="1" t="s">
        <v>24</v>
      </c>
      <c r="F1891" s="1" t="s">
        <v>15</v>
      </c>
      <c r="G1891" s="1" t="s">
        <v>16</v>
      </c>
      <c r="H1891" s="1" t="s">
        <v>71</v>
      </c>
      <c r="I1891" s="1" t="s">
        <v>26</v>
      </c>
      <c r="J1891">
        <v>30</v>
      </c>
      <c r="K1891">
        <v>52</v>
      </c>
      <c r="L1891" s="1" t="s">
        <v>44</v>
      </c>
    </row>
    <row r="1892" spans="1:12" x14ac:dyDescent="0.3">
      <c r="A1892" s="1" t="s">
        <v>2059</v>
      </c>
      <c r="B1892" s="2">
        <v>45898</v>
      </c>
      <c r="C1892" s="2">
        <v>45939</v>
      </c>
      <c r="D1892" s="1" t="s">
        <v>23</v>
      </c>
      <c r="E1892" s="1" t="s">
        <v>14</v>
      </c>
      <c r="F1892" s="1" t="s">
        <v>15</v>
      </c>
      <c r="G1892" s="1" t="s">
        <v>16</v>
      </c>
      <c r="H1892" s="1" t="s">
        <v>43</v>
      </c>
      <c r="I1892" s="1" t="s">
        <v>18</v>
      </c>
      <c r="J1892">
        <v>15</v>
      </c>
      <c r="K1892">
        <v>41</v>
      </c>
      <c r="L1892" s="1" t="s">
        <v>21</v>
      </c>
    </row>
    <row r="1893" spans="1:12" x14ac:dyDescent="0.3">
      <c r="A1893" s="1" t="s">
        <v>2515</v>
      </c>
      <c r="B1893" s="2">
        <v>45898</v>
      </c>
      <c r="C1893" s="2">
        <v>45943</v>
      </c>
      <c r="D1893" s="1" t="s">
        <v>23</v>
      </c>
      <c r="E1893" s="1" t="s">
        <v>14</v>
      </c>
      <c r="F1893" s="1" t="s">
        <v>15</v>
      </c>
      <c r="G1893" s="1" t="s">
        <v>33</v>
      </c>
      <c r="H1893" s="1" t="s">
        <v>25</v>
      </c>
      <c r="I1893" s="1" t="s">
        <v>41</v>
      </c>
      <c r="J1893">
        <v>15</v>
      </c>
      <c r="K1893">
        <v>45</v>
      </c>
      <c r="L1893" s="1" t="s">
        <v>44</v>
      </c>
    </row>
    <row r="1894" spans="1:12" x14ac:dyDescent="0.3">
      <c r="A1894" s="1" t="s">
        <v>106</v>
      </c>
      <c r="B1894" s="2">
        <v>45897</v>
      </c>
      <c r="C1894" s="2">
        <v>45935</v>
      </c>
      <c r="D1894" s="1" t="s">
        <v>28</v>
      </c>
      <c r="E1894" s="1" t="s">
        <v>24</v>
      </c>
      <c r="F1894" s="1" t="s">
        <v>15</v>
      </c>
      <c r="G1894" s="1" t="s">
        <v>16</v>
      </c>
      <c r="H1894" s="1" t="s">
        <v>54</v>
      </c>
      <c r="I1894" s="1" t="s">
        <v>26</v>
      </c>
      <c r="J1894">
        <v>30</v>
      </c>
      <c r="K1894">
        <v>38</v>
      </c>
      <c r="L1894" s="1" t="s">
        <v>21</v>
      </c>
    </row>
    <row r="1895" spans="1:12" x14ac:dyDescent="0.3">
      <c r="A1895" s="1" t="s">
        <v>414</v>
      </c>
      <c r="B1895" s="2">
        <v>45897</v>
      </c>
      <c r="C1895" s="2">
        <v>45916</v>
      </c>
      <c r="D1895" s="1" t="s">
        <v>28</v>
      </c>
      <c r="E1895" s="1" t="s">
        <v>14</v>
      </c>
      <c r="F1895" s="1" t="s">
        <v>15</v>
      </c>
      <c r="G1895" s="1" t="s">
        <v>16</v>
      </c>
      <c r="H1895" s="1" t="s">
        <v>29</v>
      </c>
      <c r="I1895" s="1" t="s">
        <v>26</v>
      </c>
      <c r="J1895">
        <v>15</v>
      </c>
      <c r="K1895">
        <v>19</v>
      </c>
      <c r="L1895" s="1" t="s">
        <v>19</v>
      </c>
    </row>
    <row r="1896" spans="1:12" x14ac:dyDescent="0.3">
      <c r="A1896" s="1" t="s">
        <v>949</v>
      </c>
      <c r="B1896" s="2">
        <v>45897</v>
      </c>
      <c r="C1896" s="2">
        <v>45924</v>
      </c>
      <c r="D1896" s="1" t="s">
        <v>13</v>
      </c>
      <c r="E1896" s="1" t="s">
        <v>14</v>
      </c>
      <c r="F1896" s="1" t="s">
        <v>15</v>
      </c>
      <c r="G1896" s="1" t="s">
        <v>16</v>
      </c>
      <c r="H1896" s="1" t="s">
        <v>47</v>
      </c>
      <c r="I1896" s="1" t="s">
        <v>26</v>
      </c>
      <c r="J1896">
        <v>15</v>
      </c>
      <c r="K1896">
        <v>27</v>
      </c>
      <c r="L1896" s="1" t="s">
        <v>19</v>
      </c>
    </row>
    <row r="1897" spans="1:12" x14ac:dyDescent="0.3">
      <c r="A1897" s="1" t="s">
        <v>1002</v>
      </c>
      <c r="B1897" s="2">
        <v>45897</v>
      </c>
      <c r="C1897" s="2">
        <v>45901</v>
      </c>
      <c r="D1897" s="1" t="s">
        <v>28</v>
      </c>
      <c r="E1897" s="1" t="s">
        <v>14</v>
      </c>
      <c r="F1897" s="1" t="s">
        <v>15</v>
      </c>
      <c r="G1897" s="1" t="s">
        <v>16</v>
      </c>
      <c r="H1897" s="1" t="s">
        <v>29</v>
      </c>
      <c r="I1897" s="1" t="s">
        <v>41</v>
      </c>
      <c r="J1897">
        <v>30</v>
      </c>
      <c r="K1897">
        <v>4</v>
      </c>
      <c r="L1897" s="1" t="s">
        <v>30</v>
      </c>
    </row>
    <row r="1898" spans="1:12" x14ac:dyDescent="0.3">
      <c r="A1898" s="1" t="s">
        <v>1294</v>
      </c>
      <c r="B1898" s="2">
        <v>45897</v>
      </c>
      <c r="C1898" s="2">
        <v>45925</v>
      </c>
      <c r="D1898" s="1" t="s">
        <v>23</v>
      </c>
      <c r="E1898" s="1" t="s">
        <v>14</v>
      </c>
      <c r="F1898" s="1" t="s">
        <v>15</v>
      </c>
      <c r="G1898" s="1" t="s">
        <v>53</v>
      </c>
      <c r="H1898" s="1" t="s">
        <v>43</v>
      </c>
      <c r="I1898" s="1" t="s">
        <v>41</v>
      </c>
      <c r="J1898">
        <v>30</v>
      </c>
      <c r="K1898">
        <v>28</v>
      </c>
      <c r="L1898" s="1" t="s">
        <v>19</v>
      </c>
    </row>
    <row r="1899" spans="1:12" x14ac:dyDescent="0.3">
      <c r="A1899" s="1" t="s">
        <v>1877</v>
      </c>
      <c r="B1899" s="2">
        <v>45897</v>
      </c>
      <c r="C1899" s="2">
        <v>45942</v>
      </c>
      <c r="D1899" s="1" t="s">
        <v>13</v>
      </c>
      <c r="E1899" s="1" t="s">
        <v>14</v>
      </c>
      <c r="F1899" s="1" t="s">
        <v>15</v>
      </c>
      <c r="G1899" s="1" t="s">
        <v>53</v>
      </c>
      <c r="H1899" s="1" t="s">
        <v>47</v>
      </c>
      <c r="I1899" s="1" t="s">
        <v>26</v>
      </c>
      <c r="J1899">
        <v>30</v>
      </c>
      <c r="K1899">
        <v>45</v>
      </c>
      <c r="L1899" s="1" t="s">
        <v>44</v>
      </c>
    </row>
    <row r="1900" spans="1:12" x14ac:dyDescent="0.3">
      <c r="A1900" s="1" t="s">
        <v>1537</v>
      </c>
      <c r="B1900" s="2">
        <v>45897</v>
      </c>
      <c r="C1900" s="2">
        <v>45923</v>
      </c>
      <c r="D1900" s="1" t="s">
        <v>37</v>
      </c>
      <c r="E1900" s="1" t="s">
        <v>24</v>
      </c>
      <c r="F1900" s="1" t="s">
        <v>15</v>
      </c>
      <c r="G1900" s="1" t="s">
        <v>16</v>
      </c>
      <c r="H1900" s="1" t="s">
        <v>39</v>
      </c>
      <c r="I1900" s="1" t="s">
        <v>41</v>
      </c>
      <c r="J1900">
        <v>30</v>
      </c>
      <c r="K1900">
        <v>26</v>
      </c>
      <c r="L1900" s="1" t="s">
        <v>19</v>
      </c>
    </row>
    <row r="1901" spans="1:12" x14ac:dyDescent="0.3">
      <c r="A1901" s="1" t="s">
        <v>2234</v>
      </c>
      <c r="B1901" s="2">
        <v>45897</v>
      </c>
      <c r="C1901" s="2">
        <v>45920</v>
      </c>
      <c r="D1901" s="1" t="s">
        <v>32</v>
      </c>
      <c r="E1901" s="1" t="s">
        <v>24</v>
      </c>
      <c r="F1901" s="1" t="s">
        <v>15</v>
      </c>
      <c r="G1901" s="1" t="s">
        <v>16</v>
      </c>
      <c r="H1901" s="1" t="s">
        <v>71</v>
      </c>
      <c r="I1901" s="1" t="s">
        <v>26</v>
      </c>
      <c r="J1901">
        <v>30</v>
      </c>
      <c r="K1901">
        <v>23</v>
      </c>
      <c r="L1901" s="1" t="s">
        <v>19</v>
      </c>
    </row>
    <row r="1902" spans="1:12" x14ac:dyDescent="0.3">
      <c r="A1902" s="1" t="s">
        <v>2399</v>
      </c>
      <c r="B1902" s="2">
        <v>45897</v>
      </c>
      <c r="C1902" s="2">
        <v>45926</v>
      </c>
      <c r="D1902" s="1" t="s">
        <v>32</v>
      </c>
      <c r="E1902" s="1" t="s">
        <v>24</v>
      </c>
      <c r="F1902" s="1" t="s">
        <v>15</v>
      </c>
      <c r="G1902" s="1" t="s">
        <v>33</v>
      </c>
      <c r="H1902" s="1" t="s">
        <v>71</v>
      </c>
      <c r="I1902" s="1" t="s">
        <v>26</v>
      </c>
      <c r="J1902">
        <v>30</v>
      </c>
      <c r="K1902">
        <v>29</v>
      </c>
      <c r="L1902" s="1" t="s">
        <v>21</v>
      </c>
    </row>
    <row r="1903" spans="1:12" x14ac:dyDescent="0.3">
      <c r="A1903" s="1" t="s">
        <v>204</v>
      </c>
      <c r="B1903" s="2">
        <v>45896</v>
      </c>
      <c r="C1903" s="2">
        <v>45919</v>
      </c>
      <c r="D1903" s="1" t="s">
        <v>13</v>
      </c>
      <c r="E1903" s="1" t="s">
        <v>24</v>
      </c>
      <c r="F1903" s="1" t="s">
        <v>15</v>
      </c>
      <c r="G1903" s="1" t="s">
        <v>16</v>
      </c>
      <c r="H1903" s="1" t="s">
        <v>47</v>
      </c>
      <c r="I1903" s="1" t="s">
        <v>26</v>
      </c>
      <c r="J1903">
        <v>45</v>
      </c>
      <c r="K1903">
        <v>23</v>
      </c>
      <c r="L1903" s="1" t="s">
        <v>19</v>
      </c>
    </row>
    <row r="1904" spans="1:12" x14ac:dyDescent="0.3">
      <c r="A1904" s="1" t="s">
        <v>1004</v>
      </c>
      <c r="B1904" s="2">
        <v>45896</v>
      </c>
      <c r="C1904" s="2">
        <v>45963</v>
      </c>
      <c r="D1904" s="1" t="s">
        <v>23</v>
      </c>
      <c r="E1904" s="1" t="s">
        <v>24</v>
      </c>
      <c r="F1904" s="1" t="s">
        <v>15</v>
      </c>
      <c r="G1904" s="1" t="s">
        <v>16</v>
      </c>
      <c r="H1904" s="1" t="s">
        <v>43</v>
      </c>
      <c r="I1904" s="1" t="s">
        <v>18</v>
      </c>
      <c r="J1904">
        <v>30</v>
      </c>
      <c r="K1904">
        <v>67</v>
      </c>
      <c r="L1904" s="1" t="s">
        <v>80</v>
      </c>
    </row>
    <row r="1905" spans="1:12" x14ac:dyDescent="0.3">
      <c r="A1905" s="1" t="s">
        <v>1382</v>
      </c>
      <c r="B1905" s="2">
        <v>45896</v>
      </c>
      <c r="C1905" s="2">
        <v>45945</v>
      </c>
      <c r="D1905" s="1" t="s">
        <v>32</v>
      </c>
      <c r="E1905" s="1" t="s">
        <v>14</v>
      </c>
      <c r="F1905" s="1" t="s">
        <v>15</v>
      </c>
      <c r="G1905" s="1" t="s">
        <v>16</v>
      </c>
      <c r="H1905" s="1" t="s">
        <v>71</v>
      </c>
      <c r="I1905" s="1" t="s">
        <v>41</v>
      </c>
      <c r="J1905">
        <v>30</v>
      </c>
      <c r="K1905">
        <v>49</v>
      </c>
      <c r="L1905" s="1" t="s">
        <v>44</v>
      </c>
    </row>
    <row r="1906" spans="1:12" x14ac:dyDescent="0.3">
      <c r="A1906" s="1" t="s">
        <v>1730</v>
      </c>
      <c r="B1906" s="2">
        <v>45896</v>
      </c>
      <c r="C1906" s="2">
        <v>45906</v>
      </c>
      <c r="D1906" s="1" t="s">
        <v>32</v>
      </c>
      <c r="E1906" s="1" t="s">
        <v>14</v>
      </c>
      <c r="F1906" s="1" t="s">
        <v>15</v>
      </c>
      <c r="G1906" s="1" t="s">
        <v>16</v>
      </c>
      <c r="H1906" s="1" t="s">
        <v>34</v>
      </c>
      <c r="I1906" s="1" t="s">
        <v>18</v>
      </c>
      <c r="J1906">
        <v>15</v>
      </c>
      <c r="K1906">
        <v>10</v>
      </c>
      <c r="L1906" s="1" t="s">
        <v>30</v>
      </c>
    </row>
    <row r="1907" spans="1:12" x14ac:dyDescent="0.3">
      <c r="A1907" s="1" t="s">
        <v>1804</v>
      </c>
      <c r="B1907" s="2">
        <v>45896</v>
      </c>
      <c r="C1907" s="2">
        <v>45925</v>
      </c>
      <c r="D1907" s="1" t="s">
        <v>13</v>
      </c>
      <c r="E1907" s="1" t="s">
        <v>14</v>
      </c>
      <c r="F1907" s="1" t="s">
        <v>38</v>
      </c>
      <c r="G1907" s="1" t="s">
        <v>53</v>
      </c>
      <c r="H1907" s="1" t="s">
        <v>47</v>
      </c>
      <c r="I1907" s="1" t="s">
        <v>26</v>
      </c>
      <c r="J1907">
        <v>15</v>
      </c>
      <c r="K1907">
        <v>29</v>
      </c>
      <c r="L1907" s="1" t="s">
        <v>21</v>
      </c>
    </row>
    <row r="1908" spans="1:12" x14ac:dyDescent="0.3">
      <c r="A1908" s="1" t="s">
        <v>2606</v>
      </c>
      <c r="B1908" s="2">
        <v>45896</v>
      </c>
      <c r="C1908" s="2">
        <v>45937</v>
      </c>
      <c r="D1908" s="1" t="s">
        <v>37</v>
      </c>
      <c r="E1908" s="1" t="s">
        <v>14</v>
      </c>
      <c r="F1908" s="1" t="s">
        <v>15</v>
      </c>
      <c r="G1908" s="1" t="s">
        <v>33</v>
      </c>
      <c r="H1908" s="1" t="s">
        <v>39</v>
      </c>
      <c r="I1908" s="1" t="s">
        <v>41</v>
      </c>
      <c r="J1908">
        <v>15</v>
      </c>
      <c r="K1908">
        <v>41</v>
      </c>
      <c r="L1908" s="1" t="s">
        <v>21</v>
      </c>
    </row>
    <row r="1909" spans="1:12" x14ac:dyDescent="0.3">
      <c r="A1909" s="1" t="s">
        <v>1173</v>
      </c>
      <c r="B1909" s="2">
        <v>45896</v>
      </c>
      <c r="C1909" s="2">
        <v>45907</v>
      </c>
      <c r="D1909" s="1" t="s">
        <v>37</v>
      </c>
      <c r="E1909" s="1" t="s">
        <v>24</v>
      </c>
      <c r="F1909" s="1" t="s">
        <v>15</v>
      </c>
      <c r="G1909" s="1" t="s">
        <v>16</v>
      </c>
      <c r="H1909" s="1" t="s">
        <v>49</v>
      </c>
      <c r="I1909" s="1" t="s">
        <v>18</v>
      </c>
      <c r="J1909">
        <v>30</v>
      </c>
      <c r="K1909">
        <v>11</v>
      </c>
      <c r="L1909" s="1" t="s">
        <v>30</v>
      </c>
    </row>
    <row r="1910" spans="1:12" x14ac:dyDescent="0.3">
      <c r="A1910" s="1" t="s">
        <v>1917</v>
      </c>
      <c r="B1910" s="2">
        <v>45896</v>
      </c>
      <c r="C1910" s="2">
        <v>45907</v>
      </c>
      <c r="D1910" s="1" t="s">
        <v>37</v>
      </c>
      <c r="E1910" s="1" t="s">
        <v>14</v>
      </c>
      <c r="F1910" s="1" t="s">
        <v>15</v>
      </c>
      <c r="G1910" s="1" t="s">
        <v>16</v>
      </c>
      <c r="H1910" s="1" t="s">
        <v>49</v>
      </c>
      <c r="I1910" s="1" t="s">
        <v>41</v>
      </c>
      <c r="J1910">
        <v>15</v>
      </c>
      <c r="K1910">
        <v>11</v>
      </c>
      <c r="L1910" s="1" t="s">
        <v>30</v>
      </c>
    </row>
    <row r="1911" spans="1:12" x14ac:dyDescent="0.3">
      <c r="A1911" s="1" t="s">
        <v>729</v>
      </c>
      <c r="B1911" s="2">
        <v>45896</v>
      </c>
      <c r="C1911" s="2">
        <v>45902</v>
      </c>
      <c r="D1911" s="1" t="s">
        <v>37</v>
      </c>
      <c r="E1911" s="1" t="s">
        <v>24</v>
      </c>
      <c r="F1911" s="1" t="s">
        <v>15</v>
      </c>
      <c r="G1911" s="1" t="s">
        <v>16</v>
      </c>
      <c r="H1911" s="1" t="s">
        <v>49</v>
      </c>
      <c r="I1911" s="1" t="s">
        <v>26</v>
      </c>
      <c r="J1911">
        <v>30</v>
      </c>
      <c r="K1911">
        <v>6</v>
      </c>
      <c r="L1911" s="1" t="s">
        <v>30</v>
      </c>
    </row>
    <row r="1912" spans="1:12" x14ac:dyDescent="0.3">
      <c r="A1912" s="1" t="s">
        <v>185</v>
      </c>
      <c r="B1912" s="2">
        <v>45896</v>
      </c>
      <c r="C1912" s="2">
        <v>45898</v>
      </c>
      <c r="D1912" s="1" t="s">
        <v>37</v>
      </c>
      <c r="E1912" s="1" t="s">
        <v>14</v>
      </c>
      <c r="F1912" s="1" t="s">
        <v>15</v>
      </c>
      <c r="G1912" s="1" t="s">
        <v>16</v>
      </c>
      <c r="H1912" s="1" t="s">
        <v>39</v>
      </c>
      <c r="I1912" s="1" t="s">
        <v>41</v>
      </c>
      <c r="J1912">
        <v>15</v>
      </c>
      <c r="K1912">
        <v>2</v>
      </c>
      <c r="L1912" s="1" t="s">
        <v>30</v>
      </c>
    </row>
    <row r="1913" spans="1:12" x14ac:dyDescent="0.3">
      <c r="A1913" s="1" t="s">
        <v>2118</v>
      </c>
      <c r="B1913" s="2">
        <v>45896</v>
      </c>
      <c r="C1913" s="2">
        <v>45907</v>
      </c>
      <c r="D1913" s="1" t="s">
        <v>32</v>
      </c>
      <c r="E1913" s="1" t="s">
        <v>24</v>
      </c>
      <c r="F1913" s="1" t="s">
        <v>15</v>
      </c>
      <c r="G1913" s="1" t="s">
        <v>53</v>
      </c>
      <c r="H1913" s="1" t="s">
        <v>71</v>
      </c>
      <c r="I1913" s="1" t="s">
        <v>18</v>
      </c>
      <c r="J1913">
        <v>30</v>
      </c>
      <c r="K1913">
        <v>11</v>
      </c>
      <c r="L1913" s="1" t="s">
        <v>30</v>
      </c>
    </row>
    <row r="1914" spans="1:12" x14ac:dyDescent="0.3">
      <c r="A1914" s="1" t="s">
        <v>2551</v>
      </c>
      <c r="B1914" s="2">
        <v>45896</v>
      </c>
      <c r="C1914" s="2">
        <v>45929</v>
      </c>
      <c r="D1914" s="1" t="s">
        <v>28</v>
      </c>
      <c r="E1914" s="1" t="s">
        <v>14</v>
      </c>
      <c r="F1914" s="1" t="s">
        <v>15</v>
      </c>
      <c r="G1914" s="1" t="s">
        <v>16</v>
      </c>
      <c r="H1914" s="1" t="s">
        <v>54</v>
      </c>
      <c r="I1914" s="1" t="s">
        <v>26</v>
      </c>
      <c r="J1914">
        <v>15</v>
      </c>
      <c r="K1914">
        <v>33</v>
      </c>
      <c r="L1914" s="1" t="s">
        <v>21</v>
      </c>
    </row>
    <row r="1915" spans="1:12" x14ac:dyDescent="0.3">
      <c r="A1915" s="1" t="s">
        <v>2957</v>
      </c>
      <c r="B1915" s="2">
        <v>45896</v>
      </c>
      <c r="C1915" s="2">
        <v>45918</v>
      </c>
      <c r="D1915" s="1" t="s">
        <v>23</v>
      </c>
      <c r="E1915" s="1" t="s">
        <v>14</v>
      </c>
      <c r="F1915" s="1" t="s">
        <v>15</v>
      </c>
      <c r="G1915" s="1" t="s">
        <v>16</v>
      </c>
      <c r="H1915" s="1" t="s">
        <v>43</v>
      </c>
      <c r="I1915" s="1" t="s">
        <v>26</v>
      </c>
      <c r="J1915">
        <v>15</v>
      </c>
      <c r="K1915">
        <v>22</v>
      </c>
      <c r="L1915" s="1" t="s">
        <v>19</v>
      </c>
    </row>
    <row r="1916" spans="1:12" x14ac:dyDescent="0.3">
      <c r="A1916" s="1" t="s">
        <v>3184</v>
      </c>
      <c r="B1916" s="2">
        <v>45896</v>
      </c>
      <c r="C1916" s="2">
        <v>45922</v>
      </c>
      <c r="D1916" s="1" t="s">
        <v>32</v>
      </c>
      <c r="E1916" s="1" t="s">
        <v>14</v>
      </c>
      <c r="F1916" s="1" t="s">
        <v>15</v>
      </c>
      <c r="G1916" s="1" t="s">
        <v>16</v>
      </c>
      <c r="H1916" s="1" t="s">
        <v>71</v>
      </c>
      <c r="I1916" s="1" t="s">
        <v>26</v>
      </c>
      <c r="J1916">
        <v>30</v>
      </c>
      <c r="K1916">
        <v>26</v>
      </c>
      <c r="L1916" s="1" t="s">
        <v>19</v>
      </c>
    </row>
    <row r="1917" spans="1:12" x14ac:dyDescent="0.3">
      <c r="A1917" s="1" t="s">
        <v>205</v>
      </c>
      <c r="B1917" s="2">
        <v>45895</v>
      </c>
      <c r="C1917" s="2">
        <v>45964</v>
      </c>
      <c r="D1917" s="1" t="s">
        <v>23</v>
      </c>
      <c r="E1917" s="1" t="s">
        <v>14</v>
      </c>
      <c r="F1917" s="1" t="s">
        <v>15</v>
      </c>
      <c r="G1917" s="1" t="s">
        <v>16</v>
      </c>
      <c r="H1917" s="1" t="s">
        <v>25</v>
      </c>
      <c r="I1917" s="1" t="s">
        <v>26</v>
      </c>
      <c r="J1917">
        <v>30</v>
      </c>
      <c r="K1917">
        <v>69</v>
      </c>
      <c r="L1917" s="1" t="s">
        <v>80</v>
      </c>
    </row>
    <row r="1918" spans="1:12" x14ac:dyDescent="0.3">
      <c r="A1918" s="1" t="s">
        <v>627</v>
      </c>
      <c r="B1918" s="2">
        <v>45895</v>
      </c>
      <c r="C1918" s="2">
        <v>45917</v>
      </c>
      <c r="D1918" s="1" t="s">
        <v>23</v>
      </c>
      <c r="E1918" s="1" t="s">
        <v>14</v>
      </c>
      <c r="F1918" s="1" t="s">
        <v>38</v>
      </c>
      <c r="G1918" s="1" t="s">
        <v>16</v>
      </c>
      <c r="H1918" s="1" t="s">
        <v>25</v>
      </c>
      <c r="I1918" s="1" t="s">
        <v>41</v>
      </c>
      <c r="J1918">
        <v>15</v>
      </c>
      <c r="K1918">
        <v>22</v>
      </c>
      <c r="L1918" s="1" t="s">
        <v>19</v>
      </c>
    </row>
    <row r="1919" spans="1:12" x14ac:dyDescent="0.3">
      <c r="A1919" s="1" t="s">
        <v>984</v>
      </c>
      <c r="B1919" s="2">
        <v>45895</v>
      </c>
      <c r="C1919" s="2">
        <v>45934</v>
      </c>
      <c r="D1919" s="1" t="s">
        <v>28</v>
      </c>
      <c r="E1919" s="1" t="s">
        <v>14</v>
      </c>
      <c r="F1919" s="1" t="s">
        <v>15</v>
      </c>
      <c r="G1919" s="1" t="s">
        <v>16</v>
      </c>
      <c r="H1919" s="1" t="s">
        <v>29</v>
      </c>
      <c r="I1919" s="1" t="s">
        <v>41</v>
      </c>
      <c r="J1919">
        <v>15</v>
      </c>
      <c r="K1919">
        <v>39</v>
      </c>
      <c r="L1919" s="1" t="s">
        <v>21</v>
      </c>
    </row>
    <row r="1920" spans="1:12" x14ac:dyDescent="0.3">
      <c r="A1920" s="1" t="s">
        <v>1908</v>
      </c>
      <c r="B1920" s="2">
        <v>45895</v>
      </c>
      <c r="C1920" s="2">
        <v>45936</v>
      </c>
      <c r="D1920" s="1" t="s">
        <v>23</v>
      </c>
      <c r="E1920" s="1" t="s">
        <v>14</v>
      </c>
      <c r="F1920" s="1" t="s">
        <v>15</v>
      </c>
      <c r="G1920" s="1" t="s">
        <v>16</v>
      </c>
      <c r="H1920" s="1" t="s">
        <v>43</v>
      </c>
      <c r="I1920" s="1" t="s">
        <v>26</v>
      </c>
      <c r="J1920">
        <v>15</v>
      </c>
      <c r="K1920">
        <v>41</v>
      </c>
      <c r="L1920" s="1" t="s">
        <v>21</v>
      </c>
    </row>
    <row r="1921" spans="1:12" x14ac:dyDescent="0.3">
      <c r="A1921" s="1" t="s">
        <v>2788</v>
      </c>
      <c r="B1921" s="2">
        <v>45895</v>
      </c>
      <c r="C1921" s="2">
        <v>45930</v>
      </c>
      <c r="D1921" s="1" t="s">
        <v>23</v>
      </c>
      <c r="E1921" s="1" t="s">
        <v>14</v>
      </c>
      <c r="F1921" s="1" t="s">
        <v>15</v>
      </c>
      <c r="G1921" s="1" t="s">
        <v>16</v>
      </c>
      <c r="H1921" s="1" t="s">
        <v>25</v>
      </c>
      <c r="I1921" s="1" t="s">
        <v>41</v>
      </c>
      <c r="J1921">
        <v>15</v>
      </c>
      <c r="K1921">
        <v>35</v>
      </c>
      <c r="L1921" s="1" t="s">
        <v>21</v>
      </c>
    </row>
    <row r="1922" spans="1:12" x14ac:dyDescent="0.3">
      <c r="A1922" s="1" t="s">
        <v>66</v>
      </c>
      <c r="B1922" s="2">
        <v>45894</v>
      </c>
      <c r="C1922" s="2">
        <v>45896</v>
      </c>
      <c r="D1922" s="1" t="s">
        <v>32</v>
      </c>
      <c r="E1922" s="1" t="s">
        <v>14</v>
      </c>
      <c r="F1922" s="1" t="s">
        <v>15</v>
      </c>
      <c r="G1922" s="1" t="s">
        <v>16</v>
      </c>
      <c r="H1922" s="1" t="s">
        <v>34</v>
      </c>
      <c r="I1922" s="1" t="s">
        <v>41</v>
      </c>
      <c r="J1922">
        <v>15</v>
      </c>
      <c r="K1922">
        <v>2</v>
      </c>
      <c r="L1922" s="1" t="s">
        <v>30</v>
      </c>
    </row>
    <row r="1923" spans="1:12" x14ac:dyDescent="0.3">
      <c r="A1923" s="1" t="s">
        <v>1344</v>
      </c>
      <c r="B1923" s="2">
        <v>45894</v>
      </c>
      <c r="C1923" s="2">
        <v>45940</v>
      </c>
      <c r="D1923" s="1" t="s">
        <v>28</v>
      </c>
      <c r="E1923" s="1" t="s">
        <v>24</v>
      </c>
      <c r="F1923" s="1" t="s">
        <v>15</v>
      </c>
      <c r="G1923" s="1" t="s">
        <v>16</v>
      </c>
      <c r="H1923" s="1" t="s">
        <v>54</v>
      </c>
      <c r="I1923" s="1" t="s">
        <v>26</v>
      </c>
      <c r="J1923">
        <v>30</v>
      </c>
      <c r="K1923">
        <v>46</v>
      </c>
      <c r="L1923" s="1" t="s">
        <v>44</v>
      </c>
    </row>
    <row r="1924" spans="1:12" x14ac:dyDescent="0.3">
      <c r="A1924" s="1" t="s">
        <v>1889</v>
      </c>
      <c r="B1924" s="2">
        <v>45894</v>
      </c>
      <c r="C1924" s="2">
        <v>45941</v>
      </c>
      <c r="D1924" s="1" t="s">
        <v>28</v>
      </c>
      <c r="E1924" s="1" t="s">
        <v>24</v>
      </c>
      <c r="F1924" s="1" t="s">
        <v>38</v>
      </c>
      <c r="G1924" s="1" t="s">
        <v>16</v>
      </c>
      <c r="H1924" s="1" t="s">
        <v>54</v>
      </c>
      <c r="I1924" s="1" t="s">
        <v>41</v>
      </c>
      <c r="J1924">
        <v>30</v>
      </c>
      <c r="K1924">
        <v>47</v>
      </c>
      <c r="L1924" s="1" t="s">
        <v>44</v>
      </c>
    </row>
    <row r="1925" spans="1:12" x14ac:dyDescent="0.3">
      <c r="A1925" s="1" t="s">
        <v>2102</v>
      </c>
      <c r="B1925" s="2">
        <v>45894</v>
      </c>
      <c r="C1925" s="2">
        <v>45924</v>
      </c>
      <c r="D1925" s="1" t="s">
        <v>28</v>
      </c>
      <c r="E1925" s="1" t="s">
        <v>14</v>
      </c>
      <c r="F1925" s="1" t="s">
        <v>38</v>
      </c>
      <c r="G1925" s="1" t="s">
        <v>53</v>
      </c>
      <c r="H1925" s="1" t="s">
        <v>54</v>
      </c>
      <c r="I1925" s="1" t="s">
        <v>26</v>
      </c>
      <c r="J1925">
        <v>15</v>
      </c>
      <c r="K1925">
        <v>30</v>
      </c>
      <c r="L1925" s="1" t="s">
        <v>21</v>
      </c>
    </row>
    <row r="1926" spans="1:12" x14ac:dyDescent="0.3">
      <c r="A1926" s="1" t="s">
        <v>2115</v>
      </c>
      <c r="B1926" s="2">
        <v>45894</v>
      </c>
      <c r="C1926" s="2">
        <v>45917</v>
      </c>
      <c r="D1926" s="1" t="s">
        <v>28</v>
      </c>
      <c r="E1926" s="1" t="s">
        <v>14</v>
      </c>
      <c r="F1926" s="1" t="s">
        <v>15</v>
      </c>
      <c r="G1926" s="1" t="s">
        <v>16</v>
      </c>
      <c r="H1926" s="1" t="s">
        <v>29</v>
      </c>
      <c r="I1926" s="1" t="s">
        <v>26</v>
      </c>
      <c r="J1926">
        <v>30</v>
      </c>
      <c r="K1926">
        <v>23</v>
      </c>
      <c r="L1926" s="1" t="s">
        <v>19</v>
      </c>
    </row>
    <row r="1927" spans="1:12" x14ac:dyDescent="0.3">
      <c r="A1927" s="1" t="s">
        <v>2205</v>
      </c>
      <c r="B1927" s="2">
        <v>45894</v>
      </c>
      <c r="C1927" s="2">
        <v>45945</v>
      </c>
      <c r="D1927" s="1" t="s">
        <v>32</v>
      </c>
      <c r="E1927" s="1" t="s">
        <v>24</v>
      </c>
      <c r="F1927" s="1" t="s">
        <v>15</v>
      </c>
      <c r="G1927" s="1" t="s">
        <v>16</v>
      </c>
      <c r="H1927" s="1" t="s">
        <v>34</v>
      </c>
      <c r="I1927" s="1" t="s">
        <v>26</v>
      </c>
      <c r="J1927">
        <v>30</v>
      </c>
      <c r="K1927">
        <v>51</v>
      </c>
      <c r="L1927" s="1" t="s">
        <v>44</v>
      </c>
    </row>
    <row r="1928" spans="1:12" x14ac:dyDescent="0.3">
      <c r="A1928" s="1" t="s">
        <v>2566</v>
      </c>
      <c r="B1928" s="2">
        <v>45894</v>
      </c>
      <c r="C1928" s="2">
        <v>45922</v>
      </c>
      <c r="D1928" s="1" t="s">
        <v>13</v>
      </c>
      <c r="E1928" s="1" t="s">
        <v>14</v>
      </c>
      <c r="F1928" s="1" t="s">
        <v>15</v>
      </c>
      <c r="G1928" s="1" t="s">
        <v>16</v>
      </c>
      <c r="H1928" s="1" t="s">
        <v>17</v>
      </c>
      <c r="I1928" s="1" t="s">
        <v>18</v>
      </c>
      <c r="J1928">
        <v>15</v>
      </c>
      <c r="K1928">
        <v>28</v>
      </c>
      <c r="L1928" s="1" t="s">
        <v>19</v>
      </c>
    </row>
    <row r="1929" spans="1:12" x14ac:dyDescent="0.3">
      <c r="A1929" s="1" t="s">
        <v>3208</v>
      </c>
      <c r="B1929" s="2">
        <v>45894</v>
      </c>
      <c r="C1929" s="2">
        <v>45949</v>
      </c>
      <c r="D1929" s="1" t="s">
        <v>28</v>
      </c>
      <c r="E1929" s="1" t="s">
        <v>14</v>
      </c>
      <c r="F1929" s="1" t="s">
        <v>15</v>
      </c>
      <c r="G1929" s="1" t="s">
        <v>53</v>
      </c>
      <c r="H1929" s="1" t="s">
        <v>29</v>
      </c>
      <c r="I1929" s="1" t="s">
        <v>41</v>
      </c>
      <c r="J1929">
        <v>15</v>
      </c>
      <c r="K1929">
        <v>55</v>
      </c>
      <c r="L1929" s="1" t="s">
        <v>44</v>
      </c>
    </row>
    <row r="1930" spans="1:12" x14ac:dyDescent="0.3">
      <c r="A1930" s="1" t="s">
        <v>3230</v>
      </c>
      <c r="B1930" s="2">
        <v>45894</v>
      </c>
      <c r="C1930" s="2">
        <v>45906</v>
      </c>
      <c r="D1930" s="1" t="s">
        <v>23</v>
      </c>
      <c r="E1930" s="1" t="s">
        <v>24</v>
      </c>
      <c r="F1930" s="1" t="s">
        <v>15</v>
      </c>
      <c r="G1930" s="1" t="s">
        <v>16</v>
      </c>
      <c r="H1930" s="1" t="s">
        <v>25</v>
      </c>
      <c r="I1930" s="1" t="s">
        <v>41</v>
      </c>
      <c r="J1930">
        <v>30</v>
      </c>
      <c r="K1930">
        <v>12</v>
      </c>
      <c r="L1930" s="1" t="s">
        <v>30</v>
      </c>
    </row>
    <row r="1931" spans="1:12" x14ac:dyDescent="0.3">
      <c r="A1931" s="1" t="s">
        <v>999</v>
      </c>
      <c r="B1931" s="2">
        <v>45893</v>
      </c>
      <c r="C1931" s="2">
        <v>45928</v>
      </c>
      <c r="D1931" s="1" t="s">
        <v>28</v>
      </c>
      <c r="E1931" s="1" t="s">
        <v>14</v>
      </c>
      <c r="F1931" s="1" t="s">
        <v>38</v>
      </c>
      <c r="G1931" s="1" t="s">
        <v>16</v>
      </c>
      <c r="H1931" s="1" t="s">
        <v>54</v>
      </c>
      <c r="I1931" s="1" t="s">
        <v>26</v>
      </c>
      <c r="J1931">
        <v>15</v>
      </c>
      <c r="K1931">
        <v>35</v>
      </c>
      <c r="L1931" s="1" t="s">
        <v>21</v>
      </c>
    </row>
    <row r="1932" spans="1:12" x14ac:dyDescent="0.3">
      <c r="A1932" s="1" t="s">
        <v>1210</v>
      </c>
      <c r="B1932" s="2">
        <v>45893</v>
      </c>
      <c r="C1932" s="2">
        <v>45924</v>
      </c>
      <c r="D1932" s="1" t="s">
        <v>13</v>
      </c>
      <c r="E1932" s="1" t="s">
        <v>14</v>
      </c>
      <c r="F1932" s="1" t="s">
        <v>15</v>
      </c>
      <c r="G1932" s="1" t="s">
        <v>16</v>
      </c>
      <c r="H1932" s="1" t="s">
        <v>17</v>
      </c>
      <c r="I1932" s="1" t="s">
        <v>26</v>
      </c>
      <c r="J1932">
        <v>15</v>
      </c>
      <c r="K1932">
        <v>31</v>
      </c>
      <c r="L1932" s="1" t="s">
        <v>21</v>
      </c>
    </row>
    <row r="1933" spans="1:12" x14ac:dyDescent="0.3">
      <c r="A1933" s="1" t="s">
        <v>1998</v>
      </c>
      <c r="B1933" s="2">
        <v>45893</v>
      </c>
      <c r="C1933" s="2">
        <v>45922</v>
      </c>
      <c r="D1933" s="1" t="s">
        <v>37</v>
      </c>
      <c r="E1933" s="1" t="s">
        <v>24</v>
      </c>
      <c r="F1933" s="1" t="s">
        <v>15</v>
      </c>
      <c r="G1933" s="1" t="s">
        <v>53</v>
      </c>
      <c r="H1933" s="1" t="s">
        <v>49</v>
      </c>
      <c r="I1933" s="1" t="s">
        <v>26</v>
      </c>
      <c r="J1933">
        <v>30</v>
      </c>
      <c r="K1933">
        <v>29</v>
      </c>
      <c r="L1933" s="1" t="s">
        <v>21</v>
      </c>
    </row>
    <row r="1934" spans="1:12" x14ac:dyDescent="0.3">
      <c r="A1934" s="1" t="s">
        <v>2176</v>
      </c>
      <c r="B1934" s="2">
        <v>45893</v>
      </c>
      <c r="C1934" s="2">
        <v>45904</v>
      </c>
      <c r="D1934" s="1" t="s">
        <v>37</v>
      </c>
      <c r="E1934" s="1" t="s">
        <v>24</v>
      </c>
      <c r="F1934" s="1" t="s">
        <v>15</v>
      </c>
      <c r="G1934" s="1" t="s">
        <v>16</v>
      </c>
      <c r="H1934" s="1" t="s">
        <v>39</v>
      </c>
      <c r="I1934" s="1" t="s">
        <v>18</v>
      </c>
      <c r="J1934">
        <v>45</v>
      </c>
      <c r="K1934">
        <v>11</v>
      </c>
      <c r="L1934" s="1" t="s">
        <v>30</v>
      </c>
    </row>
    <row r="1935" spans="1:12" x14ac:dyDescent="0.3">
      <c r="A1935" s="1" t="s">
        <v>2182</v>
      </c>
      <c r="B1935" s="2">
        <v>45893</v>
      </c>
      <c r="C1935" s="2">
        <v>45905</v>
      </c>
      <c r="D1935" s="1" t="s">
        <v>23</v>
      </c>
      <c r="E1935" s="1" t="s">
        <v>24</v>
      </c>
      <c r="F1935" s="1" t="s">
        <v>15</v>
      </c>
      <c r="G1935" s="1" t="s">
        <v>33</v>
      </c>
      <c r="H1935" s="1" t="s">
        <v>25</v>
      </c>
      <c r="I1935" s="1" t="s">
        <v>41</v>
      </c>
      <c r="J1935">
        <v>30</v>
      </c>
      <c r="K1935">
        <v>12</v>
      </c>
      <c r="L1935" s="1" t="s">
        <v>30</v>
      </c>
    </row>
    <row r="1936" spans="1:12" x14ac:dyDescent="0.3">
      <c r="A1936" s="1" t="s">
        <v>2267</v>
      </c>
      <c r="B1936" s="2">
        <v>45893</v>
      </c>
      <c r="C1936" s="2">
        <v>45960</v>
      </c>
      <c r="D1936" s="1" t="s">
        <v>28</v>
      </c>
      <c r="E1936" s="1" t="s">
        <v>14</v>
      </c>
      <c r="F1936" s="1" t="s">
        <v>15</v>
      </c>
      <c r="G1936" s="1" t="s">
        <v>16</v>
      </c>
      <c r="H1936" s="1" t="s">
        <v>54</v>
      </c>
      <c r="I1936" s="1" t="s">
        <v>18</v>
      </c>
      <c r="J1936">
        <v>15</v>
      </c>
      <c r="K1936">
        <v>67</v>
      </c>
      <c r="L1936" s="1" t="s">
        <v>80</v>
      </c>
    </row>
    <row r="1937" spans="1:12" x14ac:dyDescent="0.3">
      <c r="A1937" s="1" t="s">
        <v>2416</v>
      </c>
      <c r="B1937" s="2">
        <v>45893</v>
      </c>
      <c r="C1937" s="2">
        <v>45947</v>
      </c>
      <c r="D1937" s="1" t="s">
        <v>28</v>
      </c>
      <c r="E1937" s="1" t="s">
        <v>14</v>
      </c>
      <c r="F1937" s="1" t="s">
        <v>15</v>
      </c>
      <c r="G1937" s="1" t="s">
        <v>16</v>
      </c>
      <c r="H1937" s="1" t="s">
        <v>29</v>
      </c>
      <c r="I1937" s="1" t="s">
        <v>26</v>
      </c>
      <c r="J1937">
        <v>15</v>
      </c>
      <c r="K1937">
        <v>54</v>
      </c>
      <c r="L1937" s="1" t="s">
        <v>44</v>
      </c>
    </row>
    <row r="1938" spans="1:12" x14ac:dyDescent="0.3">
      <c r="A1938" s="1" t="s">
        <v>1362</v>
      </c>
      <c r="B1938" s="2">
        <v>45892</v>
      </c>
      <c r="C1938" s="2">
        <v>45934</v>
      </c>
      <c r="D1938" s="1" t="s">
        <v>23</v>
      </c>
      <c r="E1938" s="1" t="s">
        <v>14</v>
      </c>
      <c r="F1938" s="1" t="s">
        <v>15</v>
      </c>
      <c r="G1938" s="1" t="s">
        <v>16</v>
      </c>
      <c r="H1938" s="1" t="s">
        <v>43</v>
      </c>
      <c r="I1938" s="1" t="s">
        <v>26</v>
      </c>
      <c r="J1938">
        <v>30</v>
      </c>
      <c r="K1938">
        <v>42</v>
      </c>
      <c r="L1938" s="1" t="s">
        <v>21</v>
      </c>
    </row>
    <row r="1939" spans="1:12" x14ac:dyDescent="0.3">
      <c r="A1939" s="1" t="s">
        <v>1708</v>
      </c>
      <c r="B1939" s="2">
        <v>45892</v>
      </c>
      <c r="C1939" s="2">
        <v>45916</v>
      </c>
      <c r="D1939" s="1" t="s">
        <v>28</v>
      </c>
      <c r="E1939" s="1" t="s">
        <v>14</v>
      </c>
      <c r="F1939" s="1" t="s">
        <v>38</v>
      </c>
      <c r="G1939" s="1" t="s">
        <v>53</v>
      </c>
      <c r="H1939" s="1" t="s">
        <v>29</v>
      </c>
      <c r="I1939" s="1" t="s">
        <v>18</v>
      </c>
      <c r="J1939">
        <v>30</v>
      </c>
      <c r="K1939">
        <v>24</v>
      </c>
      <c r="L1939" s="1" t="s">
        <v>19</v>
      </c>
    </row>
    <row r="1940" spans="1:12" x14ac:dyDescent="0.3">
      <c r="A1940" s="1" t="s">
        <v>482</v>
      </c>
      <c r="B1940" s="2">
        <v>45892</v>
      </c>
      <c r="C1940" s="2">
        <v>45966</v>
      </c>
      <c r="D1940" s="1" t="s">
        <v>37</v>
      </c>
      <c r="E1940" s="1" t="s">
        <v>24</v>
      </c>
      <c r="F1940" s="1" t="s">
        <v>15</v>
      </c>
      <c r="G1940" s="1" t="s">
        <v>16</v>
      </c>
      <c r="H1940" s="1" t="s">
        <v>39</v>
      </c>
      <c r="I1940" s="1" t="s">
        <v>41</v>
      </c>
      <c r="J1940">
        <v>30</v>
      </c>
      <c r="K1940">
        <v>74</v>
      </c>
      <c r="L1940" s="1" t="s">
        <v>80</v>
      </c>
    </row>
    <row r="1941" spans="1:12" x14ac:dyDescent="0.3">
      <c r="A1941" s="1" t="s">
        <v>2842</v>
      </c>
      <c r="B1941" s="2">
        <v>45892</v>
      </c>
      <c r="C1941" s="2">
        <v>45962</v>
      </c>
      <c r="D1941" s="1" t="s">
        <v>37</v>
      </c>
      <c r="E1941" s="1" t="s">
        <v>14</v>
      </c>
      <c r="F1941" s="1" t="s">
        <v>15</v>
      </c>
      <c r="G1941" s="1" t="s">
        <v>16</v>
      </c>
      <c r="H1941" s="1" t="s">
        <v>49</v>
      </c>
      <c r="I1941" s="1" t="s">
        <v>18</v>
      </c>
      <c r="J1941">
        <v>15</v>
      </c>
      <c r="K1941">
        <v>70</v>
      </c>
      <c r="L1941" s="1" t="s">
        <v>80</v>
      </c>
    </row>
    <row r="1942" spans="1:12" x14ac:dyDescent="0.3">
      <c r="A1942" s="1" t="s">
        <v>2045</v>
      </c>
      <c r="B1942" s="2">
        <v>45892</v>
      </c>
      <c r="C1942" s="2">
        <v>45904</v>
      </c>
      <c r="D1942" s="1" t="s">
        <v>23</v>
      </c>
      <c r="E1942" s="1" t="s">
        <v>14</v>
      </c>
      <c r="F1942" s="1" t="s">
        <v>15</v>
      </c>
      <c r="G1942" s="1" t="s">
        <v>33</v>
      </c>
      <c r="H1942" s="1" t="s">
        <v>43</v>
      </c>
      <c r="I1942" s="1" t="s">
        <v>18</v>
      </c>
      <c r="J1942">
        <v>15</v>
      </c>
      <c r="K1942">
        <v>12</v>
      </c>
      <c r="L1942" s="1" t="s">
        <v>30</v>
      </c>
    </row>
    <row r="1943" spans="1:12" x14ac:dyDescent="0.3">
      <c r="A1943" s="1" t="s">
        <v>2588</v>
      </c>
      <c r="B1943" s="2">
        <v>45892</v>
      </c>
      <c r="C1943" s="2">
        <v>45940</v>
      </c>
      <c r="D1943" s="1" t="s">
        <v>28</v>
      </c>
      <c r="E1943" s="1" t="s">
        <v>14</v>
      </c>
      <c r="F1943" s="1" t="s">
        <v>38</v>
      </c>
      <c r="G1943" s="1" t="s">
        <v>33</v>
      </c>
      <c r="H1943" s="1" t="s">
        <v>29</v>
      </c>
      <c r="I1943" s="1" t="s">
        <v>26</v>
      </c>
      <c r="J1943">
        <v>15</v>
      </c>
      <c r="K1943">
        <v>48</v>
      </c>
      <c r="L1943" s="1" t="s">
        <v>44</v>
      </c>
    </row>
    <row r="1944" spans="1:12" x14ac:dyDescent="0.3">
      <c r="A1944" s="1" t="s">
        <v>594</v>
      </c>
      <c r="B1944" s="2">
        <v>45891</v>
      </c>
      <c r="C1944" s="2">
        <v>45934</v>
      </c>
      <c r="D1944" s="1" t="s">
        <v>32</v>
      </c>
      <c r="E1944" s="1" t="s">
        <v>14</v>
      </c>
      <c r="F1944" s="1" t="s">
        <v>15</v>
      </c>
      <c r="G1944" s="1" t="s">
        <v>16</v>
      </c>
      <c r="H1944" s="1" t="s">
        <v>34</v>
      </c>
      <c r="I1944" s="1" t="s">
        <v>41</v>
      </c>
      <c r="J1944">
        <v>30</v>
      </c>
      <c r="K1944">
        <v>43</v>
      </c>
      <c r="L1944" s="1" t="s">
        <v>44</v>
      </c>
    </row>
    <row r="1945" spans="1:12" x14ac:dyDescent="0.3">
      <c r="A1945" s="1" t="s">
        <v>1325</v>
      </c>
      <c r="B1945" s="2">
        <v>45891</v>
      </c>
      <c r="C1945" s="2">
        <v>45936</v>
      </c>
      <c r="D1945" s="1" t="s">
        <v>32</v>
      </c>
      <c r="E1945" s="1" t="s">
        <v>24</v>
      </c>
      <c r="F1945" s="1" t="s">
        <v>15</v>
      </c>
      <c r="G1945" s="1" t="s">
        <v>16</v>
      </c>
      <c r="H1945" s="1" t="s">
        <v>71</v>
      </c>
      <c r="I1945" s="1" t="s">
        <v>41</v>
      </c>
      <c r="J1945">
        <v>30</v>
      </c>
      <c r="K1945">
        <v>45</v>
      </c>
      <c r="L1945" s="1" t="s">
        <v>44</v>
      </c>
    </row>
    <row r="1946" spans="1:12" x14ac:dyDescent="0.3">
      <c r="A1946" s="1" t="s">
        <v>1520</v>
      </c>
      <c r="B1946" s="2">
        <v>45891</v>
      </c>
      <c r="C1946" s="2">
        <v>45924</v>
      </c>
      <c r="D1946" s="1" t="s">
        <v>28</v>
      </c>
      <c r="E1946" s="1" t="s">
        <v>24</v>
      </c>
      <c r="F1946" s="1" t="s">
        <v>15</v>
      </c>
      <c r="G1946" s="1" t="s">
        <v>53</v>
      </c>
      <c r="H1946" s="1" t="s">
        <v>54</v>
      </c>
      <c r="I1946" s="1" t="s">
        <v>26</v>
      </c>
      <c r="J1946">
        <v>30</v>
      </c>
      <c r="K1946">
        <v>33</v>
      </c>
      <c r="L1946" s="1" t="s">
        <v>21</v>
      </c>
    </row>
    <row r="1947" spans="1:12" x14ac:dyDescent="0.3">
      <c r="A1947" s="1" t="s">
        <v>1736</v>
      </c>
      <c r="B1947" s="2">
        <v>45891</v>
      </c>
      <c r="C1947" s="2">
        <v>45943</v>
      </c>
      <c r="D1947" s="1" t="s">
        <v>28</v>
      </c>
      <c r="E1947" s="1" t="s">
        <v>14</v>
      </c>
      <c r="F1947" s="1" t="s">
        <v>15</v>
      </c>
      <c r="G1947" s="1" t="s">
        <v>16</v>
      </c>
      <c r="H1947" s="1" t="s">
        <v>29</v>
      </c>
      <c r="I1947" s="1" t="s">
        <v>26</v>
      </c>
      <c r="J1947">
        <v>15</v>
      </c>
      <c r="K1947">
        <v>52</v>
      </c>
      <c r="L1947" s="1" t="s">
        <v>44</v>
      </c>
    </row>
    <row r="1948" spans="1:12" x14ac:dyDescent="0.3">
      <c r="A1948" s="1" t="s">
        <v>1796</v>
      </c>
      <c r="B1948" s="2">
        <v>45891</v>
      </c>
      <c r="C1948" s="2">
        <v>45928</v>
      </c>
      <c r="D1948" s="1" t="s">
        <v>23</v>
      </c>
      <c r="E1948" s="1" t="s">
        <v>24</v>
      </c>
      <c r="F1948" s="1" t="s">
        <v>15</v>
      </c>
      <c r="G1948" s="1" t="s">
        <v>33</v>
      </c>
      <c r="H1948" s="1" t="s">
        <v>43</v>
      </c>
      <c r="I1948" s="1" t="s">
        <v>41</v>
      </c>
      <c r="J1948">
        <v>30</v>
      </c>
      <c r="K1948">
        <v>37</v>
      </c>
      <c r="L1948" s="1" t="s">
        <v>21</v>
      </c>
    </row>
    <row r="1949" spans="1:12" x14ac:dyDescent="0.3">
      <c r="A1949" s="1" t="s">
        <v>3083</v>
      </c>
      <c r="B1949" s="2">
        <v>45891</v>
      </c>
      <c r="C1949" s="2">
        <v>45939</v>
      </c>
      <c r="D1949" s="1" t="s">
        <v>37</v>
      </c>
      <c r="E1949" s="1" t="s">
        <v>14</v>
      </c>
      <c r="F1949" s="1" t="s">
        <v>15</v>
      </c>
      <c r="G1949" s="1" t="s">
        <v>16</v>
      </c>
      <c r="H1949" s="1" t="s">
        <v>39</v>
      </c>
      <c r="I1949" s="1" t="s">
        <v>26</v>
      </c>
      <c r="J1949">
        <v>30</v>
      </c>
      <c r="K1949">
        <v>48</v>
      </c>
      <c r="L1949" s="1" t="s">
        <v>44</v>
      </c>
    </row>
    <row r="1950" spans="1:12" x14ac:dyDescent="0.3">
      <c r="A1950" s="1" t="s">
        <v>1963</v>
      </c>
      <c r="B1950" s="2">
        <v>45891</v>
      </c>
      <c r="C1950" s="2">
        <v>45917</v>
      </c>
      <c r="D1950" s="1" t="s">
        <v>28</v>
      </c>
      <c r="E1950" s="1" t="s">
        <v>24</v>
      </c>
      <c r="F1950" s="1" t="s">
        <v>15</v>
      </c>
      <c r="G1950" s="1" t="s">
        <v>16</v>
      </c>
      <c r="H1950" s="1" t="s">
        <v>54</v>
      </c>
      <c r="I1950" s="1" t="s">
        <v>18</v>
      </c>
      <c r="J1950">
        <v>45</v>
      </c>
      <c r="K1950">
        <v>26</v>
      </c>
      <c r="L1950" s="1" t="s">
        <v>19</v>
      </c>
    </row>
    <row r="1951" spans="1:12" x14ac:dyDescent="0.3">
      <c r="A1951" s="1" t="s">
        <v>2426</v>
      </c>
      <c r="B1951" s="2">
        <v>45891</v>
      </c>
      <c r="C1951" s="2">
        <v>45938</v>
      </c>
      <c r="D1951" s="1" t="s">
        <v>37</v>
      </c>
      <c r="E1951" s="1" t="s">
        <v>14</v>
      </c>
      <c r="F1951" s="1" t="s">
        <v>15</v>
      </c>
      <c r="G1951" s="1" t="s">
        <v>53</v>
      </c>
      <c r="H1951" s="1" t="s">
        <v>39</v>
      </c>
      <c r="I1951" s="1" t="s">
        <v>41</v>
      </c>
      <c r="J1951">
        <v>15</v>
      </c>
      <c r="K1951">
        <v>47</v>
      </c>
      <c r="L1951" s="1" t="s">
        <v>44</v>
      </c>
    </row>
    <row r="1952" spans="1:12" x14ac:dyDescent="0.3">
      <c r="A1952" s="1" t="s">
        <v>2101</v>
      </c>
      <c r="B1952" s="2">
        <v>45891</v>
      </c>
      <c r="C1952" s="2">
        <v>45932</v>
      </c>
      <c r="D1952" s="1" t="s">
        <v>37</v>
      </c>
      <c r="E1952" s="1" t="s">
        <v>14</v>
      </c>
      <c r="F1952" s="1" t="s">
        <v>15</v>
      </c>
      <c r="G1952" s="1" t="s">
        <v>16</v>
      </c>
      <c r="H1952" s="1" t="s">
        <v>49</v>
      </c>
      <c r="I1952" s="1" t="s">
        <v>18</v>
      </c>
      <c r="J1952">
        <v>15</v>
      </c>
      <c r="K1952">
        <v>41</v>
      </c>
      <c r="L1952" s="1" t="s">
        <v>21</v>
      </c>
    </row>
    <row r="1953" spans="1:12" x14ac:dyDescent="0.3">
      <c r="A1953" s="1" t="s">
        <v>1816</v>
      </c>
      <c r="B1953" s="2">
        <v>45891</v>
      </c>
      <c r="C1953" s="2">
        <v>45918</v>
      </c>
      <c r="D1953" s="1" t="s">
        <v>37</v>
      </c>
      <c r="E1953" s="1" t="s">
        <v>14</v>
      </c>
      <c r="F1953" s="1" t="s">
        <v>38</v>
      </c>
      <c r="G1953" s="1" t="s">
        <v>16</v>
      </c>
      <c r="H1953" s="1" t="s">
        <v>49</v>
      </c>
      <c r="I1953" s="1" t="s">
        <v>26</v>
      </c>
      <c r="J1953">
        <v>15</v>
      </c>
      <c r="K1953">
        <v>27</v>
      </c>
      <c r="L1953" s="1" t="s">
        <v>19</v>
      </c>
    </row>
    <row r="1954" spans="1:12" x14ac:dyDescent="0.3">
      <c r="A1954" s="1" t="s">
        <v>2054</v>
      </c>
      <c r="B1954" s="2">
        <v>45891</v>
      </c>
      <c r="C1954" s="2">
        <v>45940</v>
      </c>
      <c r="D1954" s="1" t="s">
        <v>32</v>
      </c>
      <c r="E1954" s="1" t="s">
        <v>14</v>
      </c>
      <c r="F1954" s="1" t="s">
        <v>38</v>
      </c>
      <c r="G1954" s="1" t="s">
        <v>16</v>
      </c>
      <c r="H1954" s="1" t="s">
        <v>71</v>
      </c>
      <c r="I1954" s="1" t="s">
        <v>18</v>
      </c>
      <c r="J1954">
        <v>15</v>
      </c>
      <c r="K1954">
        <v>49</v>
      </c>
      <c r="L1954" s="1" t="s">
        <v>44</v>
      </c>
    </row>
    <row r="1955" spans="1:12" x14ac:dyDescent="0.3">
      <c r="A1955" s="1" t="s">
        <v>2333</v>
      </c>
      <c r="B1955" s="2">
        <v>45891</v>
      </c>
      <c r="C1955" s="2">
        <v>45936</v>
      </c>
      <c r="D1955" s="1" t="s">
        <v>28</v>
      </c>
      <c r="E1955" s="1" t="s">
        <v>14</v>
      </c>
      <c r="F1955" s="1" t="s">
        <v>15</v>
      </c>
      <c r="G1955" s="1" t="s">
        <v>16</v>
      </c>
      <c r="H1955" s="1" t="s">
        <v>54</v>
      </c>
      <c r="I1955" s="1" t="s">
        <v>18</v>
      </c>
      <c r="J1955">
        <v>15</v>
      </c>
      <c r="K1955">
        <v>45</v>
      </c>
      <c r="L1955" s="1" t="s">
        <v>44</v>
      </c>
    </row>
    <row r="1956" spans="1:12" x14ac:dyDescent="0.3">
      <c r="A1956" s="1" t="s">
        <v>2384</v>
      </c>
      <c r="B1956" s="2">
        <v>45891</v>
      </c>
      <c r="C1956" s="2">
        <v>45937</v>
      </c>
      <c r="D1956" s="1" t="s">
        <v>23</v>
      </c>
      <c r="E1956" s="1" t="s">
        <v>14</v>
      </c>
      <c r="F1956" s="1" t="s">
        <v>15</v>
      </c>
      <c r="G1956" s="1" t="s">
        <v>16</v>
      </c>
      <c r="H1956" s="1" t="s">
        <v>43</v>
      </c>
      <c r="I1956" s="1" t="s">
        <v>26</v>
      </c>
      <c r="J1956">
        <v>15</v>
      </c>
      <c r="K1956">
        <v>46</v>
      </c>
      <c r="L1956" s="1" t="s">
        <v>44</v>
      </c>
    </row>
    <row r="1957" spans="1:12" x14ac:dyDescent="0.3">
      <c r="A1957" s="1" t="s">
        <v>851</v>
      </c>
      <c r="B1957" s="2">
        <v>45890</v>
      </c>
      <c r="C1957" s="2">
        <v>45909</v>
      </c>
      <c r="D1957" s="1" t="s">
        <v>23</v>
      </c>
      <c r="E1957" s="1" t="s">
        <v>24</v>
      </c>
      <c r="F1957" s="1" t="s">
        <v>15</v>
      </c>
      <c r="G1957" s="1" t="s">
        <v>53</v>
      </c>
      <c r="H1957" s="1" t="s">
        <v>43</v>
      </c>
      <c r="I1957" s="1" t="s">
        <v>41</v>
      </c>
      <c r="J1957">
        <v>30</v>
      </c>
      <c r="K1957">
        <v>19</v>
      </c>
      <c r="L1957" s="1" t="s">
        <v>19</v>
      </c>
    </row>
    <row r="1958" spans="1:12" x14ac:dyDescent="0.3">
      <c r="A1958" s="1" t="s">
        <v>1136</v>
      </c>
      <c r="B1958" s="2">
        <v>45890</v>
      </c>
      <c r="C1958" s="2">
        <v>45910</v>
      </c>
      <c r="D1958" s="1" t="s">
        <v>23</v>
      </c>
      <c r="E1958" s="1" t="s">
        <v>14</v>
      </c>
      <c r="F1958" s="1" t="s">
        <v>15</v>
      </c>
      <c r="G1958" s="1" t="s">
        <v>53</v>
      </c>
      <c r="H1958" s="1" t="s">
        <v>25</v>
      </c>
      <c r="I1958" s="1" t="s">
        <v>26</v>
      </c>
      <c r="J1958">
        <v>15</v>
      </c>
      <c r="K1958">
        <v>20</v>
      </c>
      <c r="L1958" s="1" t="s">
        <v>19</v>
      </c>
    </row>
    <row r="1959" spans="1:12" x14ac:dyDescent="0.3">
      <c r="A1959" s="1" t="s">
        <v>1215</v>
      </c>
      <c r="B1959" s="2">
        <v>45890</v>
      </c>
      <c r="C1959" s="2">
        <v>45956</v>
      </c>
      <c r="D1959" s="1" t="s">
        <v>28</v>
      </c>
      <c r="E1959" s="1" t="s">
        <v>24</v>
      </c>
      <c r="F1959" s="1" t="s">
        <v>15</v>
      </c>
      <c r="G1959" s="1" t="s">
        <v>16</v>
      </c>
      <c r="H1959" s="1" t="s">
        <v>54</v>
      </c>
      <c r="I1959" s="1" t="s">
        <v>41</v>
      </c>
      <c r="J1959">
        <v>30</v>
      </c>
      <c r="K1959">
        <v>66</v>
      </c>
      <c r="L1959" s="1" t="s">
        <v>80</v>
      </c>
    </row>
    <row r="1960" spans="1:12" x14ac:dyDescent="0.3">
      <c r="A1960" s="1" t="s">
        <v>1394</v>
      </c>
      <c r="B1960" s="2">
        <v>45890</v>
      </c>
      <c r="C1960" s="2">
        <v>45958</v>
      </c>
      <c r="D1960" s="1" t="s">
        <v>28</v>
      </c>
      <c r="E1960" s="1" t="s">
        <v>14</v>
      </c>
      <c r="F1960" s="1" t="s">
        <v>15</v>
      </c>
      <c r="G1960" s="1" t="s">
        <v>16</v>
      </c>
      <c r="H1960" s="1" t="s">
        <v>54</v>
      </c>
      <c r="I1960" s="1" t="s">
        <v>41</v>
      </c>
      <c r="J1960">
        <v>15</v>
      </c>
      <c r="K1960">
        <v>68</v>
      </c>
      <c r="L1960" s="1" t="s">
        <v>80</v>
      </c>
    </row>
    <row r="1961" spans="1:12" x14ac:dyDescent="0.3">
      <c r="A1961" s="1" t="s">
        <v>2616</v>
      </c>
      <c r="B1961" s="2">
        <v>45890</v>
      </c>
      <c r="C1961" s="2">
        <v>45923</v>
      </c>
      <c r="D1961" s="1" t="s">
        <v>13</v>
      </c>
      <c r="E1961" s="1" t="s">
        <v>14</v>
      </c>
      <c r="F1961" s="1" t="s">
        <v>15</v>
      </c>
      <c r="G1961" s="1" t="s">
        <v>16</v>
      </c>
      <c r="H1961" s="1" t="s">
        <v>47</v>
      </c>
      <c r="I1961" s="1" t="s">
        <v>18</v>
      </c>
      <c r="J1961">
        <v>30</v>
      </c>
      <c r="K1961">
        <v>33</v>
      </c>
      <c r="L1961" s="1" t="s">
        <v>21</v>
      </c>
    </row>
    <row r="1962" spans="1:12" x14ac:dyDescent="0.3">
      <c r="A1962" s="1" t="s">
        <v>2664</v>
      </c>
      <c r="B1962" s="2">
        <v>45890</v>
      </c>
      <c r="C1962" s="2">
        <v>45926</v>
      </c>
      <c r="D1962" s="1" t="s">
        <v>23</v>
      </c>
      <c r="E1962" s="1" t="s">
        <v>14</v>
      </c>
      <c r="F1962" s="1" t="s">
        <v>15</v>
      </c>
      <c r="G1962" s="1" t="s">
        <v>53</v>
      </c>
      <c r="H1962" s="1" t="s">
        <v>43</v>
      </c>
      <c r="I1962" s="1" t="s">
        <v>41</v>
      </c>
      <c r="J1962">
        <v>15</v>
      </c>
      <c r="K1962">
        <v>36</v>
      </c>
      <c r="L1962" s="1" t="s">
        <v>21</v>
      </c>
    </row>
    <row r="1963" spans="1:12" x14ac:dyDescent="0.3">
      <c r="A1963" s="1" t="s">
        <v>2894</v>
      </c>
      <c r="B1963" s="2">
        <v>45890</v>
      </c>
      <c r="C1963" s="2">
        <v>45922</v>
      </c>
      <c r="D1963" s="1" t="s">
        <v>23</v>
      </c>
      <c r="E1963" s="1" t="s">
        <v>24</v>
      </c>
      <c r="F1963" s="1" t="s">
        <v>15</v>
      </c>
      <c r="G1963" s="1" t="s">
        <v>16</v>
      </c>
      <c r="H1963" s="1" t="s">
        <v>43</v>
      </c>
      <c r="I1963" s="1" t="s">
        <v>41</v>
      </c>
      <c r="J1963">
        <v>30</v>
      </c>
      <c r="K1963">
        <v>32</v>
      </c>
      <c r="L1963" s="1" t="s">
        <v>21</v>
      </c>
    </row>
    <row r="1964" spans="1:12" x14ac:dyDescent="0.3">
      <c r="A1964" s="1" t="s">
        <v>3134</v>
      </c>
      <c r="B1964" s="2">
        <v>45890</v>
      </c>
      <c r="C1964" s="2">
        <v>45942</v>
      </c>
      <c r="D1964" s="1" t="s">
        <v>23</v>
      </c>
      <c r="E1964" s="1" t="s">
        <v>14</v>
      </c>
      <c r="F1964" s="1" t="s">
        <v>38</v>
      </c>
      <c r="G1964" s="1" t="s">
        <v>16</v>
      </c>
      <c r="H1964" s="1" t="s">
        <v>43</v>
      </c>
      <c r="I1964" s="1" t="s">
        <v>41</v>
      </c>
      <c r="J1964">
        <v>15</v>
      </c>
      <c r="K1964">
        <v>52</v>
      </c>
      <c r="L1964" s="1" t="s">
        <v>44</v>
      </c>
    </row>
    <row r="1965" spans="1:12" x14ac:dyDescent="0.3">
      <c r="A1965" s="1" t="s">
        <v>135</v>
      </c>
      <c r="B1965" s="2">
        <v>45889</v>
      </c>
      <c r="C1965" s="2">
        <v>45917</v>
      </c>
      <c r="D1965" s="1" t="s">
        <v>23</v>
      </c>
      <c r="E1965" s="1" t="s">
        <v>14</v>
      </c>
      <c r="F1965" s="1" t="s">
        <v>15</v>
      </c>
      <c r="G1965" s="1" t="s">
        <v>16</v>
      </c>
      <c r="H1965" s="1" t="s">
        <v>25</v>
      </c>
      <c r="I1965" s="1" t="s">
        <v>41</v>
      </c>
      <c r="J1965">
        <v>30</v>
      </c>
      <c r="K1965">
        <v>28</v>
      </c>
      <c r="L1965" s="1" t="s">
        <v>19</v>
      </c>
    </row>
    <row r="1966" spans="1:12" x14ac:dyDescent="0.3">
      <c r="A1966" s="1" t="s">
        <v>2821</v>
      </c>
      <c r="B1966" s="2">
        <v>45889</v>
      </c>
      <c r="C1966" s="2">
        <v>45924</v>
      </c>
      <c r="D1966" s="1" t="s">
        <v>37</v>
      </c>
      <c r="E1966" s="1" t="s">
        <v>14</v>
      </c>
      <c r="F1966" s="1" t="s">
        <v>15</v>
      </c>
      <c r="G1966" s="1" t="s">
        <v>16</v>
      </c>
      <c r="H1966" s="1" t="s">
        <v>49</v>
      </c>
      <c r="I1966" s="1" t="s">
        <v>41</v>
      </c>
      <c r="J1966">
        <v>30</v>
      </c>
      <c r="K1966">
        <v>35</v>
      </c>
      <c r="L1966" s="1" t="s">
        <v>21</v>
      </c>
    </row>
    <row r="1967" spans="1:12" x14ac:dyDescent="0.3">
      <c r="A1967" s="1" t="s">
        <v>1108</v>
      </c>
      <c r="B1967" s="2">
        <v>45889</v>
      </c>
      <c r="C1967" s="2">
        <v>45921</v>
      </c>
      <c r="D1967" s="1" t="s">
        <v>37</v>
      </c>
      <c r="E1967" s="1" t="s">
        <v>14</v>
      </c>
      <c r="F1967" s="1" t="s">
        <v>38</v>
      </c>
      <c r="G1967" s="1" t="s">
        <v>16</v>
      </c>
      <c r="H1967" s="1" t="s">
        <v>39</v>
      </c>
      <c r="I1967" s="1" t="s">
        <v>26</v>
      </c>
      <c r="J1967">
        <v>15</v>
      </c>
      <c r="K1967">
        <v>32</v>
      </c>
      <c r="L1967" s="1" t="s">
        <v>21</v>
      </c>
    </row>
    <row r="1968" spans="1:12" x14ac:dyDescent="0.3">
      <c r="A1968" s="1" t="s">
        <v>1671</v>
      </c>
      <c r="B1968" s="2">
        <v>45889</v>
      </c>
      <c r="C1968" s="2">
        <v>45917</v>
      </c>
      <c r="D1968" s="1" t="s">
        <v>37</v>
      </c>
      <c r="E1968" s="1" t="s">
        <v>14</v>
      </c>
      <c r="F1968" s="1" t="s">
        <v>15</v>
      </c>
      <c r="G1968" s="1" t="s">
        <v>16</v>
      </c>
      <c r="H1968" s="1" t="s">
        <v>39</v>
      </c>
      <c r="I1968" s="1" t="s">
        <v>41</v>
      </c>
      <c r="J1968">
        <v>15</v>
      </c>
      <c r="K1968">
        <v>28</v>
      </c>
      <c r="L1968" s="1" t="s">
        <v>19</v>
      </c>
    </row>
    <row r="1969" spans="1:12" x14ac:dyDescent="0.3">
      <c r="A1969" s="1" t="s">
        <v>2258</v>
      </c>
      <c r="B1969" s="2">
        <v>45889</v>
      </c>
      <c r="C1969" s="2">
        <v>45907</v>
      </c>
      <c r="D1969" s="1" t="s">
        <v>37</v>
      </c>
      <c r="E1969" s="1" t="s">
        <v>24</v>
      </c>
      <c r="F1969" s="1" t="s">
        <v>15</v>
      </c>
      <c r="G1969" s="1" t="s">
        <v>16</v>
      </c>
      <c r="H1969" s="1" t="s">
        <v>39</v>
      </c>
      <c r="I1969" s="1" t="s">
        <v>41</v>
      </c>
      <c r="J1969">
        <v>30</v>
      </c>
      <c r="K1969">
        <v>18</v>
      </c>
      <c r="L1969" s="1" t="s">
        <v>19</v>
      </c>
    </row>
    <row r="1970" spans="1:12" x14ac:dyDescent="0.3">
      <c r="A1970" s="1" t="s">
        <v>2725</v>
      </c>
      <c r="B1970" s="2">
        <v>45889</v>
      </c>
      <c r="C1970" s="2">
        <v>45905</v>
      </c>
      <c r="D1970" s="1" t="s">
        <v>37</v>
      </c>
      <c r="E1970" s="1" t="s">
        <v>24</v>
      </c>
      <c r="F1970" s="1" t="s">
        <v>38</v>
      </c>
      <c r="G1970" s="1" t="s">
        <v>33</v>
      </c>
      <c r="H1970" s="1" t="s">
        <v>49</v>
      </c>
      <c r="I1970" s="1" t="s">
        <v>26</v>
      </c>
      <c r="J1970">
        <v>45</v>
      </c>
      <c r="K1970">
        <v>16</v>
      </c>
      <c r="L1970" s="1" t="s">
        <v>19</v>
      </c>
    </row>
    <row r="1971" spans="1:12" x14ac:dyDescent="0.3">
      <c r="A1971" s="1" t="s">
        <v>2642</v>
      </c>
      <c r="B1971" s="2">
        <v>45889</v>
      </c>
      <c r="C1971" s="2">
        <v>45932</v>
      </c>
      <c r="D1971" s="1" t="s">
        <v>13</v>
      </c>
      <c r="E1971" s="1" t="s">
        <v>14</v>
      </c>
      <c r="F1971" s="1" t="s">
        <v>15</v>
      </c>
      <c r="G1971" s="1" t="s">
        <v>33</v>
      </c>
      <c r="H1971" s="1" t="s">
        <v>17</v>
      </c>
      <c r="I1971" s="1" t="s">
        <v>26</v>
      </c>
      <c r="J1971">
        <v>30</v>
      </c>
      <c r="K1971">
        <v>43</v>
      </c>
      <c r="L1971" s="1" t="s">
        <v>44</v>
      </c>
    </row>
    <row r="1972" spans="1:12" x14ac:dyDescent="0.3">
      <c r="A1972" s="1" t="s">
        <v>2877</v>
      </c>
      <c r="B1972" s="2">
        <v>45889</v>
      </c>
      <c r="C1972" s="2">
        <v>45903</v>
      </c>
      <c r="D1972" s="1" t="s">
        <v>28</v>
      </c>
      <c r="E1972" s="1" t="s">
        <v>14</v>
      </c>
      <c r="F1972" s="1" t="s">
        <v>15</v>
      </c>
      <c r="G1972" s="1" t="s">
        <v>16</v>
      </c>
      <c r="H1972" s="1" t="s">
        <v>54</v>
      </c>
      <c r="I1972" s="1" t="s">
        <v>26</v>
      </c>
      <c r="J1972">
        <v>15</v>
      </c>
      <c r="K1972">
        <v>14</v>
      </c>
      <c r="L1972" s="1" t="s">
        <v>30</v>
      </c>
    </row>
    <row r="1973" spans="1:12" x14ac:dyDescent="0.3">
      <c r="A1973" s="1" t="s">
        <v>3101</v>
      </c>
      <c r="B1973" s="2">
        <v>45889</v>
      </c>
      <c r="C1973" s="2">
        <v>45973</v>
      </c>
      <c r="D1973" s="1" t="s">
        <v>23</v>
      </c>
      <c r="E1973" s="1" t="s">
        <v>14</v>
      </c>
      <c r="F1973" s="1" t="s">
        <v>15</v>
      </c>
      <c r="G1973" s="1" t="s">
        <v>16</v>
      </c>
      <c r="H1973" s="1" t="s">
        <v>25</v>
      </c>
      <c r="I1973" s="1" t="s">
        <v>26</v>
      </c>
      <c r="J1973">
        <v>15</v>
      </c>
      <c r="K1973">
        <v>84</v>
      </c>
      <c r="L1973" s="1" t="s">
        <v>80</v>
      </c>
    </row>
    <row r="1974" spans="1:12" x14ac:dyDescent="0.3">
      <c r="A1974" s="1" t="s">
        <v>656</v>
      </c>
      <c r="B1974" s="2">
        <v>45888</v>
      </c>
      <c r="C1974" s="2">
        <v>45901</v>
      </c>
      <c r="D1974" s="1" t="s">
        <v>32</v>
      </c>
      <c r="E1974" s="1" t="s">
        <v>24</v>
      </c>
      <c r="F1974" s="1" t="s">
        <v>15</v>
      </c>
      <c r="G1974" s="1" t="s">
        <v>16</v>
      </c>
      <c r="H1974" s="1" t="s">
        <v>71</v>
      </c>
      <c r="I1974" s="1" t="s">
        <v>18</v>
      </c>
      <c r="J1974">
        <v>30</v>
      </c>
      <c r="K1974">
        <v>13</v>
      </c>
      <c r="L1974" s="1" t="s">
        <v>30</v>
      </c>
    </row>
    <row r="1975" spans="1:12" x14ac:dyDescent="0.3">
      <c r="A1975" s="1" t="s">
        <v>1427</v>
      </c>
      <c r="B1975" s="2">
        <v>45888</v>
      </c>
      <c r="C1975" s="2">
        <v>45920</v>
      </c>
      <c r="D1975" s="1" t="s">
        <v>23</v>
      </c>
      <c r="E1975" s="1" t="s">
        <v>24</v>
      </c>
      <c r="F1975" s="1" t="s">
        <v>15</v>
      </c>
      <c r="G1975" s="1" t="s">
        <v>16</v>
      </c>
      <c r="H1975" s="1" t="s">
        <v>25</v>
      </c>
      <c r="I1975" s="1" t="s">
        <v>26</v>
      </c>
      <c r="J1975">
        <v>45</v>
      </c>
      <c r="K1975">
        <v>32</v>
      </c>
      <c r="L1975" s="1" t="s">
        <v>21</v>
      </c>
    </row>
    <row r="1976" spans="1:12" x14ac:dyDescent="0.3">
      <c r="A1976" s="1" t="s">
        <v>1923</v>
      </c>
      <c r="B1976" s="2">
        <v>45888</v>
      </c>
      <c r="C1976" s="2">
        <v>45958</v>
      </c>
      <c r="D1976" s="1" t="s">
        <v>28</v>
      </c>
      <c r="E1976" s="1" t="s">
        <v>14</v>
      </c>
      <c r="F1976" s="1" t="s">
        <v>38</v>
      </c>
      <c r="G1976" s="1" t="s">
        <v>16</v>
      </c>
      <c r="H1976" s="1" t="s">
        <v>29</v>
      </c>
      <c r="I1976" s="1" t="s">
        <v>41</v>
      </c>
      <c r="J1976">
        <v>15</v>
      </c>
      <c r="K1976">
        <v>70</v>
      </c>
      <c r="L1976" s="1" t="s">
        <v>80</v>
      </c>
    </row>
    <row r="1977" spans="1:12" x14ac:dyDescent="0.3">
      <c r="A1977" s="1" t="s">
        <v>1803</v>
      </c>
      <c r="B1977" s="2">
        <v>45888</v>
      </c>
      <c r="C1977" s="2">
        <v>45894</v>
      </c>
      <c r="D1977" s="1" t="s">
        <v>37</v>
      </c>
      <c r="E1977" s="1" t="s">
        <v>14</v>
      </c>
      <c r="F1977" s="1" t="s">
        <v>15</v>
      </c>
      <c r="G1977" s="1" t="s">
        <v>16</v>
      </c>
      <c r="H1977" s="1" t="s">
        <v>39</v>
      </c>
      <c r="I1977" s="1" t="s">
        <v>26</v>
      </c>
      <c r="J1977">
        <v>15</v>
      </c>
      <c r="K1977">
        <v>6</v>
      </c>
      <c r="L1977" s="1" t="s">
        <v>30</v>
      </c>
    </row>
    <row r="1978" spans="1:12" x14ac:dyDescent="0.3">
      <c r="A1978" s="1" t="s">
        <v>2470</v>
      </c>
      <c r="B1978" s="2">
        <v>45888</v>
      </c>
      <c r="C1978" s="2">
        <v>45930</v>
      </c>
      <c r="D1978" s="1" t="s">
        <v>28</v>
      </c>
      <c r="E1978" s="1" t="s">
        <v>14</v>
      </c>
      <c r="F1978" s="1" t="s">
        <v>15</v>
      </c>
      <c r="G1978" s="1" t="s">
        <v>16</v>
      </c>
      <c r="H1978" s="1" t="s">
        <v>29</v>
      </c>
      <c r="I1978" s="1" t="s">
        <v>26</v>
      </c>
      <c r="J1978">
        <v>15</v>
      </c>
      <c r="K1978">
        <v>42</v>
      </c>
      <c r="L1978" s="1" t="s">
        <v>21</v>
      </c>
    </row>
    <row r="1979" spans="1:12" x14ac:dyDescent="0.3">
      <c r="A1979" s="1" t="s">
        <v>2890</v>
      </c>
      <c r="B1979" s="2">
        <v>45888</v>
      </c>
      <c r="C1979" s="2">
        <v>45927</v>
      </c>
      <c r="D1979" s="1" t="s">
        <v>13</v>
      </c>
      <c r="E1979" s="1" t="s">
        <v>24</v>
      </c>
      <c r="F1979" s="1" t="s">
        <v>38</v>
      </c>
      <c r="G1979" s="1" t="s">
        <v>16</v>
      </c>
      <c r="H1979" s="1" t="s">
        <v>47</v>
      </c>
      <c r="I1979" s="1" t="s">
        <v>26</v>
      </c>
      <c r="J1979">
        <v>30</v>
      </c>
      <c r="K1979">
        <v>39</v>
      </c>
      <c r="L1979" s="1" t="s">
        <v>21</v>
      </c>
    </row>
    <row r="1980" spans="1:12" x14ac:dyDescent="0.3">
      <c r="A1980" s="1" t="s">
        <v>3065</v>
      </c>
      <c r="B1980" s="2">
        <v>45888</v>
      </c>
      <c r="C1980" s="2">
        <v>45925</v>
      </c>
      <c r="D1980" s="1" t="s">
        <v>13</v>
      </c>
      <c r="E1980" s="1" t="s">
        <v>14</v>
      </c>
      <c r="F1980" s="1" t="s">
        <v>38</v>
      </c>
      <c r="G1980" s="1" t="s">
        <v>16</v>
      </c>
      <c r="H1980" s="1" t="s">
        <v>17</v>
      </c>
      <c r="I1980" s="1" t="s">
        <v>41</v>
      </c>
      <c r="J1980">
        <v>15</v>
      </c>
      <c r="K1980">
        <v>37</v>
      </c>
      <c r="L1980" s="1" t="s">
        <v>21</v>
      </c>
    </row>
    <row r="1981" spans="1:12" x14ac:dyDescent="0.3">
      <c r="A1981" s="1" t="s">
        <v>800</v>
      </c>
      <c r="B1981" s="2">
        <v>45887</v>
      </c>
      <c r="C1981" s="2">
        <v>45929</v>
      </c>
      <c r="D1981" s="1" t="s">
        <v>32</v>
      </c>
      <c r="E1981" s="1" t="s">
        <v>24</v>
      </c>
      <c r="F1981" s="1" t="s">
        <v>38</v>
      </c>
      <c r="G1981" s="1" t="s">
        <v>53</v>
      </c>
      <c r="H1981" s="1" t="s">
        <v>34</v>
      </c>
      <c r="I1981" s="1" t="s">
        <v>26</v>
      </c>
      <c r="J1981">
        <v>30</v>
      </c>
      <c r="K1981">
        <v>42</v>
      </c>
      <c r="L1981" s="1" t="s">
        <v>21</v>
      </c>
    </row>
    <row r="1982" spans="1:12" x14ac:dyDescent="0.3">
      <c r="A1982" s="1" t="s">
        <v>1059</v>
      </c>
      <c r="B1982" s="2">
        <v>45887</v>
      </c>
      <c r="C1982" s="2">
        <v>45907</v>
      </c>
      <c r="D1982" s="1" t="s">
        <v>23</v>
      </c>
      <c r="E1982" s="1" t="s">
        <v>24</v>
      </c>
      <c r="F1982" s="1" t="s">
        <v>15</v>
      </c>
      <c r="G1982" s="1" t="s">
        <v>16</v>
      </c>
      <c r="H1982" s="1" t="s">
        <v>43</v>
      </c>
      <c r="I1982" s="1" t="s">
        <v>26</v>
      </c>
      <c r="J1982">
        <v>30</v>
      </c>
      <c r="K1982">
        <v>20</v>
      </c>
      <c r="L1982" s="1" t="s">
        <v>19</v>
      </c>
    </row>
    <row r="1983" spans="1:12" x14ac:dyDescent="0.3">
      <c r="A1983" s="1" t="s">
        <v>1510</v>
      </c>
      <c r="B1983" s="2">
        <v>45887</v>
      </c>
      <c r="C1983" s="2">
        <v>45897</v>
      </c>
      <c r="D1983" s="1" t="s">
        <v>32</v>
      </c>
      <c r="E1983" s="1" t="s">
        <v>24</v>
      </c>
      <c r="F1983" s="1" t="s">
        <v>15</v>
      </c>
      <c r="G1983" s="1" t="s">
        <v>16</v>
      </c>
      <c r="H1983" s="1" t="s">
        <v>71</v>
      </c>
      <c r="I1983" s="1" t="s">
        <v>41</v>
      </c>
      <c r="J1983">
        <v>30</v>
      </c>
      <c r="K1983">
        <v>10</v>
      </c>
      <c r="L1983" s="1" t="s">
        <v>30</v>
      </c>
    </row>
    <row r="1984" spans="1:12" x14ac:dyDescent="0.3">
      <c r="A1984" s="1" t="s">
        <v>1635</v>
      </c>
      <c r="B1984" s="2">
        <v>45887</v>
      </c>
      <c r="C1984" s="2">
        <v>45929</v>
      </c>
      <c r="D1984" s="1" t="s">
        <v>28</v>
      </c>
      <c r="E1984" s="1" t="s">
        <v>24</v>
      </c>
      <c r="F1984" s="1" t="s">
        <v>38</v>
      </c>
      <c r="G1984" s="1" t="s">
        <v>16</v>
      </c>
      <c r="H1984" s="1" t="s">
        <v>54</v>
      </c>
      <c r="I1984" s="1" t="s">
        <v>26</v>
      </c>
      <c r="J1984">
        <v>30</v>
      </c>
      <c r="K1984">
        <v>42</v>
      </c>
      <c r="L1984" s="1" t="s">
        <v>21</v>
      </c>
    </row>
    <row r="1985" spans="1:12" x14ac:dyDescent="0.3">
      <c r="A1985" s="1" t="s">
        <v>2917</v>
      </c>
      <c r="B1985" s="2">
        <v>45887</v>
      </c>
      <c r="C1985" s="2">
        <v>45956</v>
      </c>
      <c r="D1985" s="1" t="s">
        <v>37</v>
      </c>
      <c r="E1985" s="1" t="s">
        <v>24</v>
      </c>
      <c r="F1985" s="1" t="s">
        <v>38</v>
      </c>
      <c r="G1985" s="1" t="s">
        <v>16</v>
      </c>
      <c r="H1985" s="1" t="s">
        <v>39</v>
      </c>
      <c r="I1985" s="1" t="s">
        <v>26</v>
      </c>
      <c r="J1985">
        <v>45</v>
      </c>
      <c r="K1985">
        <v>69</v>
      </c>
      <c r="L1985" s="1" t="s">
        <v>80</v>
      </c>
    </row>
    <row r="1986" spans="1:12" x14ac:dyDescent="0.3">
      <c r="A1986" s="1" t="s">
        <v>1201</v>
      </c>
      <c r="B1986" s="2">
        <v>45887</v>
      </c>
      <c r="C1986" s="2">
        <v>45940</v>
      </c>
      <c r="D1986" s="1" t="s">
        <v>37</v>
      </c>
      <c r="E1986" s="1" t="s">
        <v>24</v>
      </c>
      <c r="F1986" s="1" t="s">
        <v>15</v>
      </c>
      <c r="G1986" s="1" t="s">
        <v>16</v>
      </c>
      <c r="H1986" s="1" t="s">
        <v>39</v>
      </c>
      <c r="I1986" s="1" t="s">
        <v>41</v>
      </c>
      <c r="J1986">
        <v>30</v>
      </c>
      <c r="K1986">
        <v>53</v>
      </c>
      <c r="L1986" s="1" t="s">
        <v>44</v>
      </c>
    </row>
    <row r="1987" spans="1:12" x14ac:dyDescent="0.3">
      <c r="A1987" s="1" t="s">
        <v>2447</v>
      </c>
      <c r="B1987" s="2">
        <v>45887</v>
      </c>
      <c r="C1987" s="2">
        <v>45917</v>
      </c>
      <c r="D1987" s="1" t="s">
        <v>23</v>
      </c>
      <c r="E1987" s="1" t="s">
        <v>14</v>
      </c>
      <c r="F1987" s="1" t="s">
        <v>15</v>
      </c>
      <c r="G1987" s="1" t="s">
        <v>16</v>
      </c>
      <c r="H1987" s="1" t="s">
        <v>25</v>
      </c>
      <c r="I1987" s="1" t="s">
        <v>26</v>
      </c>
      <c r="J1987">
        <v>30</v>
      </c>
      <c r="K1987">
        <v>30</v>
      </c>
      <c r="L1987" s="1" t="s">
        <v>21</v>
      </c>
    </row>
    <row r="1988" spans="1:12" x14ac:dyDescent="0.3">
      <c r="A1988" s="1" t="s">
        <v>2623</v>
      </c>
      <c r="B1988" s="2">
        <v>45887</v>
      </c>
      <c r="C1988" s="2">
        <v>45919</v>
      </c>
      <c r="D1988" s="1" t="s">
        <v>23</v>
      </c>
      <c r="E1988" s="1" t="s">
        <v>14</v>
      </c>
      <c r="F1988" s="1" t="s">
        <v>15</v>
      </c>
      <c r="G1988" s="1" t="s">
        <v>16</v>
      </c>
      <c r="H1988" s="1" t="s">
        <v>43</v>
      </c>
      <c r="I1988" s="1" t="s">
        <v>26</v>
      </c>
      <c r="J1988">
        <v>15</v>
      </c>
      <c r="K1988">
        <v>32</v>
      </c>
      <c r="L1988" s="1" t="s">
        <v>21</v>
      </c>
    </row>
    <row r="1989" spans="1:12" x14ac:dyDescent="0.3">
      <c r="A1989" s="1" t="s">
        <v>3105</v>
      </c>
      <c r="B1989" s="2">
        <v>45887</v>
      </c>
      <c r="C1989" s="2">
        <v>45923</v>
      </c>
      <c r="D1989" s="1" t="s">
        <v>23</v>
      </c>
      <c r="E1989" s="1" t="s">
        <v>24</v>
      </c>
      <c r="F1989" s="1" t="s">
        <v>15</v>
      </c>
      <c r="G1989" s="1" t="s">
        <v>53</v>
      </c>
      <c r="H1989" s="1" t="s">
        <v>43</v>
      </c>
      <c r="I1989" s="1" t="s">
        <v>26</v>
      </c>
      <c r="J1989">
        <v>30</v>
      </c>
      <c r="K1989">
        <v>36</v>
      </c>
      <c r="L1989" s="1" t="s">
        <v>21</v>
      </c>
    </row>
    <row r="1990" spans="1:12" x14ac:dyDescent="0.3">
      <c r="A1990" s="1" t="s">
        <v>229</v>
      </c>
      <c r="B1990" s="2">
        <v>45886</v>
      </c>
      <c r="C1990" s="2">
        <v>45926</v>
      </c>
      <c r="D1990" s="1" t="s">
        <v>28</v>
      </c>
      <c r="E1990" s="1" t="s">
        <v>14</v>
      </c>
      <c r="F1990" s="1" t="s">
        <v>15</v>
      </c>
      <c r="G1990" s="1" t="s">
        <v>16</v>
      </c>
      <c r="H1990" s="1" t="s">
        <v>54</v>
      </c>
      <c r="I1990" s="1" t="s">
        <v>41</v>
      </c>
      <c r="J1990">
        <v>30</v>
      </c>
      <c r="K1990">
        <v>40</v>
      </c>
      <c r="L1990" s="1" t="s">
        <v>21</v>
      </c>
    </row>
    <row r="1991" spans="1:12" x14ac:dyDescent="0.3">
      <c r="A1991" s="1" t="s">
        <v>421</v>
      </c>
      <c r="B1991" s="2">
        <v>45886</v>
      </c>
      <c r="C1991" s="2">
        <v>45908</v>
      </c>
      <c r="D1991" s="1" t="s">
        <v>32</v>
      </c>
      <c r="E1991" s="1" t="s">
        <v>14</v>
      </c>
      <c r="F1991" s="1" t="s">
        <v>15</v>
      </c>
      <c r="G1991" s="1" t="s">
        <v>16</v>
      </c>
      <c r="H1991" s="1" t="s">
        <v>34</v>
      </c>
      <c r="I1991" s="1" t="s">
        <v>18</v>
      </c>
      <c r="J1991">
        <v>30</v>
      </c>
      <c r="K1991">
        <v>22</v>
      </c>
      <c r="L1991" s="1" t="s">
        <v>19</v>
      </c>
    </row>
    <row r="1992" spans="1:12" x14ac:dyDescent="0.3">
      <c r="A1992" s="1" t="s">
        <v>676</v>
      </c>
      <c r="B1992" s="2">
        <v>45886</v>
      </c>
      <c r="C1992" s="2">
        <v>45921</v>
      </c>
      <c r="D1992" s="1" t="s">
        <v>28</v>
      </c>
      <c r="E1992" s="1" t="s">
        <v>24</v>
      </c>
      <c r="F1992" s="1" t="s">
        <v>38</v>
      </c>
      <c r="G1992" s="1" t="s">
        <v>16</v>
      </c>
      <c r="H1992" s="1" t="s">
        <v>54</v>
      </c>
      <c r="I1992" s="1" t="s">
        <v>26</v>
      </c>
      <c r="J1992">
        <v>30</v>
      </c>
      <c r="K1992">
        <v>35</v>
      </c>
      <c r="L1992" s="1" t="s">
        <v>21</v>
      </c>
    </row>
    <row r="1993" spans="1:12" x14ac:dyDescent="0.3">
      <c r="A1993" s="1" t="s">
        <v>1327</v>
      </c>
      <c r="B1993" s="2">
        <v>45886</v>
      </c>
      <c r="C1993" s="2">
        <v>45909</v>
      </c>
      <c r="D1993" s="1" t="s">
        <v>13</v>
      </c>
      <c r="E1993" s="1" t="s">
        <v>14</v>
      </c>
      <c r="F1993" s="1" t="s">
        <v>15</v>
      </c>
      <c r="G1993" s="1" t="s">
        <v>16</v>
      </c>
      <c r="H1993" s="1" t="s">
        <v>47</v>
      </c>
      <c r="I1993" s="1" t="s">
        <v>18</v>
      </c>
      <c r="J1993">
        <v>15</v>
      </c>
      <c r="K1993">
        <v>23</v>
      </c>
      <c r="L1993" s="1" t="s">
        <v>19</v>
      </c>
    </row>
    <row r="1994" spans="1:12" x14ac:dyDescent="0.3">
      <c r="A1994" s="1" t="s">
        <v>1987</v>
      </c>
      <c r="B1994" s="2">
        <v>45886</v>
      </c>
      <c r="C1994" s="2">
        <v>45923</v>
      </c>
      <c r="D1994" s="1" t="s">
        <v>28</v>
      </c>
      <c r="E1994" s="1" t="s">
        <v>24</v>
      </c>
      <c r="F1994" s="1" t="s">
        <v>15</v>
      </c>
      <c r="G1994" s="1" t="s">
        <v>16</v>
      </c>
      <c r="H1994" s="1" t="s">
        <v>54</v>
      </c>
      <c r="I1994" s="1" t="s">
        <v>26</v>
      </c>
      <c r="J1994">
        <v>30</v>
      </c>
      <c r="K1994">
        <v>37</v>
      </c>
      <c r="L1994" s="1" t="s">
        <v>21</v>
      </c>
    </row>
    <row r="1995" spans="1:12" x14ac:dyDescent="0.3">
      <c r="A1995" s="1" t="s">
        <v>2586</v>
      </c>
      <c r="B1995" s="2">
        <v>45886</v>
      </c>
      <c r="C1995" s="2">
        <v>45954</v>
      </c>
      <c r="D1995" s="1" t="s">
        <v>23</v>
      </c>
      <c r="E1995" s="1" t="s">
        <v>14</v>
      </c>
      <c r="F1995" s="1" t="s">
        <v>38</v>
      </c>
      <c r="G1995" s="1" t="s">
        <v>16</v>
      </c>
      <c r="H1995" s="1" t="s">
        <v>43</v>
      </c>
      <c r="I1995" s="1" t="s">
        <v>18</v>
      </c>
      <c r="J1995">
        <v>15</v>
      </c>
      <c r="K1995">
        <v>68</v>
      </c>
      <c r="L1995" s="1" t="s">
        <v>80</v>
      </c>
    </row>
    <row r="1996" spans="1:12" x14ac:dyDescent="0.3">
      <c r="A1996" s="1" t="s">
        <v>1760</v>
      </c>
      <c r="B1996" s="2">
        <v>45885</v>
      </c>
      <c r="C1996" s="2">
        <v>45887</v>
      </c>
      <c r="D1996" s="1" t="s">
        <v>13</v>
      </c>
      <c r="E1996" s="1" t="s">
        <v>14</v>
      </c>
      <c r="F1996" s="1" t="s">
        <v>15</v>
      </c>
      <c r="G1996" s="1" t="s">
        <v>16</v>
      </c>
      <c r="H1996" s="1" t="s">
        <v>47</v>
      </c>
      <c r="I1996" s="1" t="s">
        <v>18</v>
      </c>
      <c r="J1996">
        <v>15</v>
      </c>
      <c r="K1996">
        <v>2</v>
      </c>
      <c r="L1996" s="1" t="s">
        <v>30</v>
      </c>
    </row>
    <row r="1997" spans="1:12" x14ac:dyDescent="0.3">
      <c r="A1997" s="1" t="s">
        <v>1814</v>
      </c>
      <c r="B1997" s="2">
        <v>45885</v>
      </c>
      <c r="C1997" s="2">
        <v>45919</v>
      </c>
      <c r="D1997" s="1" t="s">
        <v>13</v>
      </c>
      <c r="E1997" s="1" t="s">
        <v>24</v>
      </c>
      <c r="F1997" s="1" t="s">
        <v>15</v>
      </c>
      <c r="G1997" s="1" t="s">
        <v>33</v>
      </c>
      <c r="H1997" s="1" t="s">
        <v>47</v>
      </c>
      <c r="I1997" s="1" t="s">
        <v>26</v>
      </c>
      <c r="J1997">
        <v>30</v>
      </c>
      <c r="K1997">
        <v>34</v>
      </c>
      <c r="L1997" s="1" t="s">
        <v>21</v>
      </c>
    </row>
    <row r="1998" spans="1:12" x14ac:dyDescent="0.3">
      <c r="A1998" s="1" t="s">
        <v>1790</v>
      </c>
      <c r="B1998" s="2">
        <v>45885</v>
      </c>
      <c r="C1998" s="2">
        <v>45932</v>
      </c>
      <c r="D1998" s="1" t="s">
        <v>37</v>
      </c>
      <c r="E1998" s="1" t="s">
        <v>24</v>
      </c>
      <c r="F1998" s="1" t="s">
        <v>15</v>
      </c>
      <c r="G1998" s="1" t="s">
        <v>16</v>
      </c>
      <c r="H1998" s="1" t="s">
        <v>39</v>
      </c>
      <c r="I1998" s="1" t="s">
        <v>26</v>
      </c>
      <c r="J1998">
        <v>30</v>
      </c>
      <c r="K1998">
        <v>47</v>
      </c>
      <c r="L1998" s="1" t="s">
        <v>44</v>
      </c>
    </row>
    <row r="1999" spans="1:12" x14ac:dyDescent="0.3">
      <c r="A1999" s="1" t="s">
        <v>2962</v>
      </c>
      <c r="B1999" s="2">
        <v>45885</v>
      </c>
      <c r="C1999" s="2">
        <v>45927</v>
      </c>
      <c r="D1999" s="1" t="s">
        <v>37</v>
      </c>
      <c r="E1999" s="1" t="s">
        <v>14</v>
      </c>
      <c r="F1999" s="1" t="s">
        <v>15</v>
      </c>
      <c r="G1999" s="1" t="s">
        <v>33</v>
      </c>
      <c r="H1999" s="1" t="s">
        <v>49</v>
      </c>
      <c r="I1999" s="1" t="s">
        <v>26</v>
      </c>
      <c r="J1999">
        <v>15</v>
      </c>
      <c r="K1999">
        <v>42</v>
      </c>
      <c r="L1999" s="1" t="s">
        <v>21</v>
      </c>
    </row>
    <row r="2000" spans="1:12" x14ac:dyDescent="0.3">
      <c r="A2000" s="1" t="s">
        <v>955</v>
      </c>
      <c r="B2000" s="2">
        <v>45885</v>
      </c>
      <c r="C2000" s="2">
        <v>45925</v>
      </c>
      <c r="D2000" s="1" t="s">
        <v>37</v>
      </c>
      <c r="E2000" s="1" t="s">
        <v>14</v>
      </c>
      <c r="F2000" s="1" t="s">
        <v>15</v>
      </c>
      <c r="G2000" s="1" t="s">
        <v>16</v>
      </c>
      <c r="H2000" s="1" t="s">
        <v>49</v>
      </c>
      <c r="I2000" s="1" t="s">
        <v>26</v>
      </c>
      <c r="J2000">
        <v>15</v>
      </c>
      <c r="K2000">
        <v>40</v>
      </c>
      <c r="L2000" s="1" t="s">
        <v>21</v>
      </c>
    </row>
    <row r="2001" spans="1:12" x14ac:dyDescent="0.3">
      <c r="A2001" s="1" t="s">
        <v>2766</v>
      </c>
      <c r="B2001" s="2">
        <v>45885</v>
      </c>
      <c r="C2001" s="2">
        <v>45911</v>
      </c>
      <c r="D2001" s="1" t="s">
        <v>37</v>
      </c>
      <c r="E2001" s="1" t="s">
        <v>24</v>
      </c>
      <c r="F2001" s="1" t="s">
        <v>15</v>
      </c>
      <c r="G2001" s="1" t="s">
        <v>16</v>
      </c>
      <c r="H2001" s="1" t="s">
        <v>49</v>
      </c>
      <c r="I2001" s="1" t="s">
        <v>26</v>
      </c>
      <c r="J2001">
        <v>45</v>
      </c>
      <c r="K2001">
        <v>26</v>
      </c>
      <c r="L2001" s="1" t="s">
        <v>19</v>
      </c>
    </row>
    <row r="2002" spans="1:12" x14ac:dyDescent="0.3">
      <c r="A2002" s="1" t="s">
        <v>2611</v>
      </c>
      <c r="B2002" s="2">
        <v>45885</v>
      </c>
      <c r="C2002" s="2">
        <v>45916</v>
      </c>
      <c r="D2002" s="1" t="s">
        <v>32</v>
      </c>
      <c r="E2002" s="1" t="s">
        <v>14</v>
      </c>
      <c r="F2002" s="1" t="s">
        <v>15</v>
      </c>
      <c r="G2002" s="1" t="s">
        <v>16</v>
      </c>
      <c r="H2002" s="1" t="s">
        <v>34</v>
      </c>
      <c r="I2002" s="1" t="s">
        <v>26</v>
      </c>
      <c r="J2002">
        <v>30</v>
      </c>
      <c r="K2002">
        <v>31</v>
      </c>
      <c r="L2002" s="1" t="s">
        <v>21</v>
      </c>
    </row>
    <row r="2003" spans="1:12" x14ac:dyDescent="0.3">
      <c r="A2003" s="1" t="s">
        <v>2634</v>
      </c>
      <c r="B2003" s="2">
        <v>45885</v>
      </c>
      <c r="C2003" s="2">
        <v>45946</v>
      </c>
      <c r="D2003" s="1" t="s">
        <v>28</v>
      </c>
      <c r="E2003" s="1" t="s">
        <v>24</v>
      </c>
      <c r="F2003" s="1" t="s">
        <v>38</v>
      </c>
      <c r="G2003" s="1" t="s">
        <v>16</v>
      </c>
      <c r="H2003" s="1" t="s">
        <v>54</v>
      </c>
      <c r="I2003" s="1" t="s">
        <v>26</v>
      </c>
      <c r="J2003">
        <v>30</v>
      </c>
      <c r="K2003">
        <v>61</v>
      </c>
      <c r="L2003" s="1" t="s">
        <v>80</v>
      </c>
    </row>
    <row r="2004" spans="1:12" x14ac:dyDescent="0.3">
      <c r="A2004" s="1" t="s">
        <v>415</v>
      </c>
      <c r="B2004" s="2">
        <v>45884</v>
      </c>
      <c r="C2004" s="2">
        <v>45942</v>
      </c>
      <c r="D2004" s="1" t="s">
        <v>23</v>
      </c>
      <c r="E2004" s="1" t="s">
        <v>24</v>
      </c>
      <c r="F2004" s="1" t="s">
        <v>15</v>
      </c>
      <c r="G2004" s="1" t="s">
        <v>16</v>
      </c>
      <c r="H2004" s="1" t="s">
        <v>43</v>
      </c>
      <c r="I2004" s="1" t="s">
        <v>26</v>
      </c>
      <c r="J2004">
        <v>30</v>
      </c>
      <c r="K2004">
        <v>58</v>
      </c>
      <c r="L2004" s="1" t="s">
        <v>80</v>
      </c>
    </row>
    <row r="2005" spans="1:12" x14ac:dyDescent="0.3">
      <c r="A2005" s="1" t="s">
        <v>540</v>
      </c>
      <c r="B2005" s="2">
        <v>45884</v>
      </c>
      <c r="C2005" s="2">
        <v>45886</v>
      </c>
      <c r="D2005" s="1" t="s">
        <v>32</v>
      </c>
      <c r="E2005" s="1" t="s">
        <v>14</v>
      </c>
      <c r="F2005" s="1" t="s">
        <v>15</v>
      </c>
      <c r="G2005" s="1" t="s">
        <v>16</v>
      </c>
      <c r="H2005" s="1" t="s">
        <v>34</v>
      </c>
      <c r="I2005" s="1" t="s">
        <v>26</v>
      </c>
      <c r="J2005">
        <v>15</v>
      </c>
      <c r="K2005">
        <v>2</v>
      </c>
      <c r="L2005" s="1" t="s">
        <v>30</v>
      </c>
    </row>
    <row r="2006" spans="1:12" x14ac:dyDescent="0.3">
      <c r="A2006" s="1" t="s">
        <v>812</v>
      </c>
      <c r="B2006" s="2">
        <v>45884</v>
      </c>
      <c r="C2006" s="2">
        <v>45936</v>
      </c>
      <c r="D2006" s="1" t="s">
        <v>23</v>
      </c>
      <c r="E2006" s="1" t="s">
        <v>14</v>
      </c>
      <c r="F2006" s="1" t="s">
        <v>15</v>
      </c>
      <c r="G2006" s="1" t="s">
        <v>16</v>
      </c>
      <c r="H2006" s="1" t="s">
        <v>43</v>
      </c>
      <c r="I2006" s="1" t="s">
        <v>26</v>
      </c>
      <c r="J2006">
        <v>15</v>
      </c>
      <c r="K2006">
        <v>52</v>
      </c>
      <c r="L2006" s="1" t="s">
        <v>44</v>
      </c>
    </row>
    <row r="2007" spans="1:12" x14ac:dyDescent="0.3">
      <c r="A2007" s="1" t="s">
        <v>1899</v>
      </c>
      <c r="B2007" s="2">
        <v>45884</v>
      </c>
      <c r="C2007" s="2">
        <v>45921</v>
      </c>
      <c r="D2007" s="1" t="s">
        <v>23</v>
      </c>
      <c r="E2007" s="1" t="s">
        <v>14</v>
      </c>
      <c r="F2007" s="1" t="s">
        <v>15</v>
      </c>
      <c r="G2007" s="1" t="s">
        <v>16</v>
      </c>
      <c r="H2007" s="1" t="s">
        <v>43</v>
      </c>
      <c r="I2007" s="1" t="s">
        <v>18</v>
      </c>
      <c r="J2007">
        <v>15</v>
      </c>
      <c r="K2007">
        <v>37</v>
      </c>
      <c r="L2007" s="1" t="s">
        <v>21</v>
      </c>
    </row>
    <row r="2008" spans="1:12" x14ac:dyDescent="0.3">
      <c r="A2008" s="1" t="s">
        <v>3067</v>
      </c>
      <c r="B2008" s="2">
        <v>45884</v>
      </c>
      <c r="C2008" s="2">
        <v>45913</v>
      </c>
      <c r="D2008" s="1" t="s">
        <v>37</v>
      </c>
      <c r="E2008" s="1" t="s">
        <v>14</v>
      </c>
      <c r="F2008" s="1" t="s">
        <v>15</v>
      </c>
      <c r="G2008" s="1" t="s">
        <v>16</v>
      </c>
      <c r="H2008" s="1" t="s">
        <v>39</v>
      </c>
      <c r="I2008" s="1" t="s">
        <v>26</v>
      </c>
      <c r="J2008">
        <v>15</v>
      </c>
      <c r="K2008">
        <v>29</v>
      </c>
      <c r="L2008" s="1" t="s">
        <v>21</v>
      </c>
    </row>
    <row r="2009" spans="1:12" x14ac:dyDescent="0.3">
      <c r="A2009" s="1" t="s">
        <v>2722</v>
      </c>
      <c r="B2009" s="2">
        <v>45884</v>
      </c>
      <c r="C2009" s="2">
        <v>45930</v>
      </c>
      <c r="D2009" s="1" t="s">
        <v>13</v>
      </c>
      <c r="E2009" s="1" t="s">
        <v>14</v>
      </c>
      <c r="F2009" s="1" t="s">
        <v>15</v>
      </c>
      <c r="G2009" s="1" t="s">
        <v>53</v>
      </c>
      <c r="H2009" s="1" t="s">
        <v>47</v>
      </c>
      <c r="I2009" s="1" t="s">
        <v>18</v>
      </c>
      <c r="J2009">
        <v>15</v>
      </c>
      <c r="K2009">
        <v>46</v>
      </c>
      <c r="L2009" s="1" t="s">
        <v>44</v>
      </c>
    </row>
    <row r="2010" spans="1:12" x14ac:dyDescent="0.3">
      <c r="A2010" s="1" t="s">
        <v>373</v>
      </c>
      <c r="B2010" s="2">
        <v>45883</v>
      </c>
      <c r="C2010" s="2">
        <v>45903</v>
      </c>
      <c r="D2010" s="1" t="s">
        <v>23</v>
      </c>
      <c r="E2010" s="1" t="s">
        <v>14</v>
      </c>
      <c r="F2010" s="1" t="s">
        <v>15</v>
      </c>
      <c r="G2010" s="1" t="s">
        <v>16</v>
      </c>
      <c r="H2010" s="1" t="s">
        <v>43</v>
      </c>
      <c r="I2010" s="1" t="s">
        <v>26</v>
      </c>
      <c r="J2010">
        <v>30</v>
      </c>
      <c r="K2010">
        <v>20</v>
      </c>
      <c r="L2010" s="1" t="s">
        <v>19</v>
      </c>
    </row>
    <row r="2011" spans="1:12" x14ac:dyDescent="0.3">
      <c r="A2011" s="1" t="s">
        <v>618</v>
      </c>
      <c r="B2011" s="2">
        <v>45883</v>
      </c>
      <c r="C2011" s="2">
        <v>45911</v>
      </c>
      <c r="D2011" s="1" t="s">
        <v>23</v>
      </c>
      <c r="E2011" s="1" t="s">
        <v>24</v>
      </c>
      <c r="F2011" s="1" t="s">
        <v>38</v>
      </c>
      <c r="G2011" s="1" t="s">
        <v>16</v>
      </c>
      <c r="H2011" s="1" t="s">
        <v>43</v>
      </c>
      <c r="I2011" s="1" t="s">
        <v>41</v>
      </c>
      <c r="J2011">
        <v>45</v>
      </c>
      <c r="K2011">
        <v>28</v>
      </c>
      <c r="L2011" s="1" t="s">
        <v>19</v>
      </c>
    </row>
    <row r="2012" spans="1:12" x14ac:dyDescent="0.3">
      <c r="A2012" s="1" t="s">
        <v>1086</v>
      </c>
      <c r="B2012" s="2">
        <v>45883</v>
      </c>
      <c r="C2012" s="2">
        <v>45921</v>
      </c>
      <c r="D2012" s="1" t="s">
        <v>23</v>
      </c>
      <c r="E2012" s="1" t="s">
        <v>14</v>
      </c>
      <c r="F2012" s="1" t="s">
        <v>15</v>
      </c>
      <c r="G2012" s="1" t="s">
        <v>16</v>
      </c>
      <c r="H2012" s="1" t="s">
        <v>25</v>
      </c>
      <c r="I2012" s="1" t="s">
        <v>41</v>
      </c>
      <c r="J2012">
        <v>15</v>
      </c>
      <c r="K2012">
        <v>38</v>
      </c>
      <c r="L2012" s="1" t="s">
        <v>21</v>
      </c>
    </row>
    <row r="2013" spans="1:12" x14ac:dyDescent="0.3">
      <c r="A2013" s="1" t="s">
        <v>1310</v>
      </c>
      <c r="B2013" s="2">
        <v>45883</v>
      </c>
      <c r="C2013" s="2">
        <v>45952</v>
      </c>
      <c r="D2013" s="1" t="s">
        <v>32</v>
      </c>
      <c r="E2013" s="1" t="s">
        <v>14</v>
      </c>
      <c r="F2013" s="1" t="s">
        <v>15</v>
      </c>
      <c r="G2013" s="1" t="s">
        <v>16</v>
      </c>
      <c r="H2013" s="1" t="s">
        <v>34</v>
      </c>
      <c r="I2013" s="1" t="s">
        <v>26</v>
      </c>
      <c r="J2013">
        <v>30</v>
      </c>
      <c r="K2013">
        <v>69</v>
      </c>
      <c r="L2013" s="1" t="s">
        <v>80</v>
      </c>
    </row>
    <row r="2014" spans="1:12" x14ac:dyDescent="0.3">
      <c r="A2014" s="1" t="s">
        <v>1906</v>
      </c>
      <c r="B2014" s="2">
        <v>45883</v>
      </c>
      <c r="C2014" s="2">
        <v>45900</v>
      </c>
      <c r="D2014" s="1" t="s">
        <v>13</v>
      </c>
      <c r="E2014" s="1" t="s">
        <v>24</v>
      </c>
      <c r="F2014" s="1" t="s">
        <v>15</v>
      </c>
      <c r="G2014" s="1" t="s">
        <v>16</v>
      </c>
      <c r="H2014" s="1" t="s">
        <v>17</v>
      </c>
      <c r="I2014" s="1" t="s">
        <v>41</v>
      </c>
      <c r="J2014">
        <v>30</v>
      </c>
      <c r="K2014">
        <v>17</v>
      </c>
      <c r="L2014" s="1" t="s">
        <v>19</v>
      </c>
    </row>
    <row r="2015" spans="1:12" x14ac:dyDescent="0.3">
      <c r="A2015" s="1" t="s">
        <v>1979</v>
      </c>
      <c r="B2015" s="2">
        <v>45883</v>
      </c>
      <c r="C2015" s="2">
        <v>45936</v>
      </c>
      <c r="D2015" s="1" t="s">
        <v>28</v>
      </c>
      <c r="E2015" s="1" t="s">
        <v>14</v>
      </c>
      <c r="F2015" s="1" t="s">
        <v>38</v>
      </c>
      <c r="G2015" s="1" t="s">
        <v>16</v>
      </c>
      <c r="H2015" s="1" t="s">
        <v>54</v>
      </c>
      <c r="I2015" s="1" t="s">
        <v>18</v>
      </c>
      <c r="J2015">
        <v>30</v>
      </c>
      <c r="K2015">
        <v>53</v>
      </c>
      <c r="L2015" s="1" t="s">
        <v>44</v>
      </c>
    </row>
    <row r="2016" spans="1:12" x14ac:dyDescent="0.3">
      <c r="A2016" s="1" t="s">
        <v>951</v>
      </c>
      <c r="B2016" s="2">
        <v>45883</v>
      </c>
      <c r="C2016" s="2">
        <v>45929</v>
      </c>
      <c r="D2016" s="1" t="s">
        <v>37</v>
      </c>
      <c r="E2016" s="1" t="s">
        <v>24</v>
      </c>
      <c r="F2016" s="1" t="s">
        <v>15</v>
      </c>
      <c r="G2016" s="1" t="s">
        <v>16</v>
      </c>
      <c r="H2016" s="1" t="s">
        <v>39</v>
      </c>
      <c r="I2016" s="1" t="s">
        <v>26</v>
      </c>
      <c r="J2016">
        <v>30</v>
      </c>
      <c r="K2016">
        <v>46</v>
      </c>
      <c r="L2016" s="1" t="s">
        <v>44</v>
      </c>
    </row>
    <row r="2017" spans="1:12" x14ac:dyDescent="0.3">
      <c r="A2017" s="1" t="s">
        <v>2457</v>
      </c>
      <c r="B2017" s="2">
        <v>45883</v>
      </c>
      <c r="C2017" s="2">
        <v>45905</v>
      </c>
      <c r="D2017" s="1" t="s">
        <v>37</v>
      </c>
      <c r="E2017" s="1" t="s">
        <v>14</v>
      </c>
      <c r="F2017" s="1" t="s">
        <v>15</v>
      </c>
      <c r="G2017" s="1" t="s">
        <v>16</v>
      </c>
      <c r="H2017" s="1" t="s">
        <v>49</v>
      </c>
      <c r="I2017" s="1" t="s">
        <v>41</v>
      </c>
      <c r="J2017">
        <v>15</v>
      </c>
      <c r="K2017">
        <v>22</v>
      </c>
      <c r="L2017" s="1" t="s">
        <v>19</v>
      </c>
    </row>
    <row r="2018" spans="1:12" x14ac:dyDescent="0.3">
      <c r="A2018" s="1" t="s">
        <v>2449</v>
      </c>
      <c r="B2018" s="2">
        <v>45883</v>
      </c>
      <c r="C2018" s="2">
        <v>45900</v>
      </c>
      <c r="D2018" s="1" t="s">
        <v>37</v>
      </c>
      <c r="E2018" s="1" t="s">
        <v>24</v>
      </c>
      <c r="F2018" s="1" t="s">
        <v>15</v>
      </c>
      <c r="G2018" s="1" t="s">
        <v>16</v>
      </c>
      <c r="H2018" s="1" t="s">
        <v>39</v>
      </c>
      <c r="I2018" s="1" t="s">
        <v>26</v>
      </c>
      <c r="J2018">
        <v>45</v>
      </c>
      <c r="K2018">
        <v>17</v>
      </c>
      <c r="L2018" s="1" t="s">
        <v>19</v>
      </c>
    </row>
    <row r="2019" spans="1:12" x14ac:dyDescent="0.3">
      <c r="A2019" s="1" t="s">
        <v>2696</v>
      </c>
      <c r="B2019" s="2">
        <v>45883</v>
      </c>
      <c r="C2019" s="2">
        <v>45915</v>
      </c>
      <c r="D2019" s="1" t="s">
        <v>23</v>
      </c>
      <c r="E2019" s="1" t="s">
        <v>24</v>
      </c>
      <c r="F2019" s="1" t="s">
        <v>15</v>
      </c>
      <c r="G2019" s="1" t="s">
        <v>16</v>
      </c>
      <c r="H2019" s="1" t="s">
        <v>43</v>
      </c>
      <c r="I2019" s="1" t="s">
        <v>18</v>
      </c>
      <c r="J2019">
        <v>45</v>
      </c>
      <c r="K2019">
        <v>32</v>
      </c>
      <c r="L2019" s="1" t="s">
        <v>21</v>
      </c>
    </row>
    <row r="2020" spans="1:12" x14ac:dyDescent="0.3">
      <c r="A2020" s="1" t="s">
        <v>3048</v>
      </c>
      <c r="B2020" s="2">
        <v>45883</v>
      </c>
      <c r="C2020" s="2">
        <v>45920</v>
      </c>
      <c r="D2020" s="1" t="s">
        <v>32</v>
      </c>
      <c r="E2020" s="1" t="s">
        <v>14</v>
      </c>
      <c r="F2020" s="1" t="s">
        <v>15</v>
      </c>
      <c r="G2020" s="1" t="s">
        <v>16</v>
      </c>
      <c r="H2020" s="1" t="s">
        <v>71</v>
      </c>
      <c r="I2020" s="1" t="s">
        <v>18</v>
      </c>
      <c r="J2020">
        <v>15</v>
      </c>
      <c r="K2020">
        <v>37</v>
      </c>
      <c r="L2020" s="1" t="s">
        <v>21</v>
      </c>
    </row>
    <row r="2021" spans="1:12" x14ac:dyDescent="0.3">
      <c r="A2021" s="1" t="s">
        <v>2009</v>
      </c>
      <c r="B2021" s="2">
        <v>45882</v>
      </c>
      <c r="C2021" s="2">
        <v>45923</v>
      </c>
      <c r="D2021" s="1" t="s">
        <v>32</v>
      </c>
      <c r="E2021" s="1" t="s">
        <v>24</v>
      </c>
      <c r="F2021" s="1" t="s">
        <v>15</v>
      </c>
      <c r="G2021" s="1" t="s">
        <v>16</v>
      </c>
      <c r="H2021" s="1" t="s">
        <v>71</v>
      </c>
      <c r="I2021" s="1" t="s">
        <v>18</v>
      </c>
      <c r="J2021">
        <v>30</v>
      </c>
      <c r="K2021">
        <v>41</v>
      </c>
      <c r="L2021" s="1" t="s">
        <v>21</v>
      </c>
    </row>
    <row r="2022" spans="1:12" x14ac:dyDescent="0.3">
      <c r="A2022" s="1" t="s">
        <v>109</v>
      </c>
      <c r="B2022" s="2">
        <v>45882</v>
      </c>
      <c r="C2022" s="2">
        <v>45945</v>
      </c>
      <c r="D2022" s="1" t="s">
        <v>37</v>
      </c>
      <c r="E2022" s="1" t="s">
        <v>14</v>
      </c>
      <c r="F2022" s="1" t="s">
        <v>15</v>
      </c>
      <c r="G2022" s="1" t="s">
        <v>16</v>
      </c>
      <c r="H2022" s="1" t="s">
        <v>39</v>
      </c>
      <c r="I2022" s="1" t="s">
        <v>26</v>
      </c>
      <c r="J2022">
        <v>30</v>
      </c>
      <c r="K2022">
        <v>63</v>
      </c>
      <c r="L2022" s="1" t="s">
        <v>80</v>
      </c>
    </row>
    <row r="2023" spans="1:12" x14ac:dyDescent="0.3">
      <c r="A2023" s="1" t="s">
        <v>2629</v>
      </c>
      <c r="B2023" s="2">
        <v>45882</v>
      </c>
      <c r="C2023" s="2">
        <v>45918</v>
      </c>
      <c r="D2023" s="1" t="s">
        <v>37</v>
      </c>
      <c r="E2023" s="1" t="s">
        <v>24</v>
      </c>
      <c r="F2023" s="1" t="s">
        <v>15</v>
      </c>
      <c r="G2023" s="1" t="s">
        <v>53</v>
      </c>
      <c r="H2023" s="1" t="s">
        <v>49</v>
      </c>
      <c r="I2023" s="1" t="s">
        <v>18</v>
      </c>
      <c r="J2023">
        <v>30</v>
      </c>
      <c r="K2023">
        <v>36</v>
      </c>
      <c r="L2023" s="1" t="s">
        <v>21</v>
      </c>
    </row>
    <row r="2024" spans="1:12" x14ac:dyDescent="0.3">
      <c r="A2024" s="1" t="s">
        <v>1193</v>
      </c>
      <c r="B2024" s="2">
        <v>45882</v>
      </c>
      <c r="C2024" s="2">
        <v>45916</v>
      </c>
      <c r="D2024" s="1" t="s">
        <v>37</v>
      </c>
      <c r="E2024" s="1" t="s">
        <v>14</v>
      </c>
      <c r="F2024" s="1" t="s">
        <v>38</v>
      </c>
      <c r="G2024" s="1" t="s">
        <v>16</v>
      </c>
      <c r="H2024" s="1" t="s">
        <v>49</v>
      </c>
      <c r="I2024" s="1" t="s">
        <v>18</v>
      </c>
      <c r="J2024">
        <v>15</v>
      </c>
      <c r="K2024">
        <v>34</v>
      </c>
      <c r="L2024" s="1" t="s">
        <v>21</v>
      </c>
    </row>
    <row r="2025" spans="1:12" x14ac:dyDescent="0.3">
      <c r="A2025" s="1" t="s">
        <v>61</v>
      </c>
      <c r="B2025" s="2">
        <v>45882</v>
      </c>
      <c r="C2025" s="2">
        <v>45914</v>
      </c>
      <c r="D2025" s="1" t="s">
        <v>37</v>
      </c>
      <c r="E2025" s="1" t="s">
        <v>14</v>
      </c>
      <c r="F2025" s="1" t="s">
        <v>15</v>
      </c>
      <c r="G2025" s="1" t="s">
        <v>53</v>
      </c>
      <c r="H2025" s="1" t="s">
        <v>49</v>
      </c>
      <c r="I2025" s="1" t="s">
        <v>41</v>
      </c>
      <c r="J2025">
        <v>30</v>
      </c>
      <c r="K2025">
        <v>32</v>
      </c>
      <c r="L2025" s="1" t="s">
        <v>21</v>
      </c>
    </row>
    <row r="2026" spans="1:12" x14ac:dyDescent="0.3">
      <c r="A2026" s="1" t="s">
        <v>2321</v>
      </c>
      <c r="B2026" s="2">
        <v>45882</v>
      </c>
      <c r="C2026" s="2">
        <v>45911</v>
      </c>
      <c r="D2026" s="1" t="s">
        <v>37</v>
      </c>
      <c r="E2026" s="1" t="s">
        <v>14</v>
      </c>
      <c r="F2026" s="1" t="s">
        <v>15</v>
      </c>
      <c r="G2026" s="1" t="s">
        <v>16</v>
      </c>
      <c r="H2026" s="1" t="s">
        <v>39</v>
      </c>
      <c r="I2026" s="1" t="s">
        <v>26</v>
      </c>
      <c r="J2026">
        <v>15</v>
      </c>
      <c r="K2026">
        <v>29</v>
      </c>
      <c r="L2026" s="1" t="s">
        <v>21</v>
      </c>
    </row>
    <row r="2027" spans="1:12" x14ac:dyDescent="0.3">
      <c r="A2027" s="1" t="s">
        <v>1313</v>
      </c>
      <c r="B2027" s="2">
        <v>45882</v>
      </c>
      <c r="C2027" s="2">
        <v>45900</v>
      </c>
      <c r="D2027" s="1" t="s">
        <v>37</v>
      </c>
      <c r="E2027" s="1" t="s">
        <v>14</v>
      </c>
      <c r="F2027" s="1" t="s">
        <v>15</v>
      </c>
      <c r="G2027" s="1" t="s">
        <v>16</v>
      </c>
      <c r="H2027" s="1" t="s">
        <v>39</v>
      </c>
      <c r="I2027" s="1" t="s">
        <v>18</v>
      </c>
      <c r="J2027">
        <v>15</v>
      </c>
      <c r="K2027">
        <v>18</v>
      </c>
      <c r="L2027" s="1" t="s">
        <v>19</v>
      </c>
    </row>
    <row r="2028" spans="1:12" x14ac:dyDescent="0.3">
      <c r="A2028" s="1" t="s">
        <v>2738</v>
      </c>
      <c r="B2028" s="2">
        <v>45882</v>
      </c>
      <c r="C2028" s="2">
        <v>45934</v>
      </c>
      <c r="D2028" s="1" t="s">
        <v>13</v>
      </c>
      <c r="E2028" s="1" t="s">
        <v>14</v>
      </c>
      <c r="F2028" s="1" t="s">
        <v>15</v>
      </c>
      <c r="G2028" s="1" t="s">
        <v>16</v>
      </c>
      <c r="H2028" s="1" t="s">
        <v>17</v>
      </c>
      <c r="I2028" s="1" t="s">
        <v>26</v>
      </c>
      <c r="J2028">
        <v>15</v>
      </c>
      <c r="K2028">
        <v>52</v>
      </c>
      <c r="L2028" s="1" t="s">
        <v>44</v>
      </c>
    </row>
    <row r="2029" spans="1:12" x14ac:dyDescent="0.3">
      <c r="A2029" s="1" t="s">
        <v>2809</v>
      </c>
      <c r="B2029" s="2">
        <v>45882</v>
      </c>
      <c r="C2029" s="2">
        <v>45935</v>
      </c>
      <c r="D2029" s="1" t="s">
        <v>32</v>
      </c>
      <c r="E2029" s="1" t="s">
        <v>24</v>
      </c>
      <c r="F2029" s="1" t="s">
        <v>15</v>
      </c>
      <c r="G2029" s="1" t="s">
        <v>33</v>
      </c>
      <c r="H2029" s="1" t="s">
        <v>34</v>
      </c>
      <c r="I2029" s="1" t="s">
        <v>41</v>
      </c>
      <c r="J2029">
        <v>30</v>
      </c>
      <c r="K2029">
        <v>53</v>
      </c>
      <c r="L2029" s="1" t="s">
        <v>44</v>
      </c>
    </row>
    <row r="2030" spans="1:12" x14ac:dyDescent="0.3">
      <c r="A2030" s="1" t="s">
        <v>3053</v>
      </c>
      <c r="B2030" s="2">
        <v>45882</v>
      </c>
      <c r="C2030" s="2">
        <v>45915</v>
      </c>
      <c r="D2030" s="1" t="s">
        <v>32</v>
      </c>
      <c r="E2030" s="1" t="s">
        <v>14</v>
      </c>
      <c r="F2030" s="1" t="s">
        <v>15</v>
      </c>
      <c r="G2030" s="1" t="s">
        <v>16</v>
      </c>
      <c r="H2030" s="1" t="s">
        <v>34</v>
      </c>
      <c r="I2030" s="1" t="s">
        <v>26</v>
      </c>
      <c r="J2030">
        <v>15</v>
      </c>
      <c r="K2030">
        <v>33</v>
      </c>
      <c r="L2030" s="1" t="s">
        <v>21</v>
      </c>
    </row>
    <row r="2031" spans="1:12" x14ac:dyDescent="0.3">
      <c r="A2031" s="1" t="s">
        <v>3150</v>
      </c>
      <c r="B2031" s="2">
        <v>45882</v>
      </c>
      <c r="C2031" s="2">
        <v>45931</v>
      </c>
      <c r="D2031" s="1" t="s">
        <v>23</v>
      </c>
      <c r="E2031" s="1" t="s">
        <v>24</v>
      </c>
      <c r="F2031" s="1" t="s">
        <v>15</v>
      </c>
      <c r="G2031" s="1" t="s">
        <v>53</v>
      </c>
      <c r="H2031" s="1" t="s">
        <v>43</v>
      </c>
      <c r="I2031" s="1" t="s">
        <v>26</v>
      </c>
      <c r="J2031">
        <v>45</v>
      </c>
      <c r="K2031">
        <v>49</v>
      </c>
      <c r="L2031" s="1" t="s">
        <v>44</v>
      </c>
    </row>
    <row r="2032" spans="1:12" x14ac:dyDescent="0.3">
      <c r="A2032" s="1" t="s">
        <v>242</v>
      </c>
      <c r="B2032" s="2">
        <v>45881</v>
      </c>
      <c r="C2032" s="2">
        <v>45894</v>
      </c>
      <c r="D2032" s="1" t="s">
        <v>13</v>
      </c>
      <c r="E2032" s="1" t="s">
        <v>14</v>
      </c>
      <c r="F2032" s="1" t="s">
        <v>15</v>
      </c>
      <c r="G2032" s="1" t="s">
        <v>16</v>
      </c>
      <c r="H2032" s="1" t="s">
        <v>47</v>
      </c>
      <c r="I2032" s="1" t="s">
        <v>26</v>
      </c>
      <c r="J2032">
        <v>15</v>
      </c>
      <c r="K2032">
        <v>13</v>
      </c>
      <c r="L2032" s="1" t="s">
        <v>30</v>
      </c>
    </row>
    <row r="2033" spans="1:12" x14ac:dyDescent="0.3">
      <c r="A2033" s="1" t="s">
        <v>670</v>
      </c>
      <c r="B2033" s="2">
        <v>45881</v>
      </c>
      <c r="C2033" s="2">
        <v>45907</v>
      </c>
      <c r="D2033" s="1" t="s">
        <v>13</v>
      </c>
      <c r="E2033" s="1" t="s">
        <v>14</v>
      </c>
      <c r="F2033" s="1" t="s">
        <v>15</v>
      </c>
      <c r="G2033" s="1" t="s">
        <v>16</v>
      </c>
      <c r="H2033" s="1" t="s">
        <v>47</v>
      </c>
      <c r="I2033" s="1" t="s">
        <v>41</v>
      </c>
      <c r="J2033">
        <v>15</v>
      </c>
      <c r="K2033">
        <v>26</v>
      </c>
      <c r="L2033" s="1" t="s">
        <v>19</v>
      </c>
    </row>
    <row r="2034" spans="1:12" x14ac:dyDescent="0.3">
      <c r="A2034" s="1" t="s">
        <v>672</v>
      </c>
      <c r="B2034" s="2">
        <v>45881</v>
      </c>
      <c r="C2034" s="2">
        <v>45925</v>
      </c>
      <c r="D2034" s="1" t="s">
        <v>28</v>
      </c>
      <c r="E2034" s="1" t="s">
        <v>24</v>
      </c>
      <c r="F2034" s="1" t="s">
        <v>15</v>
      </c>
      <c r="G2034" s="1" t="s">
        <v>16</v>
      </c>
      <c r="H2034" s="1" t="s">
        <v>29</v>
      </c>
      <c r="I2034" s="1" t="s">
        <v>26</v>
      </c>
      <c r="J2034">
        <v>30</v>
      </c>
      <c r="K2034">
        <v>44</v>
      </c>
      <c r="L2034" s="1" t="s">
        <v>44</v>
      </c>
    </row>
    <row r="2035" spans="1:12" x14ac:dyDescent="0.3">
      <c r="A2035" s="1" t="s">
        <v>1180</v>
      </c>
      <c r="B2035" s="2">
        <v>45881</v>
      </c>
      <c r="C2035" s="2">
        <v>45918</v>
      </c>
      <c r="D2035" s="1" t="s">
        <v>23</v>
      </c>
      <c r="E2035" s="1" t="s">
        <v>14</v>
      </c>
      <c r="F2035" s="1" t="s">
        <v>38</v>
      </c>
      <c r="G2035" s="1" t="s">
        <v>16</v>
      </c>
      <c r="H2035" s="1" t="s">
        <v>43</v>
      </c>
      <c r="I2035" s="1" t="s">
        <v>18</v>
      </c>
      <c r="J2035">
        <v>15</v>
      </c>
      <c r="K2035">
        <v>37</v>
      </c>
      <c r="L2035" s="1" t="s">
        <v>21</v>
      </c>
    </row>
    <row r="2036" spans="1:12" x14ac:dyDescent="0.3">
      <c r="A2036" s="1" t="s">
        <v>104</v>
      </c>
      <c r="B2036" s="2">
        <v>45881</v>
      </c>
      <c r="C2036" s="2">
        <v>45929</v>
      </c>
      <c r="D2036" s="1" t="s">
        <v>37</v>
      </c>
      <c r="E2036" s="1" t="s">
        <v>24</v>
      </c>
      <c r="F2036" s="1" t="s">
        <v>15</v>
      </c>
      <c r="G2036" s="1" t="s">
        <v>33</v>
      </c>
      <c r="H2036" s="1" t="s">
        <v>39</v>
      </c>
      <c r="I2036" s="1" t="s">
        <v>18</v>
      </c>
      <c r="J2036">
        <v>30</v>
      </c>
      <c r="K2036">
        <v>48</v>
      </c>
      <c r="L2036" s="1" t="s">
        <v>44</v>
      </c>
    </row>
    <row r="2037" spans="1:12" x14ac:dyDescent="0.3">
      <c r="A2037" s="1" t="s">
        <v>3143</v>
      </c>
      <c r="B2037" s="2">
        <v>45881</v>
      </c>
      <c r="C2037" s="2">
        <v>45886</v>
      </c>
      <c r="D2037" s="1" t="s">
        <v>37</v>
      </c>
      <c r="E2037" s="1" t="s">
        <v>14</v>
      </c>
      <c r="F2037" s="1" t="s">
        <v>38</v>
      </c>
      <c r="G2037" s="1" t="s">
        <v>16</v>
      </c>
      <c r="H2037" s="1" t="s">
        <v>49</v>
      </c>
      <c r="I2037" s="1" t="s">
        <v>26</v>
      </c>
      <c r="J2037">
        <v>15</v>
      </c>
      <c r="K2037">
        <v>5</v>
      </c>
      <c r="L2037" s="1" t="s">
        <v>30</v>
      </c>
    </row>
    <row r="2038" spans="1:12" x14ac:dyDescent="0.3">
      <c r="A2038" s="1" t="s">
        <v>2098</v>
      </c>
      <c r="B2038" s="2">
        <v>45881</v>
      </c>
      <c r="C2038" s="2">
        <v>45931</v>
      </c>
      <c r="D2038" s="1" t="s">
        <v>32</v>
      </c>
      <c r="E2038" s="1" t="s">
        <v>14</v>
      </c>
      <c r="F2038" s="1" t="s">
        <v>15</v>
      </c>
      <c r="G2038" s="1" t="s">
        <v>53</v>
      </c>
      <c r="H2038" s="1" t="s">
        <v>34</v>
      </c>
      <c r="I2038" s="1" t="s">
        <v>41</v>
      </c>
      <c r="J2038">
        <v>15</v>
      </c>
      <c r="K2038">
        <v>50</v>
      </c>
      <c r="L2038" s="1" t="s">
        <v>44</v>
      </c>
    </row>
    <row r="2039" spans="1:12" x14ac:dyDescent="0.3">
      <c r="A2039" s="1" t="s">
        <v>435</v>
      </c>
      <c r="B2039" s="2">
        <v>45881</v>
      </c>
      <c r="C2039" s="2">
        <v>45884</v>
      </c>
      <c r="D2039" s="1" t="s">
        <v>37</v>
      </c>
      <c r="E2039" s="1" t="s">
        <v>14</v>
      </c>
      <c r="F2039" s="1" t="s">
        <v>15</v>
      </c>
      <c r="G2039" s="1" t="s">
        <v>16</v>
      </c>
      <c r="H2039" s="1" t="s">
        <v>39</v>
      </c>
      <c r="I2039" s="1" t="s">
        <v>26</v>
      </c>
      <c r="J2039">
        <v>30</v>
      </c>
      <c r="K2039">
        <v>3</v>
      </c>
      <c r="L2039" s="1" t="s">
        <v>30</v>
      </c>
    </row>
    <row r="2040" spans="1:12" x14ac:dyDescent="0.3">
      <c r="A2040" s="1" t="s">
        <v>2243</v>
      </c>
      <c r="B2040" s="2">
        <v>45881</v>
      </c>
      <c r="C2040" s="2">
        <v>45908</v>
      </c>
      <c r="D2040" s="1" t="s">
        <v>23</v>
      </c>
      <c r="E2040" s="1" t="s">
        <v>24</v>
      </c>
      <c r="F2040" s="1" t="s">
        <v>15</v>
      </c>
      <c r="G2040" s="1" t="s">
        <v>53</v>
      </c>
      <c r="H2040" s="1" t="s">
        <v>25</v>
      </c>
      <c r="I2040" s="1" t="s">
        <v>41</v>
      </c>
      <c r="J2040">
        <v>30</v>
      </c>
      <c r="K2040">
        <v>27</v>
      </c>
      <c r="L2040" s="1" t="s">
        <v>19</v>
      </c>
    </row>
    <row r="2041" spans="1:12" x14ac:dyDescent="0.3">
      <c r="A2041" s="1" t="s">
        <v>2398</v>
      </c>
      <c r="B2041" s="2">
        <v>45881</v>
      </c>
      <c r="C2041" s="2">
        <v>45911</v>
      </c>
      <c r="D2041" s="1" t="s">
        <v>13</v>
      </c>
      <c r="E2041" s="1" t="s">
        <v>14</v>
      </c>
      <c r="F2041" s="1" t="s">
        <v>15</v>
      </c>
      <c r="G2041" s="1" t="s">
        <v>33</v>
      </c>
      <c r="H2041" s="1" t="s">
        <v>47</v>
      </c>
      <c r="I2041" s="1" t="s">
        <v>18</v>
      </c>
      <c r="J2041">
        <v>30</v>
      </c>
      <c r="K2041">
        <v>30</v>
      </c>
      <c r="L2041" s="1" t="s">
        <v>21</v>
      </c>
    </row>
    <row r="2042" spans="1:12" x14ac:dyDescent="0.3">
      <c r="A2042" s="1" t="s">
        <v>342</v>
      </c>
      <c r="B2042" s="2">
        <v>45880</v>
      </c>
      <c r="C2042" s="2">
        <v>45926</v>
      </c>
      <c r="D2042" s="1" t="s">
        <v>28</v>
      </c>
      <c r="E2042" s="1" t="s">
        <v>24</v>
      </c>
      <c r="F2042" s="1" t="s">
        <v>15</v>
      </c>
      <c r="G2042" s="1" t="s">
        <v>53</v>
      </c>
      <c r="H2042" s="1" t="s">
        <v>54</v>
      </c>
      <c r="I2042" s="1" t="s">
        <v>26</v>
      </c>
      <c r="J2042">
        <v>30</v>
      </c>
      <c r="K2042">
        <v>46</v>
      </c>
      <c r="L2042" s="1" t="s">
        <v>44</v>
      </c>
    </row>
    <row r="2043" spans="1:12" x14ac:dyDescent="0.3">
      <c r="A2043" s="1" t="s">
        <v>788</v>
      </c>
      <c r="B2043" s="2">
        <v>45880</v>
      </c>
      <c r="C2043" s="2">
        <v>45906</v>
      </c>
      <c r="D2043" s="1" t="s">
        <v>32</v>
      </c>
      <c r="E2043" s="1" t="s">
        <v>14</v>
      </c>
      <c r="F2043" s="1" t="s">
        <v>15</v>
      </c>
      <c r="G2043" s="1" t="s">
        <v>16</v>
      </c>
      <c r="H2043" s="1" t="s">
        <v>71</v>
      </c>
      <c r="I2043" s="1" t="s">
        <v>26</v>
      </c>
      <c r="J2043">
        <v>15</v>
      </c>
      <c r="K2043">
        <v>26</v>
      </c>
      <c r="L2043" s="1" t="s">
        <v>19</v>
      </c>
    </row>
    <row r="2044" spans="1:12" x14ac:dyDescent="0.3">
      <c r="A2044" s="1" t="s">
        <v>1094</v>
      </c>
      <c r="B2044" s="2">
        <v>45880</v>
      </c>
      <c r="C2044" s="2">
        <v>45929</v>
      </c>
      <c r="D2044" s="1" t="s">
        <v>23</v>
      </c>
      <c r="E2044" s="1" t="s">
        <v>14</v>
      </c>
      <c r="F2044" s="1" t="s">
        <v>15</v>
      </c>
      <c r="G2044" s="1" t="s">
        <v>16</v>
      </c>
      <c r="H2044" s="1" t="s">
        <v>25</v>
      </c>
      <c r="I2044" s="1" t="s">
        <v>41</v>
      </c>
      <c r="J2044">
        <v>15</v>
      </c>
      <c r="K2044">
        <v>49</v>
      </c>
      <c r="L2044" s="1" t="s">
        <v>44</v>
      </c>
    </row>
    <row r="2045" spans="1:12" x14ac:dyDescent="0.3">
      <c r="A2045" s="1" t="s">
        <v>1402</v>
      </c>
      <c r="B2045" s="2">
        <v>45880</v>
      </c>
      <c r="C2045" s="2">
        <v>45931</v>
      </c>
      <c r="D2045" s="1" t="s">
        <v>32</v>
      </c>
      <c r="E2045" s="1" t="s">
        <v>14</v>
      </c>
      <c r="F2045" s="1" t="s">
        <v>15</v>
      </c>
      <c r="G2045" s="1" t="s">
        <v>33</v>
      </c>
      <c r="H2045" s="1" t="s">
        <v>34</v>
      </c>
      <c r="I2045" s="1" t="s">
        <v>26</v>
      </c>
      <c r="J2045">
        <v>15</v>
      </c>
      <c r="K2045">
        <v>51</v>
      </c>
      <c r="L2045" s="1" t="s">
        <v>44</v>
      </c>
    </row>
    <row r="2046" spans="1:12" x14ac:dyDescent="0.3">
      <c r="A2046" s="1" t="s">
        <v>1815</v>
      </c>
      <c r="B2046" s="2">
        <v>45880</v>
      </c>
      <c r="C2046" s="2">
        <v>45882</v>
      </c>
      <c r="D2046" s="1" t="s">
        <v>32</v>
      </c>
      <c r="E2046" s="1" t="s">
        <v>24</v>
      </c>
      <c r="F2046" s="1" t="s">
        <v>15</v>
      </c>
      <c r="G2046" s="1" t="s">
        <v>16</v>
      </c>
      <c r="H2046" s="1" t="s">
        <v>34</v>
      </c>
      <c r="I2046" s="1" t="s">
        <v>18</v>
      </c>
      <c r="J2046">
        <v>30</v>
      </c>
      <c r="K2046">
        <v>2</v>
      </c>
      <c r="L2046" s="1" t="s">
        <v>30</v>
      </c>
    </row>
    <row r="2047" spans="1:12" x14ac:dyDescent="0.3">
      <c r="A2047" s="1" t="s">
        <v>94</v>
      </c>
      <c r="B2047" s="2">
        <v>45880</v>
      </c>
      <c r="C2047" s="2">
        <v>45914</v>
      </c>
      <c r="D2047" s="1" t="s">
        <v>37</v>
      </c>
      <c r="E2047" s="1" t="s">
        <v>14</v>
      </c>
      <c r="F2047" s="1" t="s">
        <v>15</v>
      </c>
      <c r="G2047" s="1" t="s">
        <v>16</v>
      </c>
      <c r="H2047" s="1" t="s">
        <v>39</v>
      </c>
      <c r="I2047" s="1" t="s">
        <v>18</v>
      </c>
      <c r="J2047">
        <v>15</v>
      </c>
      <c r="K2047">
        <v>34</v>
      </c>
      <c r="L2047" s="1" t="s">
        <v>21</v>
      </c>
    </row>
    <row r="2048" spans="1:12" x14ac:dyDescent="0.3">
      <c r="A2048" s="1" t="s">
        <v>2805</v>
      </c>
      <c r="B2048" s="2">
        <v>45880</v>
      </c>
      <c r="C2048" s="2">
        <v>45888</v>
      </c>
      <c r="D2048" s="1" t="s">
        <v>23</v>
      </c>
      <c r="E2048" s="1" t="s">
        <v>14</v>
      </c>
      <c r="F2048" s="1" t="s">
        <v>15</v>
      </c>
      <c r="G2048" s="1" t="s">
        <v>16</v>
      </c>
      <c r="H2048" s="1" t="s">
        <v>43</v>
      </c>
      <c r="I2048" s="1" t="s">
        <v>26</v>
      </c>
      <c r="J2048">
        <v>30</v>
      </c>
      <c r="K2048">
        <v>8</v>
      </c>
      <c r="L2048" s="1" t="s">
        <v>30</v>
      </c>
    </row>
    <row r="2049" spans="1:12" x14ac:dyDescent="0.3">
      <c r="A2049" s="1" t="s">
        <v>2935</v>
      </c>
      <c r="B2049" s="2">
        <v>45880</v>
      </c>
      <c r="C2049" s="2">
        <v>45890</v>
      </c>
      <c r="D2049" s="1" t="s">
        <v>23</v>
      </c>
      <c r="E2049" s="1" t="s">
        <v>14</v>
      </c>
      <c r="F2049" s="1" t="s">
        <v>38</v>
      </c>
      <c r="G2049" s="1" t="s">
        <v>16</v>
      </c>
      <c r="H2049" s="1" t="s">
        <v>43</v>
      </c>
      <c r="I2049" s="1" t="s">
        <v>41</v>
      </c>
      <c r="J2049">
        <v>15</v>
      </c>
      <c r="K2049">
        <v>10</v>
      </c>
      <c r="L2049" s="1" t="s">
        <v>30</v>
      </c>
    </row>
    <row r="2050" spans="1:12" x14ac:dyDescent="0.3">
      <c r="A2050" s="1" t="s">
        <v>3157</v>
      </c>
      <c r="B2050" s="2">
        <v>45880</v>
      </c>
      <c r="C2050" s="2">
        <v>45919</v>
      </c>
      <c r="D2050" s="1" t="s">
        <v>23</v>
      </c>
      <c r="E2050" s="1" t="s">
        <v>14</v>
      </c>
      <c r="F2050" s="1" t="s">
        <v>15</v>
      </c>
      <c r="G2050" s="1" t="s">
        <v>16</v>
      </c>
      <c r="H2050" s="1" t="s">
        <v>25</v>
      </c>
      <c r="I2050" s="1" t="s">
        <v>18</v>
      </c>
      <c r="J2050">
        <v>15</v>
      </c>
      <c r="K2050">
        <v>39</v>
      </c>
      <c r="L2050" s="1" t="s">
        <v>21</v>
      </c>
    </row>
    <row r="2051" spans="1:12" x14ac:dyDescent="0.3">
      <c r="A2051" s="1" t="s">
        <v>235</v>
      </c>
      <c r="B2051" s="2">
        <v>45879</v>
      </c>
      <c r="C2051" s="2">
        <v>45903</v>
      </c>
      <c r="D2051" s="1" t="s">
        <v>13</v>
      </c>
      <c r="E2051" s="1" t="s">
        <v>24</v>
      </c>
      <c r="F2051" s="1" t="s">
        <v>15</v>
      </c>
      <c r="G2051" s="1" t="s">
        <v>16</v>
      </c>
      <c r="H2051" s="1" t="s">
        <v>17</v>
      </c>
      <c r="I2051" s="1" t="s">
        <v>18</v>
      </c>
      <c r="J2051">
        <v>30</v>
      </c>
      <c r="K2051">
        <v>24</v>
      </c>
      <c r="L2051" s="1" t="s">
        <v>19</v>
      </c>
    </row>
    <row r="2052" spans="1:12" x14ac:dyDescent="0.3">
      <c r="A2052" s="1" t="s">
        <v>1040</v>
      </c>
      <c r="B2052" s="2">
        <v>45879</v>
      </c>
      <c r="C2052" s="2">
        <v>45929</v>
      </c>
      <c r="D2052" s="1" t="s">
        <v>28</v>
      </c>
      <c r="E2052" s="1" t="s">
        <v>24</v>
      </c>
      <c r="F2052" s="1" t="s">
        <v>15</v>
      </c>
      <c r="G2052" s="1" t="s">
        <v>16</v>
      </c>
      <c r="H2052" s="1" t="s">
        <v>54</v>
      </c>
      <c r="I2052" s="1" t="s">
        <v>26</v>
      </c>
      <c r="J2052">
        <v>30</v>
      </c>
      <c r="K2052">
        <v>50</v>
      </c>
      <c r="L2052" s="1" t="s">
        <v>44</v>
      </c>
    </row>
    <row r="2053" spans="1:12" x14ac:dyDescent="0.3">
      <c r="A2053" s="1" t="s">
        <v>1967</v>
      </c>
      <c r="B2053" s="2">
        <v>45879</v>
      </c>
      <c r="C2053" s="2">
        <v>45929</v>
      </c>
      <c r="D2053" s="1" t="s">
        <v>28</v>
      </c>
      <c r="E2053" s="1" t="s">
        <v>24</v>
      </c>
      <c r="F2053" s="1" t="s">
        <v>15</v>
      </c>
      <c r="G2053" s="1" t="s">
        <v>33</v>
      </c>
      <c r="H2053" s="1" t="s">
        <v>54</v>
      </c>
      <c r="I2053" s="1" t="s">
        <v>41</v>
      </c>
      <c r="J2053">
        <v>30</v>
      </c>
      <c r="K2053">
        <v>50</v>
      </c>
      <c r="L2053" s="1" t="s">
        <v>44</v>
      </c>
    </row>
    <row r="2054" spans="1:12" x14ac:dyDescent="0.3">
      <c r="A2054" s="1" t="s">
        <v>2095</v>
      </c>
      <c r="B2054" s="2">
        <v>45879</v>
      </c>
      <c r="C2054" s="2">
        <v>45903</v>
      </c>
      <c r="D2054" s="1" t="s">
        <v>13</v>
      </c>
      <c r="E2054" s="1" t="s">
        <v>14</v>
      </c>
      <c r="F2054" s="1" t="s">
        <v>15</v>
      </c>
      <c r="G2054" s="1" t="s">
        <v>16</v>
      </c>
      <c r="H2054" s="1" t="s">
        <v>47</v>
      </c>
      <c r="I2054" s="1" t="s">
        <v>18</v>
      </c>
      <c r="J2054">
        <v>30</v>
      </c>
      <c r="K2054">
        <v>24</v>
      </c>
      <c r="L2054" s="1" t="s">
        <v>19</v>
      </c>
    </row>
    <row r="2055" spans="1:12" x14ac:dyDescent="0.3">
      <c r="A2055" s="1" t="s">
        <v>2528</v>
      </c>
      <c r="B2055" s="2">
        <v>45879</v>
      </c>
      <c r="C2055" s="2">
        <v>45911</v>
      </c>
      <c r="D2055" s="1" t="s">
        <v>37</v>
      </c>
      <c r="E2055" s="1" t="s">
        <v>24</v>
      </c>
      <c r="F2055" s="1" t="s">
        <v>15</v>
      </c>
      <c r="G2055" s="1" t="s">
        <v>53</v>
      </c>
      <c r="H2055" s="1" t="s">
        <v>49</v>
      </c>
      <c r="I2055" s="1" t="s">
        <v>26</v>
      </c>
      <c r="J2055">
        <v>30</v>
      </c>
      <c r="K2055">
        <v>32</v>
      </c>
      <c r="L2055" s="1" t="s">
        <v>21</v>
      </c>
    </row>
    <row r="2056" spans="1:12" x14ac:dyDescent="0.3">
      <c r="A2056" s="1" t="s">
        <v>1614</v>
      </c>
      <c r="B2056" s="2">
        <v>45879</v>
      </c>
      <c r="C2056" s="2">
        <v>45901</v>
      </c>
      <c r="D2056" s="1" t="s">
        <v>37</v>
      </c>
      <c r="E2056" s="1" t="s">
        <v>14</v>
      </c>
      <c r="F2056" s="1" t="s">
        <v>15</v>
      </c>
      <c r="G2056" s="1" t="s">
        <v>16</v>
      </c>
      <c r="H2056" s="1" t="s">
        <v>39</v>
      </c>
      <c r="I2056" s="1" t="s">
        <v>26</v>
      </c>
      <c r="J2056">
        <v>15</v>
      </c>
      <c r="K2056">
        <v>22</v>
      </c>
      <c r="L2056" s="1" t="s">
        <v>19</v>
      </c>
    </row>
    <row r="2057" spans="1:12" x14ac:dyDescent="0.3">
      <c r="A2057" s="1" t="s">
        <v>807</v>
      </c>
      <c r="B2057" s="2">
        <v>45879</v>
      </c>
      <c r="C2057" s="2">
        <v>45881</v>
      </c>
      <c r="D2057" s="1" t="s">
        <v>37</v>
      </c>
      <c r="E2057" s="1" t="s">
        <v>24</v>
      </c>
      <c r="F2057" s="1" t="s">
        <v>38</v>
      </c>
      <c r="G2057" s="1" t="s">
        <v>16</v>
      </c>
      <c r="H2057" s="1" t="s">
        <v>39</v>
      </c>
      <c r="I2057" s="1" t="s">
        <v>41</v>
      </c>
      <c r="J2057">
        <v>30</v>
      </c>
      <c r="K2057">
        <v>2</v>
      </c>
      <c r="L2057" s="1" t="s">
        <v>30</v>
      </c>
    </row>
    <row r="2058" spans="1:12" x14ac:dyDescent="0.3">
      <c r="A2058" s="1" t="s">
        <v>2187</v>
      </c>
      <c r="B2058" s="2">
        <v>45879</v>
      </c>
      <c r="C2058" s="2">
        <v>45923</v>
      </c>
      <c r="D2058" s="1" t="s">
        <v>13</v>
      </c>
      <c r="E2058" s="1" t="s">
        <v>14</v>
      </c>
      <c r="F2058" s="1" t="s">
        <v>38</v>
      </c>
      <c r="G2058" s="1" t="s">
        <v>16</v>
      </c>
      <c r="H2058" s="1" t="s">
        <v>17</v>
      </c>
      <c r="I2058" s="1" t="s">
        <v>26</v>
      </c>
      <c r="J2058">
        <v>30</v>
      </c>
      <c r="K2058">
        <v>44</v>
      </c>
      <c r="L2058" s="1" t="s">
        <v>44</v>
      </c>
    </row>
    <row r="2059" spans="1:12" x14ac:dyDescent="0.3">
      <c r="A2059" s="1" t="s">
        <v>2233</v>
      </c>
      <c r="B2059" s="2">
        <v>45879</v>
      </c>
      <c r="C2059" s="2">
        <v>45908</v>
      </c>
      <c r="D2059" s="1" t="s">
        <v>28</v>
      </c>
      <c r="E2059" s="1" t="s">
        <v>14</v>
      </c>
      <c r="F2059" s="1" t="s">
        <v>15</v>
      </c>
      <c r="G2059" s="1" t="s">
        <v>16</v>
      </c>
      <c r="H2059" s="1" t="s">
        <v>29</v>
      </c>
      <c r="I2059" s="1" t="s">
        <v>41</v>
      </c>
      <c r="J2059">
        <v>30</v>
      </c>
      <c r="K2059">
        <v>29</v>
      </c>
      <c r="L2059" s="1" t="s">
        <v>21</v>
      </c>
    </row>
    <row r="2060" spans="1:12" x14ac:dyDescent="0.3">
      <c r="A2060" s="1" t="s">
        <v>2483</v>
      </c>
      <c r="B2060" s="2">
        <v>45879</v>
      </c>
      <c r="C2060" s="2">
        <v>45918</v>
      </c>
      <c r="D2060" s="1" t="s">
        <v>28</v>
      </c>
      <c r="E2060" s="1" t="s">
        <v>14</v>
      </c>
      <c r="F2060" s="1" t="s">
        <v>15</v>
      </c>
      <c r="G2060" s="1" t="s">
        <v>16</v>
      </c>
      <c r="H2060" s="1" t="s">
        <v>29</v>
      </c>
      <c r="I2060" s="1" t="s">
        <v>26</v>
      </c>
      <c r="J2060">
        <v>15</v>
      </c>
      <c r="K2060">
        <v>39</v>
      </c>
      <c r="L2060" s="1" t="s">
        <v>21</v>
      </c>
    </row>
    <row r="2061" spans="1:12" x14ac:dyDescent="0.3">
      <c r="A2061" s="1" t="s">
        <v>2869</v>
      </c>
      <c r="B2061" s="2">
        <v>45879</v>
      </c>
      <c r="C2061" s="2">
        <v>45908</v>
      </c>
      <c r="D2061" s="1" t="s">
        <v>28</v>
      </c>
      <c r="E2061" s="1" t="s">
        <v>24</v>
      </c>
      <c r="F2061" s="1" t="s">
        <v>38</v>
      </c>
      <c r="G2061" s="1" t="s">
        <v>33</v>
      </c>
      <c r="H2061" s="1" t="s">
        <v>29</v>
      </c>
      <c r="I2061" s="1" t="s">
        <v>26</v>
      </c>
      <c r="J2061">
        <v>30</v>
      </c>
      <c r="K2061">
        <v>29</v>
      </c>
      <c r="L2061" s="1" t="s">
        <v>21</v>
      </c>
    </row>
    <row r="2062" spans="1:12" x14ac:dyDescent="0.3">
      <c r="A2062" s="1" t="s">
        <v>2892</v>
      </c>
      <c r="B2062" s="2">
        <v>45879</v>
      </c>
      <c r="C2062" s="2">
        <v>45883</v>
      </c>
      <c r="D2062" s="1" t="s">
        <v>13</v>
      </c>
      <c r="E2062" s="1" t="s">
        <v>14</v>
      </c>
      <c r="F2062" s="1" t="s">
        <v>15</v>
      </c>
      <c r="G2062" s="1" t="s">
        <v>16</v>
      </c>
      <c r="H2062" s="1" t="s">
        <v>17</v>
      </c>
      <c r="I2062" s="1" t="s">
        <v>26</v>
      </c>
      <c r="J2062">
        <v>15</v>
      </c>
      <c r="K2062">
        <v>4</v>
      </c>
      <c r="L2062" s="1" t="s">
        <v>30</v>
      </c>
    </row>
    <row r="2063" spans="1:12" x14ac:dyDescent="0.3">
      <c r="A2063" s="1" t="s">
        <v>3128</v>
      </c>
      <c r="B2063" s="2">
        <v>45879</v>
      </c>
      <c r="C2063" s="2">
        <v>45898</v>
      </c>
      <c r="D2063" s="1" t="s">
        <v>32</v>
      </c>
      <c r="E2063" s="1" t="s">
        <v>14</v>
      </c>
      <c r="F2063" s="1" t="s">
        <v>15</v>
      </c>
      <c r="G2063" s="1" t="s">
        <v>16</v>
      </c>
      <c r="H2063" s="1" t="s">
        <v>34</v>
      </c>
      <c r="I2063" s="1" t="s">
        <v>41</v>
      </c>
      <c r="J2063">
        <v>30</v>
      </c>
      <c r="K2063">
        <v>19</v>
      </c>
      <c r="L2063" s="1" t="s">
        <v>19</v>
      </c>
    </row>
    <row r="2064" spans="1:12" x14ac:dyDescent="0.3">
      <c r="A2064" s="1" t="s">
        <v>563</v>
      </c>
      <c r="B2064" s="2">
        <v>45878</v>
      </c>
      <c r="C2064" s="2">
        <v>45920</v>
      </c>
      <c r="D2064" s="1" t="s">
        <v>32</v>
      </c>
      <c r="E2064" s="1" t="s">
        <v>14</v>
      </c>
      <c r="F2064" s="1" t="s">
        <v>15</v>
      </c>
      <c r="G2064" s="1" t="s">
        <v>16</v>
      </c>
      <c r="H2064" s="1" t="s">
        <v>71</v>
      </c>
      <c r="I2064" s="1" t="s">
        <v>18</v>
      </c>
      <c r="J2064">
        <v>30</v>
      </c>
      <c r="K2064">
        <v>42</v>
      </c>
      <c r="L2064" s="1" t="s">
        <v>21</v>
      </c>
    </row>
    <row r="2065" spans="1:12" x14ac:dyDescent="0.3">
      <c r="A2065" s="1" t="s">
        <v>1727</v>
      </c>
      <c r="B2065" s="2">
        <v>45878</v>
      </c>
      <c r="C2065" s="2">
        <v>45921</v>
      </c>
      <c r="D2065" s="1" t="s">
        <v>23</v>
      </c>
      <c r="E2065" s="1" t="s">
        <v>14</v>
      </c>
      <c r="F2065" s="1" t="s">
        <v>15</v>
      </c>
      <c r="G2065" s="1" t="s">
        <v>16</v>
      </c>
      <c r="H2065" s="1" t="s">
        <v>43</v>
      </c>
      <c r="I2065" s="1" t="s">
        <v>18</v>
      </c>
      <c r="J2065">
        <v>30</v>
      </c>
      <c r="K2065">
        <v>43</v>
      </c>
      <c r="L2065" s="1" t="s">
        <v>44</v>
      </c>
    </row>
    <row r="2066" spans="1:12" x14ac:dyDescent="0.3">
      <c r="A2066" s="1" t="s">
        <v>1741</v>
      </c>
      <c r="B2066" s="2">
        <v>45878</v>
      </c>
      <c r="C2066" s="2">
        <v>45897</v>
      </c>
      <c r="D2066" s="1" t="s">
        <v>28</v>
      </c>
      <c r="E2066" s="1" t="s">
        <v>24</v>
      </c>
      <c r="F2066" s="1" t="s">
        <v>15</v>
      </c>
      <c r="G2066" s="1" t="s">
        <v>16</v>
      </c>
      <c r="H2066" s="1" t="s">
        <v>54</v>
      </c>
      <c r="I2066" s="1" t="s">
        <v>26</v>
      </c>
      <c r="J2066">
        <v>30</v>
      </c>
      <c r="K2066">
        <v>19</v>
      </c>
      <c r="L2066" s="1" t="s">
        <v>19</v>
      </c>
    </row>
    <row r="2067" spans="1:12" x14ac:dyDescent="0.3">
      <c r="A2067" s="1" t="s">
        <v>3173</v>
      </c>
      <c r="B2067" s="2">
        <v>45878</v>
      </c>
      <c r="C2067" s="2">
        <v>45932</v>
      </c>
      <c r="D2067" s="1" t="s">
        <v>37</v>
      </c>
      <c r="E2067" s="1" t="s">
        <v>14</v>
      </c>
      <c r="F2067" s="1" t="s">
        <v>15</v>
      </c>
      <c r="G2067" s="1" t="s">
        <v>16</v>
      </c>
      <c r="H2067" s="1" t="s">
        <v>49</v>
      </c>
      <c r="I2067" s="1" t="s">
        <v>26</v>
      </c>
      <c r="J2067">
        <v>15</v>
      </c>
      <c r="K2067">
        <v>54</v>
      </c>
      <c r="L2067" s="1" t="s">
        <v>44</v>
      </c>
    </row>
    <row r="2068" spans="1:12" x14ac:dyDescent="0.3">
      <c r="A2068" s="1" t="s">
        <v>1969</v>
      </c>
      <c r="B2068" s="2">
        <v>45878</v>
      </c>
      <c r="C2068" s="2">
        <v>45926</v>
      </c>
      <c r="D2068" s="1" t="s">
        <v>37</v>
      </c>
      <c r="E2068" s="1" t="s">
        <v>24</v>
      </c>
      <c r="F2068" s="1" t="s">
        <v>15</v>
      </c>
      <c r="G2068" s="1" t="s">
        <v>16</v>
      </c>
      <c r="H2068" s="1" t="s">
        <v>49</v>
      </c>
      <c r="I2068" s="1" t="s">
        <v>41</v>
      </c>
      <c r="J2068">
        <v>30</v>
      </c>
      <c r="K2068">
        <v>48</v>
      </c>
      <c r="L2068" s="1" t="s">
        <v>44</v>
      </c>
    </row>
    <row r="2069" spans="1:12" x14ac:dyDescent="0.3">
      <c r="A2069" s="1" t="s">
        <v>2604</v>
      </c>
      <c r="B2069" s="2">
        <v>45878</v>
      </c>
      <c r="C2069" s="2">
        <v>45926</v>
      </c>
      <c r="D2069" s="1" t="s">
        <v>37</v>
      </c>
      <c r="E2069" s="1" t="s">
        <v>24</v>
      </c>
      <c r="F2069" s="1" t="s">
        <v>15</v>
      </c>
      <c r="G2069" s="1" t="s">
        <v>16</v>
      </c>
      <c r="H2069" s="1" t="s">
        <v>49</v>
      </c>
      <c r="I2069" s="1" t="s">
        <v>41</v>
      </c>
      <c r="J2069">
        <v>30</v>
      </c>
      <c r="K2069">
        <v>48</v>
      </c>
      <c r="L2069" s="1" t="s">
        <v>44</v>
      </c>
    </row>
    <row r="2070" spans="1:12" x14ac:dyDescent="0.3">
      <c r="A2070" s="1" t="s">
        <v>2532</v>
      </c>
      <c r="B2070" s="2">
        <v>45878</v>
      </c>
      <c r="C2070" s="2">
        <v>45914</v>
      </c>
      <c r="D2070" s="1" t="s">
        <v>37</v>
      </c>
      <c r="E2070" s="1" t="s">
        <v>14</v>
      </c>
      <c r="F2070" s="1" t="s">
        <v>15</v>
      </c>
      <c r="G2070" s="1" t="s">
        <v>16</v>
      </c>
      <c r="H2070" s="1" t="s">
        <v>49</v>
      </c>
      <c r="I2070" s="1" t="s">
        <v>26</v>
      </c>
      <c r="J2070">
        <v>15</v>
      </c>
      <c r="K2070">
        <v>36</v>
      </c>
      <c r="L2070" s="1" t="s">
        <v>21</v>
      </c>
    </row>
    <row r="2071" spans="1:12" x14ac:dyDescent="0.3">
      <c r="A2071" s="1" t="s">
        <v>2801</v>
      </c>
      <c r="B2071" s="2">
        <v>45878</v>
      </c>
      <c r="C2071" s="2">
        <v>45895</v>
      </c>
      <c r="D2071" s="1" t="s">
        <v>28</v>
      </c>
      <c r="E2071" s="1" t="s">
        <v>24</v>
      </c>
      <c r="F2071" s="1" t="s">
        <v>38</v>
      </c>
      <c r="G2071" s="1" t="s">
        <v>16</v>
      </c>
      <c r="H2071" s="1" t="s">
        <v>54</v>
      </c>
      <c r="I2071" s="1" t="s">
        <v>18</v>
      </c>
      <c r="J2071">
        <v>30</v>
      </c>
      <c r="K2071">
        <v>17</v>
      </c>
      <c r="L2071" s="1" t="s">
        <v>19</v>
      </c>
    </row>
    <row r="2072" spans="1:12" x14ac:dyDescent="0.3">
      <c r="A2072" s="1" t="s">
        <v>3096</v>
      </c>
      <c r="B2072" s="2">
        <v>45878</v>
      </c>
      <c r="C2072" s="2">
        <v>45901</v>
      </c>
      <c r="D2072" s="1" t="s">
        <v>28</v>
      </c>
      <c r="E2072" s="1" t="s">
        <v>24</v>
      </c>
      <c r="F2072" s="1" t="s">
        <v>15</v>
      </c>
      <c r="G2072" s="1" t="s">
        <v>16</v>
      </c>
      <c r="H2072" s="1" t="s">
        <v>54</v>
      </c>
      <c r="I2072" s="1" t="s">
        <v>26</v>
      </c>
      <c r="J2072">
        <v>30</v>
      </c>
      <c r="K2072">
        <v>23</v>
      </c>
      <c r="L2072" s="1" t="s">
        <v>19</v>
      </c>
    </row>
    <row r="2073" spans="1:12" x14ac:dyDescent="0.3">
      <c r="A2073" s="1" t="s">
        <v>85</v>
      </c>
      <c r="B2073" s="2">
        <v>45877</v>
      </c>
      <c r="C2073" s="2">
        <v>45886</v>
      </c>
      <c r="D2073" s="1" t="s">
        <v>23</v>
      </c>
      <c r="E2073" s="1" t="s">
        <v>14</v>
      </c>
      <c r="F2073" s="1" t="s">
        <v>15</v>
      </c>
      <c r="G2073" s="1" t="s">
        <v>16</v>
      </c>
      <c r="H2073" s="1" t="s">
        <v>25</v>
      </c>
      <c r="I2073" s="1" t="s">
        <v>26</v>
      </c>
      <c r="J2073">
        <v>30</v>
      </c>
      <c r="K2073">
        <v>9</v>
      </c>
      <c r="L2073" s="1" t="s">
        <v>30</v>
      </c>
    </row>
    <row r="2074" spans="1:12" x14ac:dyDescent="0.3">
      <c r="A2074" s="1" t="s">
        <v>1873</v>
      </c>
      <c r="B2074" s="2">
        <v>45877</v>
      </c>
      <c r="C2074" s="2">
        <v>45892</v>
      </c>
      <c r="D2074" s="1" t="s">
        <v>32</v>
      </c>
      <c r="E2074" s="1" t="s">
        <v>24</v>
      </c>
      <c r="F2074" s="1" t="s">
        <v>15</v>
      </c>
      <c r="G2074" s="1" t="s">
        <v>53</v>
      </c>
      <c r="H2074" s="1" t="s">
        <v>71</v>
      </c>
      <c r="I2074" s="1" t="s">
        <v>26</v>
      </c>
      <c r="J2074">
        <v>45</v>
      </c>
      <c r="K2074">
        <v>15</v>
      </c>
      <c r="L2074" s="1" t="s">
        <v>19</v>
      </c>
    </row>
    <row r="2075" spans="1:12" x14ac:dyDescent="0.3">
      <c r="A2075" s="1" t="s">
        <v>2927</v>
      </c>
      <c r="B2075" s="2">
        <v>45877</v>
      </c>
      <c r="C2075" s="2">
        <v>45913</v>
      </c>
      <c r="D2075" s="1" t="s">
        <v>13</v>
      </c>
      <c r="E2075" s="1" t="s">
        <v>14</v>
      </c>
      <c r="F2075" s="1" t="s">
        <v>38</v>
      </c>
      <c r="G2075" s="1" t="s">
        <v>16</v>
      </c>
      <c r="H2075" s="1" t="s">
        <v>17</v>
      </c>
      <c r="I2075" s="1" t="s">
        <v>26</v>
      </c>
      <c r="J2075">
        <v>15</v>
      </c>
      <c r="K2075">
        <v>36</v>
      </c>
      <c r="L2075" s="1" t="s">
        <v>21</v>
      </c>
    </row>
    <row r="2076" spans="1:12" x14ac:dyDescent="0.3">
      <c r="A2076" s="1" t="s">
        <v>2324</v>
      </c>
      <c r="B2076" s="2">
        <v>45876</v>
      </c>
      <c r="C2076" s="2">
        <v>45909</v>
      </c>
      <c r="D2076" s="1" t="s">
        <v>23</v>
      </c>
      <c r="E2076" s="1" t="s">
        <v>14</v>
      </c>
      <c r="F2076" s="1" t="s">
        <v>15</v>
      </c>
      <c r="G2076" s="1" t="s">
        <v>33</v>
      </c>
      <c r="H2076" s="1" t="s">
        <v>43</v>
      </c>
      <c r="I2076" s="1" t="s">
        <v>18</v>
      </c>
      <c r="J2076">
        <v>15</v>
      </c>
      <c r="K2076">
        <v>33</v>
      </c>
      <c r="L2076" s="1" t="s">
        <v>21</v>
      </c>
    </row>
    <row r="2077" spans="1:12" x14ac:dyDescent="0.3">
      <c r="A2077" s="1" t="s">
        <v>1021</v>
      </c>
      <c r="B2077" s="2">
        <v>45875</v>
      </c>
      <c r="C2077" s="2">
        <v>45921</v>
      </c>
      <c r="D2077" s="1" t="s">
        <v>28</v>
      </c>
      <c r="E2077" s="1" t="s">
        <v>14</v>
      </c>
      <c r="F2077" s="1" t="s">
        <v>15</v>
      </c>
      <c r="G2077" s="1" t="s">
        <v>16</v>
      </c>
      <c r="H2077" s="1" t="s">
        <v>29</v>
      </c>
      <c r="I2077" s="1" t="s">
        <v>18</v>
      </c>
      <c r="J2077">
        <v>30</v>
      </c>
      <c r="K2077">
        <v>46</v>
      </c>
      <c r="L2077" s="1" t="s">
        <v>44</v>
      </c>
    </row>
    <row r="2078" spans="1:12" x14ac:dyDescent="0.3">
      <c r="A2078" s="1" t="s">
        <v>1405</v>
      </c>
      <c r="B2078" s="2">
        <v>45875</v>
      </c>
      <c r="C2078" s="2">
        <v>45887</v>
      </c>
      <c r="D2078" s="1" t="s">
        <v>32</v>
      </c>
      <c r="E2078" s="1" t="s">
        <v>14</v>
      </c>
      <c r="F2078" s="1" t="s">
        <v>15</v>
      </c>
      <c r="G2078" s="1" t="s">
        <v>16</v>
      </c>
      <c r="H2078" s="1" t="s">
        <v>34</v>
      </c>
      <c r="I2078" s="1" t="s">
        <v>41</v>
      </c>
      <c r="J2078">
        <v>30</v>
      </c>
      <c r="K2078">
        <v>12</v>
      </c>
      <c r="L2078" s="1" t="s">
        <v>30</v>
      </c>
    </row>
    <row r="2079" spans="1:12" x14ac:dyDescent="0.3">
      <c r="A2079" s="1" t="s">
        <v>3063</v>
      </c>
      <c r="B2079" s="2">
        <v>45875</v>
      </c>
      <c r="C2079" s="2">
        <v>45903</v>
      </c>
      <c r="D2079" s="1" t="s">
        <v>37</v>
      </c>
      <c r="E2079" s="1" t="s">
        <v>24</v>
      </c>
      <c r="F2079" s="1" t="s">
        <v>15</v>
      </c>
      <c r="G2079" s="1" t="s">
        <v>16</v>
      </c>
      <c r="H2079" s="1" t="s">
        <v>49</v>
      </c>
      <c r="I2079" s="1" t="s">
        <v>26</v>
      </c>
      <c r="J2079">
        <v>30</v>
      </c>
      <c r="K2079">
        <v>28</v>
      </c>
      <c r="L2079" s="1" t="s">
        <v>19</v>
      </c>
    </row>
    <row r="2080" spans="1:12" x14ac:dyDescent="0.3">
      <c r="A2080" s="1" t="s">
        <v>2627</v>
      </c>
      <c r="B2080" s="2">
        <v>45875</v>
      </c>
      <c r="C2080" s="2">
        <v>45935</v>
      </c>
      <c r="D2080" s="1" t="s">
        <v>23</v>
      </c>
      <c r="E2080" s="1" t="s">
        <v>14</v>
      </c>
      <c r="F2080" s="1" t="s">
        <v>15</v>
      </c>
      <c r="G2080" s="1" t="s">
        <v>33</v>
      </c>
      <c r="H2080" s="1" t="s">
        <v>43</v>
      </c>
      <c r="I2080" s="1" t="s">
        <v>26</v>
      </c>
      <c r="J2080">
        <v>15</v>
      </c>
      <c r="K2080">
        <v>60</v>
      </c>
      <c r="L2080" s="1" t="s">
        <v>80</v>
      </c>
    </row>
    <row r="2081" spans="1:12" x14ac:dyDescent="0.3">
      <c r="A2081" s="1" t="s">
        <v>180</v>
      </c>
      <c r="B2081" s="2">
        <v>45874</v>
      </c>
      <c r="C2081" s="2">
        <v>45877</v>
      </c>
      <c r="D2081" s="1" t="s">
        <v>28</v>
      </c>
      <c r="E2081" s="1" t="s">
        <v>14</v>
      </c>
      <c r="F2081" s="1" t="s">
        <v>15</v>
      </c>
      <c r="G2081" s="1" t="s">
        <v>16</v>
      </c>
      <c r="H2081" s="1" t="s">
        <v>29</v>
      </c>
      <c r="I2081" s="1" t="s">
        <v>26</v>
      </c>
      <c r="J2081">
        <v>15</v>
      </c>
      <c r="K2081">
        <v>3</v>
      </c>
      <c r="L2081" s="1" t="s">
        <v>30</v>
      </c>
    </row>
    <row r="2082" spans="1:12" x14ac:dyDescent="0.3">
      <c r="A2082" s="1" t="s">
        <v>1354</v>
      </c>
      <c r="B2082" s="2">
        <v>45874</v>
      </c>
      <c r="C2082" s="2">
        <v>45896</v>
      </c>
      <c r="D2082" s="1" t="s">
        <v>32</v>
      </c>
      <c r="E2082" s="1" t="s">
        <v>24</v>
      </c>
      <c r="F2082" s="1" t="s">
        <v>15</v>
      </c>
      <c r="G2082" s="1" t="s">
        <v>16</v>
      </c>
      <c r="H2082" s="1" t="s">
        <v>71</v>
      </c>
      <c r="I2082" s="1" t="s">
        <v>26</v>
      </c>
      <c r="J2082">
        <v>30</v>
      </c>
      <c r="K2082">
        <v>22</v>
      </c>
      <c r="L2082" s="1" t="s">
        <v>19</v>
      </c>
    </row>
    <row r="2083" spans="1:12" x14ac:dyDescent="0.3">
      <c r="A2083" s="1" t="s">
        <v>309</v>
      </c>
      <c r="B2083" s="2">
        <v>45874</v>
      </c>
      <c r="C2083" s="2">
        <v>45937</v>
      </c>
      <c r="D2083" s="1" t="s">
        <v>37</v>
      </c>
      <c r="E2083" s="1" t="s">
        <v>14</v>
      </c>
      <c r="F2083" s="1" t="s">
        <v>15</v>
      </c>
      <c r="G2083" s="1" t="s">
        <v>33</v>
      </c>
      <c r="H2083" s="1" t="s">
        <v>49</v>
      </c>
      <c r="I2083" s="1" t="s">
        <v>41</v>
      </c>
      <c r="J2083">
        <v>15</v>
      </c>
      <c r="K2083">
        <v>63</v>
      </c>
      <c r="L2083" s="1" t="s">
        <v>80</v>
      </c>
    </row>
    <row r="2084" spans="1:12" x14ac:dyDescent="0.3">
      <c r="A2084" s="1" t="s">
        <v>1449</v>
      </c>
      <c r="B2084" s="2">
        <v>45874</v>
      </c>
      <c r="C2084" s="2">
        <v>45934</v>
      </c>
      <c r="D2084" s="1" t="s">
        <v>37</v>
      </c>
      <c r="E2084" s="1" t="s">
        <v>14</v>
      </c>
      <c r="F2084" s="1" t="s">
        <v>15</v>
      </c>
      <c r="G2084" s="1" t="s">
        <v>16</v>
      </c>
      <c r="H2084" s="1" t="s">
        <v>39</v>
      </c>
      <c r="I2084" s="1" t="s">
        <v>26</v>
      </c>
      <c r="J2084">
        <v>15</v>
      </c>
      <c r="K2084">
        <v>60</v>
      </c>
      <c r="L2084" s="1" t="s">
        <v>80</v>
      </c>
    </row>
    <row r="2085" spans="1:12" x14ac:dyDescent="0.3">
      <c r="A2085" s="1" t="s">
        <v>1278</v>
      </c>
      <c r="B2085" s="2">
        <v>45874</v>
      </c>
      <c r="C2085" s="2">
        <v>45921</v>
      </c>
      <c r="D2085" s="1" t="s">
        <v>37</v>
      </c>
      <c r="E2085" s="1" t="s">
        <v>14</v>
      </c>
      <c r="F2085" s="1" t="s">
        <v>15</v>
      </c>
      <c r="G2085" s="1" t="s">
        <v>16</v>
      </c>
      <c r="H2085" s="1" t="s">
        <v>49</v>
      </c>
      <c r="I2085" s="1" t="s">
        <v>26</v>
      </c>
      <c r="J2085">
        <v>15</v>
      </c>
      <c r="K2085">
        <v>47</v>
      </c>
      <c r="L2085" s="1" t="s">
        <v>44</v>
      </c>
    </row>
    <row r="2086" spans="1:12" x14ac:dyDescent="0.3">
      <c r="A2086" s="1" t="s">
        <v>1425</v>
      </c>
      <c r="B2086" s="2">
        <v>45874</v>
      </c>
      <c r="C2086" s="2">
        <v>45909</v>
      </c>
      <c r="D2086" s="1" t="s">
        <v>37</v>
      </c>
      <c r="E2086" s="1" t="s">
        <v>14</v>
      </c>
      <c r="F2086" s="1" t="s">
        <v>38</v>
      </c>
      <c r="G2086" s="1" t="s">
        <v>16</v>
      </c>
      <c r="H2086" s="1" t="s">
        <v>39</v>
      </c>
      <c r="I2086" s="1" t="s">
        <v>26</v>
      </c>
      <c r="J2086">
        <v>30</v>
      </c>
      <c r="K2086">
        <v>35</v>
      </c>
      <c r="L2086" s="1" t="s">
        <v>21</v>
      </c>
    </row>
    <row r="2087" spans="1:12" x14ac:dyDescent="0.3">
      <c r="A2087" s="1" t="s">
        <v>1799</v>
      </c>
      <c r="B2087" s="2">
        <v>45874</v>
      </c>
      <c r="C2087" s="2">
        <v>45906</v>
      </c>
      <c r="D2087" s="1" t="s">
        <v>37</v>
      </c>
      <c r="E2087" s="1" t="s">
        <v>14</v>
      </c>
      <c r="F2087" s="1" t="s">
        <v>15</v>
      </c>
      <c r="G2087" s="1" t="s">
        <v>53</v>
      </c>
      <c r="H2087" s="1" t="s">
        <v>49</v>
      </c>
      <c r="I2087" s="1" t="s">
        <v>18</v>
      </c>
      <c r="J2087">
        <v>15</v>
      </c>
      <c r="K2087">
        <v>32</v>
      </c>
      <c r="L2087" s="1" t="s">
        <v>21</v>
      </c>
    </row>
    <row r="2088" spans="1:12" x14ac:dyDescent="0.3">
      <c r="A2088" s="1" t="s">
        <v>2467</v>
      </c>
      <c r="B2088" s="2">
        <v>45874</v>
      </c>
      <c r="C2088" s="2">
        <v>45894</v>
      </c>
      <c r="D2088" s="1" t="s">
        <v>37</v>
      </c>
      <c r="E2088" s="1" t="s">
        <v>24</v>
      </c>
      <c r="F2088" s="1" t="s">
        <v>15</v>
      </c>
      <c r="G2088" s="1" t="s">
        <v>16</v>
      </c>
      <c r="H2088" s="1" t="s">
        <v>49</v>
      </c>
      <c r="I2088" s="1" t="s">
        <v>18</v>
      </c>
      <c r="J2088">
        <v>30</v>
      </c>
      <c r="K2088">
        <v>20</v>
      </c>
      <c r="L2088" s="1" t="s">
        <v>19</v>
      </c>
    </row>
    <row r="2089" spans="1:12" x14ac:dyDescent="0.3">
      <c r="A2089" s="1" t="s">
        <v>2952</v>
      </c>
      <c r="B2089" s="2">
        <v>45874</v>
      </c>
      <c r="C2089" s="2">
        <v>45894</v>
      </c>
      <c r="D2089" s="1" t="s">
        <v>37</v>
      </c>
      <c r="E2089" s="1" t="s">
        <v>14</v>
      </c>
      <c r="F2089" s="1" t="s">
        <v>15</v>
      </c>
      <c r="G2089" s="1" t="s">
        <v>16</v>
      </c>
      <c r="H2089" s="1" t="s">
        <v>49</v>
      </c>
      <c r="I2089" s="1" t="s">
        <v>26</v>
      </c>
      <c r="J2089">
        <v>15</v>
      </c>
      <c r="K2089">
        <v>20</v>
      </c>
      <c r="L2089" s="1" t="s">
        <v>19</v>
      </c>
    </row>
    <row r="2090" spans="1:12" x14ac:dyDescent="0.3">
      <c r="A2090" s="1" t="s">
        <v>1634</v>
      </c>
      <c r="B2090" s="2">
        <v>45874</v>
      </c>
      <c r="C2090" s="2">
        <v>45892</v>
      </c>
      <c r="D2090" s="1" t="s">
        <v>37</v>
      </c>
      <c r="E2090" s="1" t="s">
        <v>14</v>
      </c>
      <c r="F2090" s="1" t="s">
        <v>15</v>
      </c>
      <c r="G2090" s="1" t="s">
        <v>16</v>
      </c>
      <c r="H2090" s="1" t="s">
        <v>49</v>
      </c>
      <c r="I2090" s="1" t="s">
        <v>41</v>
      </c>
      <c r="J2090">
        <v>15</v>
      </c>
      <c r="K2090">
        <v>18</v>
      </c>
      <c r="L2090" s="1" t="s">
        <v>19</v>
      </c>
    </row>
    <row r="2091" spans="1:12" x14ac:dyDescent="0.3">
      <c r="A2091" s="1" t="s">
        <v>3040</v>
      </c>
      <c r="B2091" s="2">
        <v>45874</v>
      </c>
      <c r="C2091" s="2">
        <v>45917</v>
      </c>
      <c r="D2091" s="1" t="s">
        <v>23</v>
      </c>
      <c r="E2091" s="1" t="s">
        <v>24</v>
      </c>
      <c r="F2091" s="1" t="s">
        <v>15</v>
      </c>
      <c r="G2091" s="1" t="s">
        <v>16</v>
      </c>
      <c r="H2091" s="1" t="s">
        <v>43</v>
      </c>
      <c r="I2091" s="1" t="s">
        <v>41</v>
      </c>
      <c r="J2091">
        <v>30</v>
      </c>
      <c r="K2091">
        <v>43</v>
      </c>
      <c r="L2091" s="1" t="s">
        <v>44</v>
      </c>
    </row>
    <row r="2092" spans="1:12" x14ac:dyDescent="0.3">
      <c r="A2092" s="1" t="s">
        <v>1399</v>
      </c>
      <c r="B2092" s="2">
        <v>45873</v>
      </c>
      <c r="C2092" s="2">
        <v>45936</v>
      </c>
      <c r="D2092" s="1" t="s">
        <v>13</v>
      </c>
      <c r="E2092" s="1" t="s">
        <v>14</v>
      </c>
      <c r="F2092" s="1" t="s">
        <v>15</v>
      </c>
      <c r="G2092" s="1" t="s">
        <v>16</v>
      </c>
      <c r="H2092" s="1" t="s">
        <v>47</v>
      </c>
      <c r="I2092" s="1" t="s">
        <v>26</v>
      </c>
      <c r="J2092">
        <v>15</v>
      </c>
      <c r="K2092">
        <v>63</v>
      </c>
      <c r="L2092" s="1" t="s">
        <v>80</v>
      </c>
    </row>
    <row r="2093" spans="1:12" x14ac:dyDescent="0.3">
      <c r="A2093" s="1" t="s">
        <v>1689</v>
      </c>
      <c r="B2093" s="2">
        <v>45873</v>
      </c>
      <c r="C2093" s="2">
        <v>45916</v>
      </c>
      <c r="D2093" s="1" t="s">
        <v>13</v>
      </c>
      <c r="E2093" s="1" t="s">
        <v>14</v>
      </c>
      <c r="F2093" s="1" t="s">
        <v>38</v>
      </c>
      <c r="G2093" s="1" t="s">
        <v>16</v>
      </c>
      <c r="H2093" s="1" t="s">
        <v>47</v>
      </c>
      <c r="I2093" s="1" t="s">
        <v>18</v>
      </c>
      <c r="J2093">
        <v>30</v>
      </c>
      <c r="K2093">
        <v>43</v>
      </c>
      <c r="L2093" s="1" t="s">
        <v>44</v>
      </c>
    </row>
    <row r="2094" spans="1:12" x14ac:dyDescent="0.3">
      <c r="A2094" s="1" t="s">
        <v>1835</v>
      </c>
      <c r="B2094" s="2">
        <v>45873</v>
      </c>
      <c r="C2094" s="2">
        <v>45922</v>
      </c>
      <c r="D2094" s="1" t="s">
        <v>13</v>
      </c>
      <c r="E2094" s="1" t="s">
        <v>24</v>
      </c>
      <c r="F2094" s="1" t="s">
        <v>15</v>
      </c>
      <c r="G2094" s="1" t="s">
        <v>53</v>
      </c>
      <c r="H2094" s="1" t="s">
        <v>47</v>
      </c>
      <c r="I2094" s="1" t="s">
        <v>41</v>
      </c>
      <c r="J2094">
        <v>45</v>
      </c>
      <c r="K2094">
        <v>49</v>
      </c>
      <c r="L2094" s="1" t="s">
        <v>44</v>
      </c>
    </row>
    <row r="2095" spans="1:12" x14ac:dyDescent="0.3">
      <c r="A2095" s="1" t="s">
        <v>2527</v>
      </c>
      <c r="B2095" s="2">
        <v>45873</v>
      </c>
      <c r="C2095" s="2">
        <v>45890</v>
      </c>
      <c r="D2095" s="1" t="s">
        <v>37</v>
      </c>
      <c r="E2095" s="1" t="s">
        <v>14</v>
      </c>
      <c r="F2095" s="1" t="s">
        <v>15</v>
      </c>
      <c r="G2095" s="1" t="s">
        <v>16</v>
      </c>
      <c r="H2095" s="1" t="s">
        <v>39</v>
      </c>
      <c r="I2095" s="1" t="s">
        <v>26</v>
      </c>
      <c r="J2095">
        <v>30</v>
      </c>
      <c r="K2095">
        <v>17</v>
      </c>
      <c r="L2095" s="1" t="s">
        <v>19</v>
      </c>
    </row>
    <row r="2096" spans="1:12" x14ac:dyDescent="0.3">
      <c r="A2096" s="1" t="s">
        <v>3216</v>
      </c>
      <c r="B2096" s="2">
        <v>45873</v>
      </c>
      <c r="C2096" s="2">
        <v>45875</v>
      </c>
      <c r="D2096" s="1" t="s">
        <v>37</v>
      </c>
      <c r="E2096" s="1" t="s">
        <v>14</v>
      </c>
      <c r="F2096" s="1" t="s">
        <v>38</v>
      </c>
      <c r="G2096" s="1" t="s">
        <v>16</v>
      </c>
      <c r="H2096" s="1" t="s">
        <v>39</v>
      </c>
      <c r="I2096" s="1" t="s">
        <v>26</v>
      </c>
      <c r="J2096">
        <v>30</v>
      </c>
      <c r="K2096">
        <v>2</v>
      </c>
      <c r="L2096" s="1" t="s">
        <v>30</v>
      </c>
    </row>
    <row r="2097" spans="1:12" x14ac:dyDescent="0.3">
      <c r="A2097" s="1" t="s">
        <v>2632</v>
      </c>
      <c r="B2097" s="2">
        <v>45873</v>
      </c>
      <c r="C2097" s="2">
        <v>45876</v>
      </c>
      <c r="D2097" s="1" t="s">
        <v>23</v>
      </c>
      <c r="E2097" s="1" t="s">
        <v>24</v>
      </c>
      <c r="F2097" s="1" t="s">
        <v>38</v>
      </c>
      <c r="G2097" s="1" t="s">
        <v>16</v>
      </c>
      <c r="H2097" s="1" t="s">
        <v>25</v>
      </c>
      <c r="I2097" s="1" t="s">
        <v>18</v>
      </c>
      <c r="J2097">
        <v>30</v>
      </c>
      <c r="K2097">
        <v>3</v>
      </c>
      <c r="L2097" s="1" t="s">
        <v>30</v>
      </c>
    </row>
    <row r="2098" spans="1:12" x14ac:dyDescent="0.3">
      <c r="A2098" s="1" t="s">
        <v>2782</v>
      </c>
      <c r="B2098" s="2">
        <v>45873</v>
      </c>
      <c r="C2098" s="2">
        <v>45904</v>
      </c>
      <c r="D2098" s="1" t="s">
        <v>32</v>
      </c>
      <c r="E2098" s="1" t="s">
        <v>14</v>
      </c>
      <c r="F2098" s="1" t="s">
        <v>15</v>
      </c>
      <c r="G2098" s="1" t="s">
        <v>33</v>
      </c>
      <c r="H2098" s="1" t="s">
        <v>34</v>
      </c>
      <c r="I2098" s="1" t="s">
        <v>26</v>
      </c>
      <c r="J2098">
        <v>15</v>
      </c>
      <c r="K2098">
        <v>31</v>
      </c>
      <c r="L2098" s="1" t="s">
        <v>21</v>
      </c>
    </row>
    <row r="2099" spans="1:12" x14ac:dyDescent="0.3">
      <c r="A2099" s="1" t="s">
        <v>1033</v>
      </c>
      <c r="B2099" s="2">
        <v>45872</v>
      </c>
      <c r="C2099" s="2">
        <v>45876</v>
      </c>
      <c r="D2099" s="1" t="s">
        <v>23</v>
      </c>
      <c r="E2099" s="1" t="s">
        <v>14</v>
      </c>
      <c r="F2099" s="1" t="s">
        <v>15</v>
      </c>
      <c r="G2099" s="1" t="s">
        <v>16</v>
      </c>
      <c r="H2099" s="1" t="s">
        <v>43</v>
      </c>
      <c r="I2099" s="1" t="s">
        <v>26</v>
      </c>
      <c r="J2099">
        <v>15</v>
      </c>
      <c r="K2099">
        <v>4</v>
      </c>
      <c r="L2099" s="1" t="s">
        <v>30</v>
      </c>
    </row>
    <row r="2100" spans="1:12" x14ac:dyDescent="0.3">
      <c r="A2100" s="1" t="s">
        <v>1372</v>
      </c>
      <c r="B2100" s="2">
        <v>45872</v>
      </c>
      <c r="C2100" s="2">
        <v>45901</v>
      </c>
      <c r="D2100" s="1" t="s">
        <v>13</v>
      </c>
      <c r="E2100" s="1" t="s">
        <v>24</v>
      </c>
      <c r="F2100" s="1" t="s">
        <v>38</v>
      </c>
      <c r="G2100" s="1" t="s">
        <v>16</v>
      </c>
      <c r="H2100" s="1" t="s">
        <v>47</v>
      </c>
      <c r="I2100" s="1" t="s">
        <v>26</v>
      </c>
      <c r="J2100">
        <v>30</v>
      </c>
      <c r="K2100">
        <v>29</v>
      </c>
      <c r="L2100" s="1" t="s">
        <v>21</v>
      </c>
    </row>
    <row r="2101" spans="1:12" x14ac:dyDescent="0.3">
      <c r="A2101" s="1" t="s">
        <v>1414</v>
      </c>
      <c r="B2101" s="2">
        <v>45872</v>
      </c>
      <c r="C2101" s="2">
        <v>45922</v>
      </c>
      <c r="D2101" s="1" t="s">
        <v>13</v>
      </c>
      <c r="E2101" s="1" t="s">
        <v>24</v>
      </c>
      <c r="F2101" s="1" t="s">
        <v>15</v>
      </c>
      <c r="G2101" s="1" t="s">
        <v>53</v>
      </c>
      <c r="H2101" s="1" t="s">
        <v>17</v>
      </c>
      <c r="I2101" s="1" t="s">
        <v>26</v>
      </c>
      <c r="J2101">
        <v>30</v>
      </c>
      <c r="K2101">
        <v>50</v>
      </c>
      <c r="L2101" s="1" t="s">
        <v>44</v>
      </c>
    </row>
    <row r="2102" spans="1:12" x14ac:dyDescent="0.3">
      <c r="A2102" s="1" t="s">
        <v>2016</v>
      </c>
      <c r="B2102" s="2">
        <v>45872</v>
      </c>
      <c r="C2102" s="2">
        <v>45913</v>
      </c>
      <c r="D2102" s="1" t="s">
        <v>13</v>
      </c>
      <c r="E2102" s="1" t="s">
        <v>24</v>
      </c>
      <c r="F2102" s="1" t="s">
        <v>15</v>
      </c>
      <c r="G2102" s="1" t="s">
        <v>16</v>
      </c>
      <c r="H2102" s="1" t="s">
        <v>47</v>
      </c>
      <c r="I2102" s="1" t="s">
        <v>18</v>
      </c>
      <c r="J2102">
        <v>45</v>
      </c>
      <c r="K2102">
        <v>41</v>
      </c>
      <c r="L2102" s="1" t="s">
        <v>21</v>
      </c>
    </row>
    <row r="2103" spans="1:12" x14ac:dyDescent="0.3">
      <c r="A2103" s="1" t="s">
        <v>2020</v>
      </c>
      <c r="B2103" s="2">
        <v>45872</v>
      </c>
      <c r="C2103" s="2">
        <v>45900</v>
      </c>
      <c r="D2103" s="1" t="s">
        <v>13</v>
      </c>
      <c r="E2103" s="1" t="s">
        <v>24</v>
      </c>
      <c r="F2103" s="1" t="s">
        <v>15</v>
      </c>
      <c r="G2103" s="1" t="s">
        <v>16</v>
      </c>
      <c r="H2103" s="1" t="s">
        <v>47</v>
      </c>
      <c r="I2103" s="1" t="s">
        <v>26</v>
      </c>
      <c r="J2103">
        <v>45</v>
      </c>
      <c r="K2103">
        <v>28</v>
      </c>
      <c r="L2103" s="1" t="s">
        <v>19</v>
      </c>
    </row>
    <row r="2104" spans="1:12" x14ac:dyDescent="0.3">
      <c r="A2104" s="1" t="s">
        <v>238</v>
      </c>
      <c r="B2104" s="2">
        <v>45872</v>
      </c>
      <c r="C2104" s="2">
        <v>45937</v>
      </c>
      <c r="D2104" s="1" t="s">
        <v>37</v>
      </c>
      <c r="E2104" s="1" t="s">
        <v>24</v>
      </c>
      <c r="F2104" s="1" t="s">
        <v>15</v>
      </c>
      <c r="G2104" s="1" t="s">
        <v>53</v>
      </c>
      <c r="H2104" s="1" t="s">
        <v>39</v>
      </c>
      <c r="I2104" s="1" t="s">
        <v>26</v>
      </c>
      <c r="J2104">
        <v>30</v>
      </c>
      <c r="K2104">
        <v>65</v>
      </c>
      <c r="L2104" s="1" t="s">
        <v>80</v>
      </c>
    </row>
    <row r="2105" spans="1:12" x14ac:dyDescent="0.3">
      <c r="A2105" s="1" t="s">
        <v>1753</v>
      </c>
      <c r="B2105" s="2">
        <v>45872</v>
      </c>
      <c r="C2105" s="2">
        <v>45926</v>
      </c>
      <c r="D2105" s="1" t="s">
        <v>37</v>
      </c>
      <c r="E2105" s="1" t="s">
        <v>24</v>
      </c>
      <c r="F2105" s="1" t="s">
        <v>15</v>
      </c>
      <c r="G2105" s="1" t="s">
        <v>53</v>
      </c>
      <c r="H2105" s="1" t="s">
        <v>49</v>
      </c>
      <c r="I2105" s="1" t="s">
        <v>18</v>
      </c>
      <c r="J2105">
        <v>45</v>
      </c>
      <c r="K2105">
        <v>54</v>
      </c>
      <c r="L2105" s="1" t="s">
        <v>44</v>
      </c>
    </row>
    <row r="2106" spans="1:12" x14ac:dyDescent="0.3">
      <c r="A2106" s="1" t="s">
        <v>2533</v>
      </c>
      <c r="B2106" s="2">
        <v>45872</v>
      </c>
      <c r="C2106" s="2">
        <v>45923</v>
      </c>
      <c r="D2106" s="1" t="s">
        <v>37</v>
      </c>
      <c r="E2106" s="1" t="s">
        <v>24</v>
      </c>
      <c r="F2106" s="1" t="s">
        <v>15</v>
      </c>
      <c r="G2106" s="1" t="s">
        <v>16</v>
      </c>
      <c r="H2106" s="1" t="s">
        <v>49</v>
      </c>
      <c r="I2106" s="1" t="s">
        <v>41</v>
      </c>
      <c r="J2106">
        <v>45</v>
      </c>
      <c r="K2106">
        <v>51</v>
      </c>
      <c r="L2106" s="1" t="s">
        <v>44</v>
      </c>
    </row>
    <row r="2107" spans="1:12" x14ac:dyDescent="0.3">
      <c r="A2107" s="1" t="s">
        <v>2116</v>
      </c>
      <c r="B2107" s="2">
        <v>45872</v>
      </c>
      <c r="C2107" s="2">
        <v>45904</v>
      </c>
      <c r="D2107" s="1" t="s">
        <v>37</v>
      </c>
      <c r="E2107" s="1" t="s">
        <v>14</v>
      </c>
      <c r="F2107" s="1" t="s">
        <v>38</v>
      </c>
      <c r="G2107" s="1" t="s">
        <v>16</v>
      </c>
      <c r="H2107" s="1" t="s">
        <v>49</v>
      </c>
      <c r="I2107" s="1" t="s">
        <v>18</v>
      </c>
      <c r="J2107">
        <v>15</v>
      </c>
      <c r="K2107">
        <v>32</v>
      </c>
      <c r="L2107" s="1" t="s">
        <v>21</v>
      </c>
    </row>
    <row r="2108" spans="1:12" x14ac:dyDescent="0.3">
      <c r="A2108" s="1" t="s">
        <v>2072</v>
      </c>
      <c r="B2108" s="2">
        <v>45872</v>
      </c>
      <c r="C2108" s="2">
        <v>45897</v>
      </c>
      <c r="D2108" s="1" t="s">
        <v>37</v>
      </c>
      <c r="E2108" s="1" t="s">
        <v>14</v>
      </c>
      <c r="F2108" s="1" t="s">
        <v>15</v>
      </c>
      <c r="G2108" s="1" t="s">
        <v>16</v>
      </c>
      <c r="H2108" s="1" t="s">
        <v>49</v>
      </c>
      <c r="I2108" s="1" t="s">
        <v>26</v>
      </c>
      <c r="J2108">
        <v>15</v>
      </c>
      <c r="K2108">
        <v>25</v>
      </c>
      <c r="L2108" s="1" t="s">
        <v>19</v>
      </c>
    </row>
    <row r="2109" spans="1:12" x14ac:dyDescent="0.3">
      <c r="A2109" s="1" t="s">
        <v>2369</v>
      </c>
      <c r="B2109" s="2">
        <v>45872</v>
      </c>
      <c r="C2109" s="2">
        <v>45889</v>
      </c>
      <c r="D2109" s="1" t="s">
        <v>32</v>
      </c>
      <c r="E2109" s="1" t="s">
        <v>24</v>
      </c>
      <c r="F2109" s="1" t="s">
        <v>15</v>
      </c>
      <c r="G2109" s="1" t="s">
        <v>16</v>
      </c>
      <c r="H2109" s="1" t="s">
        <v>71</v>
      </c>
      <c r="I2109" s="1" t="s">
        <v>26</v>
      </c>
      <c r="J2109">
        <v>30</v>
      </c>
      <c r="K2109">
        <v>17</v>
      </c>
      <c r="L2109" s="1" t="s">
        <v>19</v>
      </c>
    </row>
    <row r="2110" spans="1:12" x14ac:dyDescent="0.3">
      <c r="A2110" s="1" t="s">
        <v>3133</v>
      </c>
      <c r="B2110" s="2">
        <v>45872</v>
      </c>
      <c r="C2110" s="2">
        <v>45889</v>
      </c>
      <c r="D2110" s="1" t="s">
        <v>23</v>
      </c>
      <c r="E2110" s="1" t="s">
        <v>14</v>
      </c>
      <c r="F2110" s="1" t="s">
        <v>38</v>
      </c>
      <c r="G2110" s="1" t="s">
        <v>16</v>
      </c>
      <c r="H2110" s="1" t="s">
        <v>25</v>
      </c>
      <c r="I2110" s="1" t="s">
        <v>18</v>
      </c>
      <c r="J2110">
        <v>15</v>
      </c>
      <c r="K2110">
        <v>17</v>
      </c>
      <c r="L2110" s="1" t="s">
        <v>19</v>
      </c>
    </row>
    <row r="2111" spans="1:12" x14ac:dyDescent="0.3">
      <c r="A2111" s="1" t="s">
        <v>240</v>
      </c>
      <c r="B2111" s="2">
        <v>45871</v>
      </c>
      <c r="C2111" s="2">
        <v>45887</v>
      </c>
      <c r="D2111" s="1" t="s">
        <v>28</v>
      </c>
      <c r="E2111" s="1" t="s">
        <v>14</v>
      </c>
      <c r="F2111" s="1" t="s">
        <v>15</v>
      </c>
      <c r="G2111" s="1" t="s">
        <v>16</v>
      </c>
      <c r="H2111" s="1" t="s">
        <v>54</v>
      </c>
      <c r="I2111" s="1" t="s">
        <v>18</v>
      </c>
      <c r="J2111">
        <v>30</v>
      </c>
      <c r="K2111">
        <v>16</v>
      </c>
      <c r="L2111" s="1" t="s">
        <v>19</v>
      </c>
    </row>
    <row r="2112" spans="1:12" x14ac:dyDescent="0.3">
      <c r="A2112" s="1" t="s">
        <v>1202</v>
      </c>
      <c r="B2112" s="2">
        <v>45871</v>
      </c>
      <c r="C2112" s="2">
        <v>45886</v>
      </c>
      <c r="D2112" s="1" t="s">
        <v>13</v>
      </c>
      <c r="E2112" s="1" t="s">
        <v>14</v>
      </c>
      <c r="F2112" s="1" t="s">
        <v>15</v>
      </c>
      <c r="G2112" s="1" t="s">
        <v>16</v>
      </c>
      <c r="H2112" s="1" t="s">
        <v>17</v>
      </c>
      <c r="I2112" s="1" t="s">
        <v>18</v>
      </c>
      <c r="J2112">
        <v>30</v>
      </c>
      <c r="K2112">
        <v>15</v>
      </c>
      <c r="L2112" s="1" t="s">
        <v>19</v>
      </c>
    </row>
    <row r="2113" spans="1:12" x14ac:dyDescent="0.3">
      <c r="A2113" s="1" t="s">
        <v>1218</v>
      </c>
      <c r="B2113" s="2">
        <v>45871</v>
      </c>
      <c r="C2113" s="2">
        <v>45898</v>
      </c>
      <c r="D2113" s="1" t="s">
        <v>13</v>
      </c>
      <c r="E2113" s="1" t="s">
        <v>14</v>
      </c>
      <c r="F2113" s="1" t="s">
        <v>15</v>
      </c>
      <c r="G2113" s="1" t="s">
        <v>16</v>
      </c>
      <c r="H2113" s="1" t="s">
        <v>17</v>
      </c>
      <c r="I2113" s="1" t="s">
        <v>26</v>
      </c>
      <c r="J2113">
        <v>30</v>
      </c>
      <c r="K2113">
        <v>27</v>
      </c>
      <c r="L2113" s="1" t="s">
        <v>19</v>
      </c>
    </row>
    <row r="2114" spans="1:12" x14ac:dyDescent="0.3">
      <c r="A2114" s="1" t="s">
        <v>1824</v>
      </c>
      <c r="B2114" s="2">
        <v>45871</v>
      </c>
      <c r="C2114" s="2">
        <v>45919</v>
      </c>
      <c r="D2114" s="1" t="s">
        <v>28</v>
      </c>
      <c r="E2114" s="1" t="s">
        <v>14</v>
      </c>
      <c r="F2114" s="1" t="s">
        <v>15</v>
      </c>
      <c r="G2114" s="1" t="s">
        <v>33</v>
      </c>
      <c r="H2114" s="1" t="s">
        <v>29</v>
      </c>
      <c r="I2114" s="1" t="s">
        <v>26</v>
      </c>
      <c r="J2114">
        <v>15</v>
      </c>
      <c r="K2114">
        <v>48</v>
      </c>
      <c r="L2114" s="1" t="s">
        <v>44</v>
      </c>
    </row>
    <row r="2115" spans="1:12" x14ac:dyDescent="0.3">
      <c r="A2115" s="1" t="s">
        <v>1942</v>
      </c>
      <c r="B2115" s="2">
        <v>45871</v>
      </c>
      <c r="C2115" s="2">
        <v>45919</v>
      </c>
      <c r="D2115" s="1" t="s">
        <v>28</v>
      </c>
      <c r="E2115" s="1" t="s">
        <v>14</v>
      </c>
      <c r="F2115" s="1" t="s">
        <v>15</v>
      </c>
      <c r="G2115" s="1" t="s">
        <v>16</v>
      </c>
      <c r="H2115" s="1" t="s">
        <v>54</v>
      </c>
      <c r="I2115" s="1" t="s">
        <v>41</v>
      </c>
      <c r="J2115">
        <v>15</v>
      </c>
      <c r="K2115">
        <v>48</v>
      </c>
      <c r="L2115" s="1" t="s">
        <v>44</v>
      </c>
    </row>
    <row r="2116" spans="1:12" x14ac:dyDescent="0.3">
      <c r="A2116" s="1" t="s">
        <v>1813</v>
      </c>
      <c r="B2116" s="2">
        <v>45871</v>
      </c>
      <c r="C2116" s="2">
        <v>45906</v>
      </c>
      <c r="D2116" s="1" t="s">
        <v>37</v>
      </c>
      <c r="E2116" s="1" t="s">
        <v>24</v>
      </c>
      <c r="F2116" s="1" t="s">
        <v>38</v>
      </c>
      <c r="G2116" s="1" t="s">
        <v>16</v>
      </c>
      <c r="H2116" s="1" t="s">
        <v>39</v>
      </c>
      <c r="I2116" s="1" t="s">
        <v>26</v>
      </c>
      <c r="J2116">
        <v>30</v>
      </c>
      <c r="K2116">
        <v>35</v>
      </c>
      <c r="L2116" s="1" t="s">
        <v>21</v>
      </c>
    </row>
    <row r="2117" spans="1:12" x14ac:dyDescent="0.3">
      <c r="A2117" s="1" t="s">
        <v>669</v>
      </c>
      <c r="B2117" s="2">
        <v>45871</v>
      </c>
      <c r="C2117" s="2">
        <v>45903</v>
      </c>
      <c r="D2117" s="1" t="s">
        <v>37</v>
      </c>
      <c r="E2117" s="1" t="s">
        <v>14</v>
      </c>
      <c r="F2117" s="1" t="s">
        <v>15</v>
      </c>
      <c r="G2117" s="1" t="s">
        <v>16</v>
      </c>
      <c r="H2117" s="1" t="s">
        <v>49</v>
      </c>
      <c r="I2117" s="1" t="s">
        <v>18</v>
      </c>
      <c r="J2117">
        <v>15</v>
      </c>
      <c r="K2117">
        <v>32</v>
      </c>
      <c r="L2117" s="1" t="s">
        <v>21</v>
      </c>
    </row>
    <row r="2118" spans="1:12" x14ac:dyDescent="0.3">
      <c r="A2118" s="1" t="s">
        <v>1184</v>
      </c>
      <c r="B2118" s="2">
        <v>45871</v>
      </c>
      <c r="C2118" s="2">
        <v>45885</v>
      </c>
      <c r="D2118" s="1" t="s">
        <v>37</v>
      </c>
      <c r="E2118" s="1" t="s">
        <v>24</v>
      </c>
      <c r="F2118" s="1" t="s">
        <v>15</v>
      </c>
      <c r="G2118" s="1" t="s">
        <v>16</v>
      </c>
      <c r="H2118" s="1" t="s">
        <v>49</v>
      </c>
      <c r="I2118" s="1" t="s">
        <v>41</v>
      </c>
      <c r="J2118">
        <v>30</v>
      </c>
      <c r="K2118">
        <v>14</v>
      </c>
      <c r="L2118" s="1" t="s">
        <v>30</v>
      </c>
    </row>
    <row r="2119" spans="1:12" x14ac:dyDescent="0.3">
      <c r="A2119" s="1" t="s">
        <v>2365</v>
      </c>
      <c r="B2119" s="2">
        <v>45871</v>
      </c>
      <c r="C2119" s="2">
        <v>45911</v>
      </c>
      <c r="D2119" s="1" t="s">
        <v>13</v>
      </c>
      <c r="E2119" s="1" t="s">
        <v>14</v>
      </c>
      <c r="F2119" s="1" t="s">
        <v>15</v>
      </c>
      <c r="G2119" s="1" t="s">
        <v>16</v>
      </c>
      <c r="H2119" s="1" t="s">
        <v>17</v>
      </c>
      <c r="I2119" s="1" t="s">
        <v>26</v>
      </c>
      <c r="J2119">
        <v>15</v>
      </c>
      <c r="K2119">
        <v>40</v>
      </c>
      <c r="L2119" s="1" t="s">
        <v>21</v>
      </c>
    </row>
    <row r="2120" spans="1:12" x14ac:dyDescent="0.3">
      <c r="A2120" s="1" t="s">
        <v>2503</v>
      </c>
      <c r="B2120" s="2">
        <v>45871</v>
      </c>
      <c r="C2120" s="2">
        <v>45909</v>
      </c>
      <c r="D2120" s="1" t="s">
        <v>23</v>
      </c>
      <c r="E2120" s="1" t="s">
        <v>14</v>
      </c>
      <c r="F2120" s="1" t="s">
        <v>38</v>
      </c>
      <c r="G2120" s="1" t="s">
        <v>33</v>
      </c>
      <c r="H2120" s="1" t="s">
        <v>25</v>
      </c>
      <c r="I2120" s="1" t="s">
        <v>26</v>
      </c>
      <c r="J2120">
        <v>15</v>
      </c>
      <c r="K2120">
        <v>38</v>
      </c>
      <c r="L2120" s="1" t="s">
        <v>21</v>
      </c>
    </row>
    <row r="2121" spans="1:12" x14ac:dyDescent="0.3">
      <c r="A2121" s="1" t="s">
        <v>3127</v>
      </c>
      <c r="B2121" s="2">
        <v>45871</v>
      </c>
      <c r="C2121" s="2">
        <v>45905</v>
      </c>
      <c r="D2121" s="1" t="s">
        <v>32</v>
      </c>
      <c r="E2121" s="1" t="s">
        <v>24</v>
      </c>
      <c r="F2121" s="1" t="s">
        <v>38</v>
      </c>
      <c r="G2121" s="1" t="s">
        <v>33</v>
      </c>
      <c r="H2121" s="1" t="s">
        <v>71</v>
      </c>
      <c r="I2121" s="1" t="s">
        <v>26</v>
      </c>
      <c r="J2121">
        <v>30</v>
      </c>
      <c r="K2121">
        <v>34</v>
      </c>
      <c r="L2121" s="1" t="s">
        <v>21</v>
      </c>
    </row>
    <row r="2122" spans="1:12" x14ac:dyDescent="0.3">
      <c r="A2122" s="1" t="s">
        <v>412</v>
      </c>
      <c r="B2122" s="2">
        <v>45870</v>
      </c>
      <c r="C2122" s="2">
        <v>45874</v>
      </c>
      <c r="D2122" s="1" t="s">
        <v>23</v>
      </c>
      <c r="E2122" s="1" t="s">
        <v>24</v>
      </c>
      <c r="F2122" s="1" t="s">
        <v>15</v>
      </c>
      <c r="G2122" s="1" t="s">
        <v>16</v>
      </c>
      <c r="H2122" s="1" t="s">
        <v>25</v>
      </c>
      <c r="I2122" s="1" t="s">
        <v>26</v>
      </c>
      <c r="J2122">
        <v>45</v>
      </c>
      <c r="K2122">
        <v>4</v>
      </c>
      <c r="L2122" s="1" t="s">
        <v>30</v>
      </c>
    </row>
    <row r="2123" spans="1:12" x14ac:dyDescent="0.3">
      <c r="A2123" s="1" t="s">
        <v>2246</v>
      </c>
      <c r="B2123" s="2">
        <v>45870</v>
      </c>
      <c r="C2123" s="2">
        <v>45915</v>
      </c>
      <c r="D2123" s="1" t="s">
        <v>37</v>
      </c>
      <c r="E2123" s="1" t="s">
        <v>14</v>
      </c>
      <c r="F2123" s="1" t="s">
        <v>15</v>
      </c>
      <c r="G2123" s="1" t="s">
        <v>16</v>
      </c>
      <c r="H2123" s="1" t="s">
        <v>39</v>
      </c>
      <c r="I2123" s="1" t="s">
        <v>18</v>
      </c>
      <c r="J2123">
        <v>15</v>
      </c>
      <c r="K2123">
        <v>45</v>
      </c>
      <c r="L2123" s="1" t="s">
        <v>44</v>
      </c>
    </row>
    <row r="2124" spans="1:12" x14ac:dyDescent="0.3">
      <c r="A2124" s="1" t="s">
        <v>2409</v>
      </c>
      <c r="B2124" s="2">
        <v>45870</v>
      </c>
      <c r="C2124" s="2">
        <v>45919</v>
      </c>
      <c r="D2124" s="1" t="s">
        <v>28</v>
      </c>
      <c r="E2124" s="1" t="s">
        <v>14</v>
      </c>
      <c r="F2124" s="1" t="s">
        <v>15</v>
      </c>
      <c r="G2124" s="1" t="s">
        <v>33</v>
      </c>
      <c r="H2124" s="1" t="s">
        <v>54</v>
      </c>
      <c r="I2124" s="1" t="s">
        <v>26</v>
      </c>
      <c r="J2124">
        <v>15</v>
      </c>
      <c r="K2124">
        <v>49</v>
      </c>
      <c r="L2124" s="1" t="s">
        <v>44</v>
      </c>
    </row>
    <row r="2125" spans="1:12" x14ac:dyDescent="0.3">
      <c r="A2125" s="1" t="s">
        <v>2679</v>
      </c>
      <c r="B2125" s="2">
        <v>45870</v>
      </c>
      <c r="C2125" s="2">
        <v>45910</v>
      </c>
      <c r="D2125" s="1" t="s">
        <v>32</v>
      </c>
      <c r="E2125" s="1" t="s">
        <v>14</v>
      </c>
      <c r="F2125" s="1" t="s">
        <v>38</v>
      </c>
      <c r="G2125" s="1" t="s">
        <v>16</v>
      </c>
      <c r="H2125" s="1" t="s">
        <v>34</v>
      </c>
      <c r="I2125" s="1" t="s">
        <v>26</v>
      </c>
      <c r="J2125">
        <v>30</v>
      </c>
      <c r="K2125">
        <v>40</v>
      </c>
      <c r="L2125" s="1" t="s">
        <v>21</v>
      </c>
    </row>
    <row r="2126" spans="1:12" x14ac:dyDescent="0.3">
      <c r="A2126" s="1" t="s">
        <v>210</v>
      </c>
      <c r="B2126" s="2">
        <v>45869</v>
      </c>
      <c r="C2126" s="2">
        <v>45905</v>
      </c>
      <c r="D2126" s="1" t="s">
        <v>13</v>
      </c>
      <c r="E2126" s="1" t="s">
        <v>24</v>
      </c>
      <c r="F2126" s="1" t="s">
        <v>15</v>
      </c>
      <c r="G2126" s="1" t="s">
        <v>16</v>
      </c>
      <c r="H2126" s="1" t="s">
        <v>47</v>
      </c>
      <c r="I2126" s="1" t="s">
        <v>26</v>
      </c>
      <c r="J2126">
        <v>45</v>
      </c>
      <c r="K2126">
        <v>36</v>
      </c>
      <c r="L2126" s="1" t="s">
        <v>21</v>
      </c>
    </row>
    <row r="2127" spans="1:12" x14ac:dyDescent="0.3">
      <c r="A2127" s="1" t="s">
        <v>780</v>
      </c>
      <c r="B2127" s="2">
        <v>45869</v>
      </c>
      <c r="C2127" s="2">
        <v>45890</v>
      </c>
      <c r="D2127" s="1" t="s">
        <v>13</v>
      </c>
      <c r="E2127" s="1" t="s">
        <v>24</v>
      </c>
      <c r="F2127" s="1" t="s">
        <v>15</v>
      </c>
      <c r="G2127" s="1" t="s">
        <v>16</v>
      </c>
      <c r="H2127" s="1" t="s">
        <v>47</v>
      </c>
      <c r="I2127" s="1" t="s">
        <v>26</v>
      </c>
      <c r="J2127">
        <v>45</v>
      </c>
      <c r="K2127">
        <v>21</v>
      </c>
      <c r="L2127" s="1" t="s">
        <v>19</v>
      </c>
    </row>
    <row r="2128" spans="1:12" x14ac:dyDescent="0.3">
      <c r="A2128" s="1" t="s">
        <v>1072</v>
      </c>
      <c r="B2128" s="2">
        <v>45869</v>
      </c>
      <c r="C2128" s="2">
        <v>45915</v>
      </c>
      <c r="D2128" s="1" t="s">
        <v>32</v>
      </c>
      <c r="E2128" s="1" t="s">
        <v>14</v>
      </c>
      <c r="F2128" s="1" t="s">
        <v>38</v>
      </c>
      <c r="G2128" s="1" t="s">
        <v>16</v>
      </c>
      <c r="H2128" s="1" t="s">
        <v>34</v>
      </c>
      <c r="I2128" s="1" t="s">
        <v>26</v>
      </c>
      <c r="J2128">
        <v>15</v>
      </c>
      <c r="K2128">
        <v>46</v>
      </c>
      <c r="L2128" s="1" t="s">
        <v>44</v>
      </c>
    </row>
    <row r="2129" spans="1:12" x14ac:dyDescent="0.3">
      <c r="A2129" s="1" t="s">
        <v>1111</v>
      </c>
      <c r="B2129" s="2">
        <v>45869</v>
      </c>
      <c r="C2129" s="2">
        <v>45889</v>
      </c>
      <c r="D2129" s="1" t="s">
        <v>23</v>
      </c>
      <c r="E2129" s="1" t="s">
        <v>24</v>
      </c>
      <c r="F2129" s="1" t="s">
        <v>15</v>
      </c>
      <c r="G2129" s="1" t="s">
        <v>16</v>
      </c>
      <c r="H2129" s="1" t="s">
        <v>43</v>
      </c>
      <c r="I2129" s="1" t="s">
        <v>18</v>
      </c>
      <c r="J2129">
        <v>30</v>
      </c>
      <c r="K2129">
        <v>20</v>
      </c>
      <c r="L2129" s="1" t="s">
        <v>19</v>
      </c>
    </row>
    <row r="2130" spans="1:12" x14ac:dyDescent="0.3">
      <c r="A2130" s="1" t="s">
        <v>1536</v>
      </c>
      <c r="B2130" s="2">
        <v>45869</v>
      </c>
      <c r="C2130" s="2">
        <v>45902</v>
      </c>
      <c r="D2130" s="1" t="s">
        <v>23</v>
      </c>
      <c r="E2130" s="1" t="s">
        <v>14</v>
      </c>
      <c r="F2130" s="1" t="s">
        <v>15</v>
      </c>
      <c r="G2130" s="1" t="s">
        <v>16</v>
      </c>
      <c r="H2130" s="1" t="s">
        <v>43</v>
      </c>
      <c r="I2130" s="1" t="s">
        <v>26</v>
      </c>
      <c r="J2130">
        <v>15</v>
      </c>
      <c r="K2130">
        <v>33</v>
      </c>
      <c r="L2130" s="1" t="s">
        <v>21</v>
      </c>
    </row>
    <row r="2131" spans="1:12" x14ac:dyDescent="0.3">
      <c r="A2131" s="1" t="s">
        <v>1947</v>
      </c>
      <c r="B2131" s="2">
        <v>45869</v>
      </c>
      <c r="C2131" s="2">
        <v>45912</v>
      </c>
      <c r="D2131" s="1" t="s">
        <v>32</v>
      </c>
      <c r="E2131" s="1" t="s">
        <v>14</v>
      </c>
      <c r="F2131" s="1" t="s">
        <v>15</v>
      </c>
      <c r="G2131" s="1" t="s">
        <v>33</v>
      </c>
      <c r="H2131" s="1" t="s">
        <v>71</v>
      </c>
      <c r="I2131" s="1" t="s">
        <v>18</v>
      </c>
      <c r="J2131">
        <v>15</v>
      </c>
      <c r="K2131">
        <v>43</v>
      </c>
      <c r="L2131" s="1" t="s">
        <v>44</v>
      </c>
    </row>
    <row r="2132" spans="1:12" x14ac:dyDescent="0.3">
      <c r="A2132" s="1" t="s">
        <v>2202</v>
      </c>
      <c r="B2132" s="2">
        <v>45869</v>
      </c>
      <c r="C2132" s="2">
        <v>45909</v>
      </c>
      <c r="D2132" s="1" t="s">
        <v>32</v>
      </c>
      <c r="E2132" s="1" t="s">
        <v>24</v>
      </c>
      <c r="F2132" s="1" t="s">
        <v>15</v>
      </c>
      <c r="G2132" s="1" t="s">
        <v>33</v>
      </c>
      <c r="H2132" s="1" t="s">
        <v>34</v>
      </c>
      <c r="I2132" s="1" t="s">
        <v>26</v>
      </c>
      <c r="J2132">
        <v>30</v>
      </c>
      <c r="K2132">
        <v>40</v>
      </c>
      <c r="L2132" s="1" t="s">
        <v>21</v>
      </c>
    </row>
    <row r="2133" spans="1:12" x14ac:dyDescent="0.3">
      <c r="A2133" s="1" t="s">
        <v>1553</v>
      </c>
      <c r="B2133" s="2">
        <v>45869</v>
      </c>
      <c r="C2133" s="2">
        <v>45919</v>
      </c>
      <c r="D2133" s="1" t="s">
        <v>37</v>
      </c>
      <c r="E2133" s="1" t="s">
        <v>14</v>
      </c>
      <c r="F2133" s="1" t="s">
        <v>15</v>
      </c>
      <c r="G2133" s="1" t="s">
        <v>16</v>
      </c>
      <c r="H2133" s="1" t="s">
        <v>49</v>
      </c>
      <c r="I2133" s="1" t="s">
        <v>41</v>
      </c>
      <c r="J2133">
        <v>15</v>
      </c>
      <c r="K2133">
        <v>50</v>
      </c>
      <c r="L2133" s="1" t="s">
        <v>44</v>
      </c>
    </row>
    <row r="2134" spans="1:12" x14ac:dyDescent="0.3">
      <c r="A2134" s="1" t="s">
        <v>529</v>
      </c>
      <c r="B2134" s="2">
        <v>45869</v>
      </c>
      <c r="C2134" s="2">
        <v>45915</v>
      </c>
      <c r="D2134" s="1" t="s">
        <v>37</v>
      </c>
      <c r="E2134" s="1" t="s">
        <v>24</v>
      </c>
      <c r="F2134" s="1" t="s">
        <v>38</v>
      </c>
      <c r="G2134" s="1" t="s">
        <v>16</v>
      </c>
      <c r="H2134" s="1" t="s">
        <v>39</v>
      </c>
      <c r="I2134" s="1" t="s">
        <v>26</v>
      </c>
      <c r="J2134">
        <v>30</v>
      </c>
      <c r="K2134">
        <v>46</v>
      </c>
      <c r="L2134" s="1" t="s">
        <v>44</v>
      </c>
    </row>
    <row r="2135" spans="1:12" x14ac:dyDescent="0.3">
      <c r="A2135" s="1" t="s">
        <v>118</v>
      </c>
      <c r="B2135" s="2">
        <v>45868</v>
      </c>
      <c r="C2135" s="2">
        <v>45871</v>
      </c>
      <c r="D2135" s="1" t="s">
        <v>13</v>
      </c>
      <c r="E2135" s="1" t="s">
        <v>14</v>
      </c>
      <c r="F2135" s="1" t="s">
        <v>15</v>
      </c>
      <c r="G2135" s="1" t="s">
        <v>16</v>
      </c>
      <c r="H2135" s="1" t="s">
        <v>17</v>
      </c>
      <c r="I2135" s="1" t="s">
        <v>41</v>
      </c>
      <c r="J2135">
        <v>15</v>
      </c>
      <c r="K2135">
        <v>3</v>
      </c>
      <c r="L2135" s="1" t="s">
        <v>30</v>
      </c>
    </row>
    <row r="2136" spans="1:12" x14ac:dyDescent="0.3">
      <c r="A2136" s="1" t="s">
        <v>295</v>
      </c>
      <c r="B2136" s="2">
        <v>45868</v>
      </c>
      <c r="C2136" s="2">
        <v>45902</v>
      </c>
      <c r="D2136" s="1" t="s">
        <v>23</v>
      </c>
      <c r="E2136" s="1" t="s">
        <v>14</v>
      </c>
      <c r="F2136" s="1" t="s">
        <v>15</v>
      </c>
      <c r="G2136" s="1" t="s">
        <v>16</v>
      </c>
      <c r="H2136" s="1" t="s">
        <v>25</v>
      </c>
      <c r="I2136" s="1" t="s">
        <v>41</v>
      </c>
      <c r="J2136">
        <v>15</v>
      </c>
      <c r="K2136">
        <v>34</v>
      </c>
      <c r="L2136" s="1" t="s">
        <v>21</v>
      </c>
    </row>
    <row r="2137" spans="1:12" x14ac:dyDescent="0.3">
      <c r="A2137" s="1" t="s">
        <v>335</v>
      </c>
      <c r="B2137" s="2">
        <v>45868</v>
      </c>
      <c r="C2137" s="2">
        <v>45915</v>
      </c>
      <c r="D2137" s="1" t="s">
        <v>32</v>
      </c>
      <c r="E2137" s="1" t="s">
        <v>14</v>
      </c>
      <c r="F2137" s="1" t="s">
        <v>38</v>
      </c>
      <c r="G2137" s="1" t="s">
        <v>16</v>
      </c>
      <c r="H2137" s="1" t="s">
        <v>71</v>
      </c>
      <c r="I2137" s="1" t="s">
        <v>18</v>
      </c>
      <c r="J2137">
        <v>15</v>
      </c>
      <c r="K2137">
        <v>47</v>
      </c>
      <c r="L2137" s="1" t="s">
        <v>44</v>
      </c>
    </row>
    <row r="2138" spans="1:12" x14ac:dyDescent="0.3">
      <c r="A2138" s="1" t="s">
        <v>1187</v>
      </c>
      <c r="B2138" s="2">
        <v>45868</v>
      </c>
      <c r="C2138" s="2">
        <v>45906</v>
      </c>
      <c r="D2138" s="1" t="s">
        <v>23</v>
      </c>
      <c r="E2138" s="1" t="s">
        <v>24</v>
      </c>
      <c r="F2138" s="1" t="s">
        <v>15</v>
      </c>
      <c r="G2138" s="1" t="s">
        <v>16</v>
      </c>
      <c r="H2138" s="1" t="s">
        <v>43</v>
      </c>
      <c r="I2138" s="1" t="s">
        <v>18</v>
      </c>
      <c r="J2138">
        <v>30</v>
      </c>
      <c r="K2138">
        <v>38</v>
      </c>
      <c r="L2138" s="1" t="s">
        <v>21</v>
      </c>
    </row>
    <row r="2139" spans="1:12" x14ac:dyDescent="0.3">
      <c r="A2139" s="1" t="s">
        <v>1556</v>
      </c>
      <c r="B2139" s="2">
        <v>45868</v>
      </c>
      <c r="C2139" s="2">
        <v>45916</v>
      </c>
      <c r="D2139" s="1" t="s">
        <v>32</v>
      </c>
      <c r="E2139" s="1" t="s">
        <v>24</v>
      </c>
      <c r="F2139" s="1" t="s">
        <v>15</v>
      </c>
      <c r="G2139" s="1" t="s">
        <v>53</v>
      </c>
      <c r="H2139" s="1" t="s">
        <v>71</v>
      </c>
      <c r="I2139" s="1" t="s">
        <v>18</v>
      </c>
      <c r="J2139">
        <v>30</v>
      </c>
      <c r="K2139">
        <v>48</v>
      </c>
      <c r="L2139" s="1" t="s">
        <v>44</v>
      </c>
    </row>
    <row r="2140" spans="1:12" x14ac:dyDescent="0.3">
      <c r="A2140" s="1" t="s">
        <v>1819</v>
      </c>
      <c r="B2140" s="2">
        <v>45868</v>
      </c>
      <c r="C2140" s="2">
        <v>45898</v>
      </c>
      <c r="D2140" s="1" t="s">
        <v>28</v>
      </c>
      <c r="E2140" s="1" t="s">
        <v>24</v>
      </c>
      <c r="F2140" s="1" t="s">
        <v>15</v>
      </c>
      <c r="G2140" s="1" t="s">
        <v>16</v>
      </c>
      <c r="H2140" s="1" t="s">
        <v>29</v>
      </c>
      <c r="I2140" s="1" t="s">
        <v>26</v>
      </c>
      <c r="J2140">
        <v>30</v>
      </c>
      <c r="K2140">
        <v>30</v>
      </c>
      <c r="L2140" s="1" t="s">
        <v>21</v>
      </c>
    </row>
    <row r="2141" spans="1:12" x14ac:dyDescent="0.3">
      <c r="A2141" s="1" t="s">
        <v>2111</v>
      </c>
      <c r="B2141" s="2">
        <v>45868</v>
      </c>
      <c r="C2141" s="2">
        <v>45925</v>
      </c>
      <c r="D2141" s="1" t="s">
        <v>32</v>
      </c>
      <c r="E2141" s="1" t="s">
        <v>24</v>
      </c>
      <c r="F2141" s="1" t="s">
        <v>38</v>
      </c>
      <c r="G2141" s="1" t="s">
        <v>16</v>
      </c>
      <c r="H2141" s="1" t="s">
        <v>34</v>
      </c>
      <c r="I2141" s="1" t="s">
        <v>18</v>
      </c>
      <c r="J2141">
        <v>30</v>
      </c>
      <c r="K2141">
        <v>57</v>
      </c>
      <c r="L2141" s="1" t="s">
        <v>80</v>
      </c>
    </row>
    <row r="2142" spans="1:12" x14ac:dyDescent="0.3">
      <c r="A2142" s="1" t="s">
        <v>2692</v>
      </c>
      <c r="B2142" s="2">
        <v>45868</v>
      </c>
      <c r="C2142" s="2">
        <v>45896</v>
      </c>
      <c r="D2142" s="1" t="s">
        <v>37</v>
      </c>
      <c r="E2142" s="1" t="s">
        <v>14</v>
      </c>
      <c r="F2142" s="1" t="s">
        <v>15</v>
      </c>
      <c r="G2142" s="1" t="s">
        <v>16</v>
      </c>
      <c r="H2142" s="1" t="s">
        <v>49</v>
      </c>
      <c r="I2142" s="1" t="s">
        <v>26</v>
      </c>
      <c r="J2142">
        <v>30</v>
      </c>
      <c r="K2142">
        <v>28</v>
      </c>
      <c r="L2142" s="1" t="s">
        <v>19</v>
      </c>
    </row>
    <row r="2143" spans="1:12" x14ac:dyDescent="0.3">
      <c r="A2143" s="1" t="s">
        <v>674</v>
      </c>
      <c r="B2143" s="2">
        <v>45867</v>
      </c>
      <c r="C2143" s="2">
        <v>45885</v>
      </c>
      <c r="D2143" s="1" t="s">
        <v>28</v>
      </c>
      <c r="E2143" s="1" t="s">
        <v>24</v>
      </c>
      <c r="F2143" s="1" t="s">
        <v>15</v>
      </c>
      <c r="G2143" s="1" t="s">
        <v>33</v>
      </c>
      <c r="H2143" s="1" t="s">
        <v>54</v>
      </c>
      <c r="I2143" s="1" t="s">
        <v>26</v>
      </c>
      <c r="J2143">
        <v>30</v>
      </c>
      <c r="K2143">
        <v>18</v>
      </c>
      <c r="L2143" s="1" t="s">
        <v>19</v>
      </c>
    </row>
    <row r="2144" spans="1:12" x14ac:dyDescent="0.3">
      <c r="A2144" s="1" t="s">
        <v>688</v>
      </c>
      <c r="B2144" s="2">
        <v>45867</v>
      </c>
      <c r="C2144" s="2">
        <v>45896</v>
      </c>
      <c r="D2144" s="1" t="s">
        <v>32</v>
      </c>
      <c r="E2144" s="1" t="s">
        <v>14</v>
      </c>
      <c r="F2144" s="1" t="s">
        <v>15</v>
      </c>
      <c r="G2144" s="1" t="s">
        <v>33</v>
      </c>
      <c r="H2144" s="1" t="s">
        <v>34</v>
      </c>
      <c r="I2144" s="1" t="s">
        <v>18</v>
      </c>
      <c r="J2144">
        <v>15</v>
      </c>
      <c r="K2144">
        <v>29</v>
      </c>
      <c r="L2144" s="1" t="s">
        <v>21</v>
      </c>
    </row>
    <row r="2145" spans="1:12" x14ac:dyDescent="0.3">
      <c r="A2145" s="1" t="s">
        <v>1137</v>
      </c>
      <c r="B2145" s="2">
        <v>45867</v>
      </c>
      <c r="C2145" s="2">
        <v>45901</v>
      </c>
      <c r="D2145" s="1" t="s">
        <v>28</v>
      </c>
      <c r="E2145" s="1" t="s">
        <v>24</v>
      </c>
      <c r="F2145" s="1" t="s">
        <v>15</v>
      </c>
      <c r="G2145" s="1" t="s">
        <v>16</v>
      </c>
      <c r="H2145" s="1" t="s">
        <v>54</v>
      </c>
      <c r="I2145" s="1" t="s">
        <v>26</v>
      </c>
      <c r="J2145">
        <v>45</v>
      </c>
      <c r="K2145">
        <v>34</v>
      </c>
      <c r="L2145" s="1" t="s">
        <v>21</v>
      </c>
    </row>
    <row r="2146" spans="1:12" x14ac:dyDescent="0.3">
      <c r="A2146" s="1" t="s">
        <v>1957</v>
      </c>
      <c r="B2146" s="2">
        <v>45867</v>
      </c>
      <c r="C2146" s="2">
        <v>45878</v>
      </c>
      <c r="D2146" s="1" t="s">
        <v>32</v>
      </c>
      <c r="E2146" s="1" t="s">
        <v>24</v>
      </c>
      <c r="F2146" s="1" t="s">
        <v>15</v>
      </c>
      <c r="G2146" s="1" t="s">
        <v>16</v>
      </c>
      <c r="H2146" s="1" t="s">
        <v>71</v>
      </c>
      <c r="I2146" s="1" t="s">
        <v>26</v>
      </c>
      <c r="J2146">
        <v>30</v>
      </c>
      <c r="K2146">
        <v>11</v>
      </c>
      <c r="L2146" s="1" t="s">
        <v>30</v>
      </c>
    </row>
    <row r="2147" spans="1:12" x14ac:dyDescent="0.3">
      <c r="A2147" s="1" t="s">
        <v>2193</v>
      </c>
      <c r="B2147" s="2">
        <v>45867</v>
      </c>
      <c r="C2147" s="2">
        <v>45910</v>
      </c>
      <c r="D2147" s="1" t="s">
        <v>32</v>
      </c>
      <c r="E2147" s="1" t="s">
        <v>24</v>
      </c>
      <c r="F2147" s="1" t="s">
        <v>15</v>
      </c>
      <c r="G2147" s="1" t="s">
        <v>16</v>
      </c>
      <c r="H2147" s="1" t="s">
        <v>34</v>
      </c>
      <c r="I2147" s="1" t="s">
        <v>41</v>
      </c>
      <c r="J2147">
        <v>30</v>
      </c>
      <c r="K2147">
        <v>43</v>
      </c>
      <c r="L2147" s="1" t="s">
        <v>44</v>
      </c>
    </row>
    <row r="2148" spans="1:12" x14ac:dyDescent="0.3">
      <c r="A2148" s="1" t="s">
        <v>2389</v>
      </c>
      <c r="B2148" s="2">
        <v>45867</v>
      </c>
      <c r="C2148" s="2">
        <v>45873</v>
      </c>
      <c r="D2148" s="1" t="s">
        <v>32</v>
      </c>
      <c r="E2148" s="1" t="s">
        <v>14</v>
      </c>
      <c r="F2148" s="1" t="s">
        <v>15</v>
      </c>
      <c r="G2148" s="1" t="s">
        <v>16</v>
      </c>
      <c r="H2148" s="1" t="s">
        <v>71</v>
      </c>
      <c r="I2148" s="1" t="s">
        <v>41</v>
      </c>
      <c r="J2148">
        <v>15</v>
      </c>
      <c r="K2148">
        <v>6</v>
      </c>
      <c r="L2148" s="1" t="s">
        <v>30</v>
      </c>
    </row>
    <row r="2149" spans="1:12" x14ac:dyDescent="0.3">
      <c r="A2149" s="1" t="s">
        <v>2618</v>
      </c>
      <c r="B2149" s="2">
        <v>45867</v>
      </c>
      <c r="C2149" s="2">
        <v>45891</v>
      </c>
      <c r="D2149" s="1" t="s">
        <v>32</v>
      </c>
      <c r="E2149" s="1" t="s">
        <v>24</v>
      </c>
      <c r="F2149" s="1" t="s">
        <v>15</v>
      </c>
      <c r="G2149" s="1" t="s">
        <v>16</v>
      </c>
      <c r="H2149" s="1" t="s">
        <v>71</v>
      </c>
      <c r="I2149" s="1" t="s">
        <v>26</v>
      </c>
      <c r="J2149">
        <v>30</v>
      </c>
      <c r="K2149">
        <v>24</v>
      </c>
      <c r="L2149" s="1" t="s">
        <v>19</v>
      </c>
    </row>
    <row r="2150" spans="1:12" x14ac:dyDescent="0.3">
      <c r="A2150" s="1" t="s">
        <v>3085</v>
      </c>
      <c r="B2150" s="2">
        <v>45867</v>
      </c>
      <c r="C2150" s="2">
        <v>45901</v>
      </c>
      <c r="D2150" s="1" t="s">
        <v>32</v>
      </c>
      <c r="E2150" s="1" t="s">
        <v>14</v>
      </c>
      <c r="F2150" s="1" t="s">
        <v>15</v>
      </c>
      <c r="G2150" s="1" t="s">
        <v>16</v>
      </c>
      <c r="H2150" s="1" t="s">
        <v>71</v>
      </c>
      <c r="I2150" s="1" t="s">
        <v>41</v>
      </c>
      <c r="J2150">
        <v>15</v>
      </c>
      <c r="K2150">
        <v>34</v>
      </c>
      <c r="L2150" s="1" t="s">
        <v>21</v>
      </c>
    </row>
    <row r="2151" spans="1:12" x14ac:dyDescent="0.3">
      <c r="A2151" s="1" t="s">
        <v>1291</v>
      </c>
      <c r="B2151" s="2">
        <v>45866</v>
      </c>
      <c r="C2151" s="2">
        <v>45906</v>
      </c>
      <c r="D2151" s="1" t="s">
        <v>13</v>
      </c>
      <c r="E2151" s="1" t="s">
        <v>14</v>
      </c>
      <c r="F2151" s="1" t="s">
        <v>15</v>
      </c>
      <c r="G2151" s="1" t="s">
        <v>16</v>
      </c>
      <c r="H2151" s="1" t="s">
        <v>47</v>
      </c>
      <c r="I2151" s="1" t="s">
        <v>41</v>
      </c>
      <c r="J2151">
        <v>15</v>
      </c>
      <c r="K2151">
        <v>40</v>
      </c>
      <c r="L2151" s="1" t="s">
        <v>21</v>
      </c>
    </row>
    <row r="2152" spans="1:12" x14ac:dyDescent="0.3">
      <c r="A2152" s="1" t="s">
        <v>2125</v>
      </c>
      <c r="B2152" s="2">
        <v>45866</v>
      </c>
      <c r="C2152" s="2">
        <v>45899</v>
      </c>
      <c r="D2152" s="1" t="s">
        <v>13</v>
      </c>
      <c r="E2152" s="1" t="s">
        <v>24</v>
      </c>
      <c r="F2152" s="1" t="s">
        <v>15</v>
      </c>
      <c r="G2152" s="1" t="s">
        <v>16</v>
      </c>
      <c r="H2152" s="1" t="s">
        <v>47</v>
      </c>
      <c r="I2152" s="1" t="s">
        <v>26</v>
      </c>
      <c r="J2152">
        <v>30</v>
      </c>
      <c r="K2152">
        <v>33</v>
      </c>
      <c r="L2152" s="1" t="s">
        <v>21</v>
      </c>
    </row>
    <row r="2153" spans="1:12" x14ac:dyDescent="0.3">
      <c r="A2153" s="1" t="s">
        <v>2134</v>
      </c>
      <c r="B2153" s="2">
        <v>45866</v>
      </c>
      <c r="C2153" s="2">
        <v>45905</v>
      </c>
      <c r="D2153" s="1" t="s">
        <v>28</v>
      </c>
      <c r="E2153" s="1" t="s">
        <v>24</v>
      </c>
      <c r="F2153" s="1" t="s">
        <v>15</v>
      </c>
      <c r="G2153" s="1" t="s">
        <v>16</v>
      </c>
      <c r="H2153" s="1" t="s">
        <v>29</v>
      </c>
      <c r="I2153" s="1" t="s">
        <v>41</v>
      </c>
      <c r="J2153">
        <v>45</v>
      </c>
      <c r="K2153">
        <v>39</v>
      </c>
      <c r="L2153" s="1" t="s">
        <v>21</v>
      </c>
    </row>
    <row r="2154" spans="1:12" x14ac:dyDescent="0.3">
      <c r="A2154" s="1" t="s">
        <v>107</v>
      </c>
      <c r="B2154" s="2">
        <v>45866</v>
      </c>
      <c r="C2154" s="2">
        <v>45921</v>
      </c>
      <c r="D2154" s="1" t="s">
        <v>37</v>
      </c>
      <c r="E2154" s="1" t="s">
        <v>24</v>
      </c>
      <c r="F2154" s="1" t="s">
        <v>15</v>
      </c>
      <c r="G2154" s="1" t="s">
        <v>53</v>
      </c>
      <c r="H2154" s="1" t="s">
        <v>49</v>
      </c>
      <c r="I2154" s="1" t="s">
        <v>41</v>
      </c>
      <c r="J2154">
        <v>30</v>
      </c>
      <c r="K2154">
        <v>55</v>
      </c>
      <c r="L2154" s="1" t="s">
        <v>44</v>
      </c>
    </row>
    <row r="2155" spans="1:12" x14ac:dyDescent="0.3">
      <c r="A2155" s="1" t="s">
        <v>1430</v>
      </c>
      <c r="B2155" s="2">
        <v>45866</v>
      </c>
      <c r="C2155" s="2">
        <v>45908</v>
      </c>
      <c r="D2155" s="1" t="s">
        <v>37</v>
      </c>
      <c r="E2155" s="1" t="s">
        <v>24</v>
      </c>
      <c r="F2155" s="1" t="s">
        <v>15</v>
      </c>
      <c r="G2155" s="1" t="s">
        <v>16</v>
      </c>
      <c r="H2155" s="1" t="s">
        <v>39</v>
      </c>
      <c r="I2155" s="1" t="s">
        <v>41</v>
      </c>
      <c r="J2155">
        <v>30</v>
      </c>
      <c r="K2155">
        <v>42</v>
      </c>
      <c r="L2155" s="1" t="s">
        <v>21</v>
      </c>
    </row>
    <row r="2156" spans="1:12" x14ac:dyDescent="0.3">
      <c r="A2156" s="1" t="s">
        <v>2349</v>
      </c>
      <c r="B2156" s="2">
        <v>45866</v>
      </c>
      <c r="C2156" s="2">
        <v>45908</v>
      </c>
      <c r="D2156" s="1" t="s">
        <v>23</v>
      </c>
      <c r="E2156" s="1" t="s">
        <v>14</v>
      </c>
      <c r="F2156" s="1" t="s">
        <v>15</v>
      </c>
      <c r="G2156" s="1" t="s">
        <v>16</v>
      </c>
      <c r="H2156" s="1" t="s">
        <v>43</v>
      </c>
      <c r="I2156" s="1" t="s">
        <v>26</v>
      </c>
      <c r="J2156">
        <v>15</v>
      </c>
      <c r="K2156">
        <v>42</v>
      </c>
      <c r="L2156" s="1" t="s">
        <v>21</v>
      </c>
    </row>
    <row r="2157" spans="1:12" x14ac:dyDescent="0.3">
      <c r="A2157" s="1" t="s">
        <v>2579</v>
      </c>
      <c r="B2157" s="2">
        <v>45866</v>
      </c>
      <c r="C2157" s="2">
        <v>45910</v>
      </c>
      <c r="D2157" s="1" t="s">
        <v>32</v>
      </c>
      <c r="E2157" s="1" t="s">
        <v>14</v>
      </c>
      <c r="F2157" s="1" t="s">
        <v>15</v>
      </c>
      <c r="G2157" s="1" t="s">
        <v>33</v>
      </c>
      <c r="H2157" s="1" t="s">
        <v>71</v>
      </c>
      <c r="I2157" s="1" t="s">
        <v>18</v>
      </c>
      <c r="J2157">
        <v>15</v>
      </c>
      <c r="K2157">
        <v>44</v>
      </c>
      <c r="L2157" s="1" t="s">
        <v>44</v>
      </c>
    </row>
    <row r="2158" spans="1:12" x14ac:dyDescent="0.3">
      <c r="A2158" s="1" t="s">
        <v>2963</v>
      </c>
      <c r="B2158" s="2">
        <v>45866</v>
      </c>
      <c r="C2158" s="2">
        <v>45904</v>
      </c>
      <c r="D2158" s="1" t="s">
        <v>13</v>
      </c>
      <c r="E2158" s="1" t="s">
        <v>14</v>
      </c>
      <c r="F2158" s="1" t="s">
        <v>38</v>
      </c>
      <c r="G2158" s="1" t="s">
        <v>33</v>
      </c>
      <c r="H2158" s="1" t="s">
        <v>17</v>
      </c>
      <c r="I2158" s="1" t="s">
        <v>26</v>
      </c>
      <c r="J2158">
        <v>15</v>
      </c>
      <c r="K2158">
        <v>38</v>
      </c>
      <c r="L2158" s="1" t="s">
        <v>21</v>
      </c>
    </row>
    <row r="2159" spans="1:12" x14ac:dyDescent="0.3">
      <c r="A2159" s="1" t="s">
        <v>1446</v>
      </c>
      <c r="B2159" s="2">
        <v>45865</v>
      </c>
      <c r="C2159" s="2">
        <v>45886</v>
      </c>
      <c r="D2159" s="1" t="s">
        <v>13</v>
      </c>
      <c r="E2159" s="1" t="s">
        <v>24</v>
      </c>
      <c r="F2159" s="1" t="s">
        <v>15</v>
      </c>
      <c r="G2159" s="1" t="s">
        <v>16</v>
      </c>
      <c r="H2159" s="1" t="s">
        <v>17</v>
      </c>
      <c r="I2159" s="1" t="s">
        <v>18</v>
      </c>
      <c r="J2159">
        <v>30</v>
      </c>
      <c r="K2159">
        <v>21</v>
      </c>
      <c r="L2159" s="1" t="s">
        <v>19</v>
      </c>
    </row>
    <row r="2160" spans="1:12" x14ac:dyDescent="0.3">
      <c r="A2160" s="1" t="s">
        <v>649</v>
      </c>
      <c r="B2160" s="2">
        <v>45865</v>
      </c>
      <c r="C2160" s="2">
        <v>45950</v>
      </c>
      <c r="D2160" s="1" t="s">
        <v>37</v>
      </c>
      <c r="E2160" s="1" t="s">
        <v>24</v>
      </c>
      <c r="F2160" s="1" t="s">
        <v>15</v>
      </c>
      <c r="G2160" s="1" t="s">
        <v>16</v>
      </c>
      <c r="H2160" s="1" t="s">
        <v>39</v>
      </c>
      <c r="I2160" s="1" t="s">
        <v>26</v>
      </c>
      <c r="J2160">
        <v>30</v>
      </c>
      <c r="K2160">
        <v>85</v>
      </c>
      <c r="L2160" s="1" t="s">
        <v>80</v>
      </c>
    </row>
    <row r="2161" spans="1:12" x14ac:dyDescent="0.3">
      <c r="A2161" s="1" t="s">
        <v>2194</v>
      </c>
      <c r="B2161" s="2">
        <v>45865</v>
      </c>
      <c r="C2161" s="2">
        <v>45912</v>
      </c>
      <c r="D2161" s="1" t="s">
        <v>37</v>
      </c>
      <c r="E2161" s="1" t="s">
        <v>24</v>
      </c>
      <c r="F2161" s="1" t="s">
        <v>38</v>
      </c>
      <c r="G2161" s="1" t="s">
        <v>16</v>
      </c>
      <c r="H2161" s="1" t="s">
        <v>39</v>
      </c>
      <c r="I2161" s="1" t="s">
        <v>26</v>
      </c>
      <c r="J2161">
        <v>30</v>
      </c>
      <c r="K2161">
        <v>47</v>
      </c>
      <c r="L2161" s="1" t="s">
        <v>44</v>
      </c>
    </row>
    <row r="2162" spans="1:12" x14ac:dyDescent="0.3">
      <c r="A2162" s="1" t="s">
        <v>1546</v>
      </c>
      <c r="B2162" s="2">
        <v>45865</v>
      </c>
      <c r="C2162" s="2">
        <v>45903</v>
      </c>
      <c r="D2162" s="1" t="s">
        <v>37</v>
      </c>
      <c r="E2162" s="1" t="s">
        <v>24</v>
      </c>
      <c r="F2162" s="1" t="s">
        <v>15</v>
      </c>
      <c r="G2162" s="1" t="s">
        <v>16</v>
      </c>
      <c r="H2162" s="1" t="s">
        <v>49</v>
      </c>
      <c r="I2162" s="1" t="s">
        <v>18</v>
      </c>
      <c r="J2162">
        <v>30</v>
      </c>
      <c r="K2162">
        <v>38</v>
      </c>
      <c r="L2162" s="1" t="s">
        <v>21</v>
      </c>
    </row>
    <row r="2163" spans="1:12" x14ac:dyDescent="0.3">
      <c r="A2163" s="1" t="s">
        <v>1992</v>
      </c>
      <c r="B2163" s="2">
        <v>45865</v>
      </c>
      <c r="C2163" s="2">
        <v>45881</v>
      </c>
      <c r="D2163" s="1" t="s">
        <v>37</v>
      </c>
      <c r="E2163" s="1" t="s">
        <v>24</v>
      </c>
      <c r="F2163" s="1" t="s">
        <v>15</v>
      </c>
      <c r="G2163" s="1" t="s">
        <v>16</v>
      </c>
      <c r="H2163" s="1" t="s">
        <v>49</v>
      </c>
      <c r="I2163" s="1" t="s">
        <v>26</v>
      </c>
      <c r="J2163">
        <v>30</v>
      </c>
      <c r="K2163">
        <v>16</v>
      </c>
      <c r="L2163" s="1" t="s">
        <v>19</v>
      </c>
    </row>
    <row r="2164" spans="1:12" x14ac:dyDescent="0.3">
      <c r="A2164" s="1" t="s">
        <v>2325</v>
      </c>
      <c r="B2164" s="2">
        <v>45865</v>
      </c>
      <c r="C2164" s="2">
        <v>45905</v>
      </c>
      <c r="D2164" s="1" t="s">
        <v>28</v>
      </c>
      <c r="E2164" s="1" t="s">
        <v>14</v>
      </c>
      <c r="F2164" s="1" t="s">
        <v>15</v>
      </c>
      <c r="G2164" s="1" t="s">
        <v>53</v>
      </c>
      <c r="H2164" s="1" t="s">
        <v>29</v>
      </c>
      <c r="I2164" s="1" t="s">
        <v>26</v>
      </c>
      <c r="J2164">
        <v>15</v>
      </c>
      <c r="K2164">
        <v>40</v>
      </c>
      <c r="L2164" s="1" t="s">
        <v>21</v>
      </c>
    </row>
    <row r="2165" spans="1:12" x14ac:dyDescent="0.3">
      <c r="A2165" s="1" t="s">
        <v>2334</v>
      </c>
      <c r="B2165" s="2">
        <v>45865</v>
      </c>
      <c r="C2165" s="2">
        <v>45886</v>
      </c>
      <c r="D2165" s="1" t="s">
        <v>23</v>
      </c>
      <c r="E2165" s="1" t="s">
        <v>14</v>
      </c>
      <c r="F2165" s="1" t="s">
        <v>38</v>
      </c>
      <c r="G2165" s="1" t="s">
        <v>16</v>
      </c>
      <c r="H2165" s="1" t="s">
        <v>43</v>
      </c>
      <c r="I2165" s="1" t="s">
        <v>41</v>
      </c>
      <c r="J2165">
        <v>15</v>
      </c>
      <c r="K2165">
        <v>21</v>
      </c>
      <c r="L2165" s="1" t="s">
        <v>19</v>
      </c>
    </row>
    <row r="2166" spans="1:12" x14ac:dyDescent="0.3">
      <c r="A2166" s="1" t="s">
        <v>2568</v>
      </c>
      <c r="B2166" s="2">
        <v>45865</v>
      </c>
      <c r="C2166" s="2">
        <v>45899</v>
      </c>
      <c r="D2166" s="1" t="s">
        <v>28</v>
      </c>
      <c r="E2166" s="1" t="s">
        <v>14</v>
      </c>
      <c r="F2166" s="1" t="s">
        <v>15</v>
      </c>
      <c r="G2166" s="1" t="s">
        <v>53</v>
      </c>
      <c r="H2166" s="1" t="s">
        <v>54</v>
      </c>
      <c r="I2166" s="1" t="s">
        <v>26</v>
      </c>
      <c r="J2166">
        <v>15</v>
      </c>
      <c r="K2166">
        <v>34</v>
      </c>
      <c r="L2166" s="1" t="s">
        <v>21</v>
      </c>
    </row>
    <row r="2167" spans="1:12" x14ac:dyDescent="0.3">
      <c r="A2167" s="1" t="s">
        <v>208</v>
      </c>
      <c r="B2167" s="2">
        <v>45864</v>
      </c>
      <c r="C2167" s="2">
        <v>45882</v>
      </c>
      <c r="D2167" s="1" t="s">
        <v>13</v>
      </c>
      <c r="E2167" s="1" t="s">
        <v>14</v>
      </c>
      <c r="F2167" s="1" t="s">
        <v>15</v>
      </c>
      <c r="G2167" s="1" t="s">
        <v>16</v>
      </c>
      <c r="H2167" s="1" t="s">
        <v>47</v>
      </c>
      <c r="I2167" s="1" t="s">
        <v>26</v>
      </c>
      <c r="J2167">
        <v>30</v>
      </c>
      <c r="K2167">
        <v>18</v>
      </c>
      <c r="L2167" s="1" t="s">
        <v>19</v>
      </c>
    </row>
    <row r="2168" spans="1:12" x14ac:dyDescent="0.3">
      <c r="A2168" s="1" t="s">
        <v>567</v>
      </c>
      <c r="B2168" s="2">
        <v>45864</v>
      </c>
      <c r="C2168" s="2">
        <v>45917</v>
      </c>
      <c r="D2168" s="1" t="s">
        <v>13</v>
      </c>
      <c r="E2168" s="1" t="s">
        <v>24</v>
      </c>
      <c r="F2168" s="1" t="s">
        <v>15</v>
      </c>
      <c r="G2168" s="1" t="s">
        <v>16</v>
      </c>
      <c r="H2168" s="1" t="s">
        <v>17</v>
      </c>
      <c r="I2168" s="1" t="s">
        <v>18</v>
      </c>
      <c r="J2168">
        <v>30</v>
      </c>
      <c r="K2168">
        <v>53</v>
      </c>
      <c r="L2168" s="1" t="s">
        <v>44</v>
      </c>
    </row>
    <row r="2169" spans="1:12" x14ac:dyDescent="0.3">
      <c r="A2169" s="1" t="s">
        <v>1481</v>
      </c>
      <c r="B2169" s="2">
        <v>45864</v>
      </c>
      <c r="C2169" s="2">
        <v>45913</v>
      </c>
      <c r="D2169" s="1" t="s">
        <v>28</v>
      </c>
      <c r="E2169" s="1" t="s">
        <v>14</v>
      </c>
      <c r="F2169" s="1" t="s">
        <v>15</v>
      </c>
      <c r="G2169" s="1" t="s">
        <v>33</v>
      </c>
      <c r="H2169" s="1" t="s">
        <v>29</v>
      </c>
      <c r="I2169" s="1" t="s">
        <v>26</v>
      </c>
      <c r="J2169">
        <v>15</v>
      </c>
      <c r="K2169">
        <v>49</v>
      </c>
      <c r="L2169" s="1" t="s">
        <v>44</v>
      </c>
    </row>
    <row r="2170" spans="1:12" x14ac:dyDescent="0.3">
      <c r="A2170" s="1" t="s">
        <v>1569</v>
      </c>
      <c r="B2170" s="2">
        <v>45864</v>
      </c>
      <c r="C2170" s="2">
        <v>45878</v>
      </c>
      <c r="D2170" s="1" t="s">
        <v>23</v>
      </c>
      <c r="E2170" s="1" t="s">
        <v>24</v>
      </c>
      <c r="F2170" s="1" t="s">
        <v>15</v>
      </c>
      <c r="G2170" s="1" t="s">
        <v>16</v>
      </c>
      <c r="H2170" s="1" t="s">
        <v>25</v>
      </c>
      <c r="I2170" s="1" t="s">
        <v>26</v>
      </c>
      <c r="J2170">
        <v>30</v>
      </c>
      <c r="K2170">
        <v>14</v>
      </c>
      <c r="L2170" s="1" t="s">
        <v>30</v>
      </c>
    </row>
    <row r="2171" spans="1:12" x14ac:dyDescent="0.3">
      <c r="A2171" s="1" t="s">
        <v>1798</v>
      </c>
      <c r="B2171" s="2">
        <v>45864</v>
      </c>
      <c r="C2171" s="2">
        <v>45914</v>
      </c>
      <c r="D2171" s="1" t="s">
        <v>28</v>
      </c>
      <c r="E2171" s="1" t="s">
        <v>14</v>
      </c>
      <c r="F2171" s="1" t="s">
        <v>15</v>
      </c>
      <c r="G2171" s="1" t="s">
        <v>16</v>
      </c>
      <c r="H2171" s="1" t="s">
        <v>29</v>
      </c>
      <c r="I2171" s="1" t="s">
        <v>18</v>
      </c>
      <c r="J2171">
        <v>30</v>
      </c>
      <c r="K2171">
        <v>50</v>
      </c>
      <c r="L2171" s="1" t="s">
        <v>44</v>
      </c>
    </row>
    <row r="2172" spans="1:12" x14ac:dyDescent="0.3">
      <c r="A2172" s="1" t="s">
        <v>2058</v>
      </c>
      <c r="B2172" s="2">
        <v>45864</v>
      </c>
      <c r="C2172" s="2">
        <v>45866</v>
      </c>
      <c r="D2172" s="1" t="s">
        <v>23</v>
      </c>
      <c r="E2172" s="1" t="s">
        <v>14</v>
      </c>
      <c r="F2172" s="1" t="s">
        <v>15</v>
      </c>
      <c r="G2172" s="1" t="s">
        <v>16</v>
      </c>
      <c r="H2172" s="1" t="s">
        <v>25</v>
      </c>
      <c r="I2172" s="1" t="s">
        <v>26</v>
      </c>
      <c r="J2172">
        <v>30</v>
      </c>
      <c r="K2172">
        <v>2</v>
      </c>
      <c r="L2172" s="1" t="s">
        <v>30</v>
      </c>
    </row>
    <row r="2173" spans="1:12" x14ac:dyDescent="0.3">
      <c r="A2173" s="1" t="s">
        <v>2172</v>
      </c>
      <c r="B2173" s="2">
        <v>45864</v>
      </c>
      <c r="C2173" s="2">
        <v>45923</v>
      </c>
      <c r="D2173" s="1" t="s">
        <v>23</v>
      </c>
      <c r="E2173" s="1" t="s">
        <v>24</v>
      </c>
      <c r="F2173" s="1" t="s">
        <v>15</v>
      </c>
      <c r="G2173" s="1" t="s">
        <v>16</v>
      </c>
      <c r="H2173" s="1" t="s">
        <v>25</v>
      </c>
      <c r="I2173" s="1" t="s">
        <v>41</v>
      </c>
      <c r="J2173">
        <v>30</v>
      </c>
      <c r="K2173">
        <v>59</v>
      </c>
      <c r="L2173" s="1" t="s">
        <v>80</v>
      </c>
    </row>
    <row r="2174" spans="1:12" x14ac:dyDescent="0.3">
      <c r="A2174" s="1" t="s">
        <v>362</v>
      </c>
      <c r="B2174" s="2">
        <v>45864</v>
      </c>
      <c r="C2174" s="2">
        <v>45912</v>
      </c>
      <c r="D2174" s="1" t="s">
        <v>37</v>
      </c>
      <c r="E2174" s="1" t="s">
        <v>14</v>
      </c>
      <c r="F2174" s="1" t="s">
        <v>15</v>
      </c>
      <c r="G2174" s="1" t="s">
        <v>33</v>
      </c>
      <c r="H2174" s="1" t="s">
        <v>39</v>
      </c>
      <c r="I2174" s="1" t="s">
        <v>18</v>
      </c>
      <c r="J2174">
        <v>15</v>
      </c>
      <c r="K2174">
        <v>48</v>
      </c>
      <c r="L2174" s="1" t="s">
        <v>44</v>
      </c>
    </row>
    <row r="2175" spans="1:12" x14ac:dyDescent="0.3">
      <c r="A2175" s="1" t="s">
        <v>2594</v>
      </c>
      <c r="B2175" s="2">
        <v>45864</v>
      </c>
      <c r="C2175" s="2">
        <v>45909</v>
      </c>
      <c r="D2175" s="1" t="s">
        <v>37</v>
      </c>
      <c r="E2175" s="1" t="s">
        <v>14</v>
      </c>
      <c r="F2175" s="1" t="s">
        <v>15</v>
      </c>
      <c r="G2175" s="1" t="s">
        <v>33</v>
      </c>
      <c r="H2175" s="1" t="s">
        <v>39</v>
      </c>
      <c r="I2175" s="1" t="s">
        <v>26</v>
      </c>
      <c r="J2175">
        <v>15</v>
      </c>
      <c r="K2175">
        <v>45</v>
      </c>
      <c r="L2175" s="1" t="s">
        <v>44</v>
      </c>
    </row>
    <row r="2176" spans="1:12" x14ac:dyDescent="0.3">
      <c r="A2176" s="1" t="s">
        <v>637</v>
      </c>
      <c r="B2176" s="2">
        <v>45864</v>
      </c>
      <c r="C2176" s="2">
        <v>45903</v>
      </c>
      <c r="D2176" s="1" t="s">
        <v>37</v>
      </c>
      <c r="E2176" s="1" t="s">
        <v>14</v>
      </c>
      <c r="F2176" s="1" t="s">
        <v>15</v>
      </c>
      <c r="G2176" s="1" t="s">
        <v>16</v>
      </c>
      <c r="H2176" s="1" t="s">
        <v>49</v>
      </c>
      <c r="I2176" s="1" t="s">
        <v>41</v>
      </c>
      <c r="J2176">
        <v>15</v>
      </c>
      <c r="K2176">
        <v>39</v>
      </c>
      <c r="L2176" s="1" t="s">
        <v>21</v>
      </c>
    </row>
    <row r="2177" spans="1:12" x14ac:dyDescent="0.3">
      <c r="A2177" s="1" t="s">
        <v>445</v>
      </c>
      <c r="B2177" s="2">
        <v>45864</v>
      </c>
      <c r="C2177" s="2">
        <v>45894</v>
      </c>
      <c r="D2177" s="1" t="s">
        <v>37</v>
      </c>
      <c r="E2177" s="1" t="s">
        <v>24</v>
      </c>
      <c r="F2177" s="1" t="s">
        <v>15</v>
      </c>
      <c r="G2177" s="1" t="s">
        <v>16</v>
      </c>
      <c r="H2177" s="1" t="s">
        <v>49</v>
      </c>
      <c r="I2177" s="1" t="s">
        <v>26</v>
      </c>
      <c r="J2177">
        <v>30</v>
      </c>
      <c r="K2177">
        <v>30</v>
      </c>
      <c r="L2177" s="1" t="s">
        <v>21</v>
      </c>
    </row>
    <row r="2178" spans="1:12" x14ac:dyDescent="0.3">
      <c r="A2178" s="1" t="s">
        <v>1477</v>
      </c>
      <c r="B2178" s="2">
        <v>45864</v>
      </c>
      <c r="C2178" s="2">
        <v>45890</v>
      </c>
      <c r="D2178" s="1" t="s">
        <v>37</v>
      </c>
      <c r="E2178" s="1" t="s">
        <v>24</v>
      </c>
      <c r="F2178" s="1" t="s">
        <v>15</v>
      </c>
      <c r="G2178" s="1" t="s">
        <v>16</v>
      </c>
      <c r="H2178" s="1" t="s">
        <v>49</v>
      </c>
      <c r="I2178" s="1" t="s">
        <v>26</v>
      </c>
      <c r="J2178">
        <v>30</v>
      </c>
      <c r="K2178">
        <v>26</v>
      </c>
      <c r="L2178" s="1" t="s">
        <v>19</v>
      </c>
    </row>
    <row r="2179" spans="1:12" x14ac:dyDescent="0.3">
      <c r="A2179" s="1" t="s">
        <v>2526</v>
      </c>
      <c r="B2179" s="2">
        <v>45864</v>
      </c>
      <c r="C2179" s="2">
        <v>45873</v>
      </c>
      <c r="D2179" s="1" t="s">
        <v>37</v>
      </c>
      <c r="E2179" s="1" t="s">
        <v>14</v>
      </c>
      <c r="F2179" s="1" t="s">
        <v>15</v>
      </c>
      <c r="G2179" s="1" t="s">
        <v>16</v>
      </c>
      <c r="H2179" s="1" t="s">
        <v>39</v>
      </c>
      <c r="I2179" s="1" t="s">
        <v>41</v>
      </c>
      <c r="J2179">
        <v>15</v>
      </c>
      <c r="K2179">
        <v>9</v>
      </c>
      <c r="L2179" s="1" t="s">
        <v>30</v>
      </c>
    </row>
    <row r="2180" spans="1:12" x14ac:dyDescent="0.3">
      <c r="A2180" s="1" t="s">
        <v>2313</v>
      </c>
      <c r="B2180" s="2">
        <v>45864</v>
      </c>
      <c r="C2180" s="2">
        <v>45881</v>
      </c>
      <c r="D2180" s="1" t="s">
        <v>32</v>
      </c>
      <c r="E2180" s="1" t="s">
        <v>24</v>
      </c>
      <c r="F2180" s="1" t="s">
        <v>15</v>
      </c>
      <c r="G2180" s="1" t="s">
        <v>16</v>
      </c>
      <c r="H2180" s="1" t="s">
        <v>34</v>
      </c>
      <c r="I2180" s="1" t="s">
        <v>26</v>
      </c>
      <c r="J2180">
        <v>30</v>
      </c>
      <c r="K2180">
        <v>17</v>
      </c>
      <c r="L2180" s="1" t="s">
        <v>19</v>
      </c>
    </row>
    <row r="2181" spans="1:12" x14ac:dyDescent="0.3">
      <c r="A2181" s="1" t="s">
        <v>2630</v>
      </c>
      <c r="B2181" s="2">
        <v>45864</v>
      </c>
      <c r="C2181" s="2">
        <v>45934</v>
      </c>
      <c r="D2181" s="1" t="s">
        <v>23</v>
      </c>
      <c r="E2181" s="1" t="s">
        <v>14</v>
      </c>
      <c r="F2181" s="1" t="s">
        <v>15</v>
      </c>
      <c r="G2181" s="1" t="s">
        <v>16</v>
      </c>
      <c r="H2181" s="1" t="s">
        <v>25</v>
      </c>
      <c r="I2181" s="1" t="s">
        <v>26</v>
      </c>
      <c r="J2181">
        <v>15</v>
      </c>
      <c r="K2181">
        <v>70</v>
      </c>
      <c r="L2181" s="1" t="s">
        <v>80</v>
      </c>
    </row>
    <row r="2182" spans="1:12" x14ac:dyDescent="0.3">
      <c r="A2182" s="1" t="s">
        <v>2970</v>
      </c>
      <c r="B2182" s="2">
        <v>45864</v>
      </c>
      <c r="C2182" s="2">
        <v>45880</v>
      </c>
      <c r="D2182" s="1" t="s">
        <v>32</v>
      </c>
      <c r="E2182" s="1" t="s">
        <v>24</v>
      </c>
      <c r="F2182" s="1" t="s">
        <v>15</v>
      </c>
      <c r="G2182" s="1" t="s">
        <v>16</v>
      </c>
      <c r="H2182" s="1" t="s">
        <v>71</v>
      </c>
      <c r="I2182" s="1" t="s">
        <v>41</v>
      </c>
      <c r="J2182">
        <v>30</v>
      </c>
      <c r="K2182">
        <v>16</v>
      </c>
      <c r="L2182" s="1" t="s">
        <v>19</v>
      </c>
    </row>
    <row r="2183" spans="1:12" x14ac:dyDescent="0.3">
      <c r="A2183" s="1" t="s">
        <v>379</v>
      </c>
      <c r="B2183" s="2">
        <v>45863</v>
      </c>
      <c r="C2183" s="2">
        <v>45906</v>
      </c>
      <c r="D2183" s="1" t="s">
        <v>28</v>
      </c>
      <c r="E2183" s="1" t="s">
        <v>14</v>
      </c>
      <c r="F2183" s="1" t="s">
        <v>15</v>
      </c>
      <c r="G2183" s="1" t="s">
        <v>16</v>
      </c>
      <c r="H2183" s="1" t="s">
        <v>29</v>
      </c>
      <c r="I2183" s="1" t="s">
        <v>26</v>
      </c>
      <c r="J2183">
        <v>15</v>
      </c>
      <c r="K2183">
        <v>43</v>
      </c>
      <c r="L2183" s="1" t="s">
        <v>44</v>
      </c>
    </row>
    <row r="2184" spans="1:12" x14ac:dyDescent="0.3">
      <c r="A2184" s="1" t="s">
        <v>596</v>
      </c>
      <c r="B2184" s="2">
        <v>45863</v>
      </c>
      <c r="C2184" s="2">
        <v>45901</v>
      </c>
      <c r="D2184" s="1" t="s">
        <v>28</v>
      </c>
      <c r="E2184" s="1" t="s">
        <v>14</v>
      </c>
      <c r="F2184" s="1" t="s">
        <v>15</v>
      </c>
      <c r="G2184" s="1" t="s">
        <v>16</v>
      </c>
      <c r="H2184" s="1" t="s">
        <v>29</v>
      </c>
      <c r="I2184" s="1" t="s">
        <v>41</v>
      </c>
      <c r="J2184">
        <v>15</v>
      </c>
      <c r="K2184">
        <v>38</v>
      </c>
      <c r="L2184" s="1" t="s">
        <v>21</v>
      </c>
    </row>
    <row r="2185" spans="1:12" x14ac:dyDescent="0.3">
      <c r="A2185" s="1" t="s">
        <v>1030</v>
      </c>
      <c r="B2185" s="2">
        <v>45863</v>
      </c>
      <c r="C2185" s="2">
        <v>45934</v>
      </c>
      <c r="D2185" s="1" t="s">
        <v>13</v>
      </c>
      <c r="E2185" s="1" t="s">
        <v>14</v>
      </c>
      <c r="F2185" s="1" t="s">
        <v>15</v>
      </c>
      <c r="G2185" s="1" t="s">
        <v>16</v>
      </c>
      <c r="H2185" s="1" t="s">
        <v>17</v>
      </c>
      <c r="I2185" s="1" t="s">
        <v>41</v>
      </c>
      <c r="J2185">
        <v>15</v>
      </c>
      <c r="K2185">
        <v>71</v>
      </c>
      <c r="L2185" s="1" t="s">
        <v>80</v>
      </c>
    </row>
    <row r="2186" spans="1:12" x14ac:dyDescent="0.3">
      <c r="A2186" s="1" t="s">
        <v>1219</v>
      </c>
      <c r="B2186" s="2">
        <v>45863</v>
      </c>
      <c r="C2186" s="2">
        <v>45881</v>
      </c>
      <c r="D2186" s="1" t="s">
        <v>23</v>
      </c>
      <c r="E2186" s="1" t="s">
        <v>14</v>
      </c>
      <c r="F2186" s="1" t="s">
        <v>15</v>
      </c>
      <c r="G2186" s="1" t="s">
        <v>16</v>
      </c>
      <c r="H2186" s="1" t="s">
        <v>43</v>
      </c>
      <c r="I2186" s="1" t="s">
        <v>26</v>
      </c>
      <c r="J2186">
        <v>15</v>
      </c>
      <c r="K2186">
        <v>18</v>
      </c>
      <c r="L2186" s="1" t="s">
        <v>19</v>
      </c>
    </row>
    <row r="2187" spans="1:12" x14ac:dyDescent="0.3">
      <c r="A2187" s="1" t="s">
        <v>1618</v>
      </c>
      <c r="B2187" s="2">
        <v>45863</v>
      </c>
      <c r="C2187" s="2">
        <v>45877</v>
      </c>
      <c r="D2187" s="1" t="s">
        <v>13</v>
      </c>
      <c r="E2187" s="1" t="s">
        <v>14</v>
      </c>
      <c r="F2187" s="1" t="s">
        <v>15</v>
      </c>
      <c r="G2187" s="1" t="s">
        <v>16</v>
      </c>
      <c r="H2187" s="1" t="s">
        <v>47</v>
      </c>
      <c r="I2187" s="1" t="s">
        <v>18</v>
      </c>
      <c r="J2187">
        <v>30</v>
      </c>
      <c r="K2187">
        <v>14</v>
      </c>
      <c r="L2187" s="1" t="s">
        <v>30</v>
      </c>
    </row>
    <row r="2188" spans="1:12" x14ac:dyDescent="0.3">
      <c r="A2188" s="1" t="s">
        <v>1628</v>
      </c>
      <c r="B2188" s="2">
        <v>45863</v>
      </c>
      <c r="C2188" s="2">
        <v>45904</v>
      </c>
      <c r="D2188" s="1" t="s">
        <v>13</v>
      </c>
      <c r="E2188" s="1" t="s">
        <v>14</v>
      </c>
      <c r="F2188" s="1" t="s">
        <v>15</v>
      </c>
      <c r="G2188" s="1" t="s">
        <v>16</v>
      </c>
      <c r="H2188" s="1" t="s">
        <v>47</v>
      </c>
      <c r="I2188" s="1" t="s">
        <v>26</v>
      </c>
      <c r="J2188">
        <v>15</v>
      </c>
      <c r="K2188">
        <v>41</v>
      </c>
      <c r="L2188" s="1" t="s">
        <v>21</v>
      </c>
    </row>
    <row r="2189" spans="1:12" x14ac:dyDescent="0.3">
      <c r="A2189" s="1" t="s">
        <v>1646</v>
      </c>
      <c r="B2189" s="2">
        <v>45863</v>
      </c>
      <c r="C2189" s="2">
        <v>45910</v>
      </c>
      <c r="D2189" s="1" t="s">
        <v>28</v>
      </c>
      <c r="E2189" s="1" t="s">
        <v>24</v>
      </c>
      <c r="F2189" s="1" t="s">
        <v>15</v>
      </c>
      <c r="G2189" s="1" t="s">
        <v>16</v>
      </c>
      <c r="H2189" s="1" t="s">
        <v>54</v>
      </c>
      <c r="I2189" s="1" t="s">
        <v>26</v>
      </c>
      <c r="J2189">
        <v>45</v>
      </c>
      <c r="K2189">
        <v>47</v>
      </c>
      <c r="L2189" s="1" t="s">
        <v>44</v>
      </c>
    </row>
    <row r="2190" spans="1:12" x14ac:dyDescent="0.3">
      <c r="A2190" s="1" t="s">
        <v>2209</v>
      </c>
      <c r="B2190" s="2">
        <v>45863</v>
      </c>
      <c r="C2190" s="2">
        <v>45902</v>
      </c>
      <c r="D2190" s="1" t="s">
        <v>37</v>
      </c>
      <c r="E2190" s="1" t="s">
        <v>24</v>
      </c>
      <c r="F2190" s="1" t="s">
        <v>15</v>
      </c>
      <c r="G2190" s="1" t="s">
        <v>16</v>
      </c>
      <c r="H2190" s="1" t="s">
        <v>49</v>
      </c>
      <c r="I2190" s="1" t="s">
        <v>18</v>
      </c>
      <c r="J2190">
        <v>30</v>
      </c>
      <c r="K2190">
        <v>39</v>
      </c>
      <c r="L2190" s="1" t="s">
        <v>21</v>
      </c>
    </row>
    <row r="2191" spans="1:12" x14ac:dyDescent="0.3">
      <c r="A2191" s="1" t="s">
        <v>1010</v>
      </c>
      <c r="B2191" s="2">
        <v>45863</v>
      </c>
      <c r="C2191" s="2">
        <v>45891</v>
      </c>
      <c r="D2191" s="1" t="s">
        <v>37</v>
      </c>
      <c r="E2191" s="1" t="s">
        <v>24</v>
      </c>
      <c r="F2191" s="1" t="s">
        <v>15</v>
      </c>
      <c r="G2191" s="1" t="s">
        <v>16</v>
      </c>
      <c r="H2191" s="1" t="s">
        <v>49</v>
      </c>
      <c r="I2191" s="1" t="s">
        <v>26</v>
      </c>
      <c r="J2191">
        <v>30</v>
      </c>
      <c r="K2191">
        <v>28</v>
      </c>
      <c r="L2191" s="1" t="s">
        <v>19</v>
      </c>
    </row>
    <row r="2192" spans="1:12" x14ac:dyDescent="0.3">
      <c r="A2192" s="1" t="s">
        <v>2314</v>
      </c>
      <c r="B2192" s="2">
        <v>45863</v>
      </c>
      <c r="C2192" s="2">
        <v>45936</v>
      </c>
      <c r="D2192" s="1" t="s">
        <v>32</v>
      </c>
      <c r="E2192" s="1" t="s">
        <v>14</v>
      </c>
      <c r="F2192" s="1" t="s">
        <v>15</v>
      </c>
      <c r="G2192" s="1" t="s">
        <v>16</v>
      </c>
      <c r="H2192" s="1" t="s">
        <v>34</v>
      </c>
      <c r="I2192" s="1" t="s">
        <v>18</v>
      </c>
      <c r="J2192">
        <v>15</v>
      </c>
      <c r="K2192">
        <v>73</v>
      </c>
      <c r="L2192" s="1" t="s">
        <v>80</v>
      </c>
    </row>
    <row r="2193" spans="1:12" x14ac:dyDescent="0.3">
      <c r="A2193" s="1" t="s">
        <v>350</v>
      </c>
      <c r="B2193" s="2">
        <v>45862</v>
      </c>
      <c r="C2193" s="2">
        <v>45890</v>
      </c>
      <c r="D2193" s="1" t="s">
        <v>23</v>
      </c>
      <c r="E2193" s="1" t="s">
        <v>14</v>
      </c>
      <c r="F2193" s="1" t="s">
        <v>15</v>
      </c>
      <c r="G2193" s="1" t="s">
        <v>33</v>
      </c>
      <c r="H2193" s="1" t="s">
        <v>25</v>
      </c>
      <c r="I2193" s="1" t="s">
        <v>26</v>
      </c>
      <c r="J2193">
        <v>15</v>
      </c>
      <c r="K2193">
        <v>28</v>
      </c>
      <c r="L2193" s="1" t="s">
        <v>19</v>
      </c>
    </row>
    <row r="2194" spans="1:12" x14ac:dyDescent="0.3">
      <c r="A2194" s="1" t="s">
        <v>409</v>
      </c>
      <c r="B2194" s="2">
        <v>45862</v>
      </c>
      <c r="C2194" s="2">
        <v>45878</v>
      </c>
      <c r="D2194" s="1" t="s">
        <v>32</v>
      </c>
      <c r="E2194" s="1" t="s">
        <v>24</v>
      </c>
      <c r="F2194" s="1" t="s">
        <v>15</v>
      </c>
      <c r="G2194" s="1" t="s">
        <v>16</v>
      </c>
      <c r="H2194" s="1" t="s">
        <v>71</v>
      </c>
      <c r="I2194" s="1" t="s">
        <v>18</v>
      </c>
      <c r="J2194">
        <v>30</v>
      </c>
      <c r="K2194">
        <v>16</v>
      </c>
      <c r="L2194" s="1" t="s">
        <v>19</v>
      </c>
    </row>
    <row r="2195" spans="1:12" x14ac:dyDescent="0.3">
      <c r="A2195" s="1" t="s">
        <v>489</v>
      </c>
      <c r="B2195" s="2">
        <v>45862</v>
      </c>
      <c r="C2195" s="2">
        <v>45895</v>
      </c>
      <c r="D2195" s="1" t="s">
        <v>23</v>
      </c>
      <c r="E2195" s="1" t="s">
        <v>24</v>
      </c>
      <c r="F2195" s="1" t="s">
        <v>15</v>
      </c>
      <c r="G2195" s="1" t="s">
        <v>16</v>
      </c>
      <c r="H2195" s="1" t="s">
        <v>43</v>
      </c>
      <c r="I2195" s="1" t="s">
        <v>26</v>
      </c>
      <c r="J2195">
        <v>30</v>
      </c>
      <c r="K2195">
        <v>33</v>
      </c>
      <c r="L2195" s="1" t="s">
        <v>21</v>
      </c>
    </row>
    <row r="2196" spans="1:12" x14ac:dyDescent="0.3">
      <c r="A2196" s="1" t="s">
        <v>790</v>
      </c>
      <c r="B2196" s="2">
        <v>45862</v>
      </c>
      <c r="C2196" s="2">
        <v>45897</v>
      </c>
      <c r="D2196" s="1" t="s">
        <v>32</v>
      </c>
      <c r="E2196" s="1" t="s">
        <v>14</v>
      </c>
      <c r="F2196" s="1" t="s">
        <v>15</v>
      </c>
      <c r="G2196" s="1" t="s">
        <v>16</v>
      </c>
      <c r="H2196" s="1" t="s">
        <v>34</v>
      </c>
      <c r="I2196" s="1" t="s">
        <v>26</v>
      </c>
      <c r="J2196">
        <v>15</v>
      </c>
      <c r="K2196">
        <v>35</v>
      </c>
      <c r="L2196" s="1" t="s">
        <v>21</v>
      </c>
    </row>
    <row r="2197" spans="1:12" x14ac:dyDescent="0.3">
      <c r="A2197" s="1" t="s">
        <v>841</v>
      </c>
      <c r="B2197" s="2">
        <v>45862</v>
      </c>
      <c r="C2197" s="2">
        <v>45918</v>
      </c>
      <c r="D2197" s="1" t="s">
        <v>23</v>
      </c>
      <c r="E2197" s="1" t="s">
        <v>14</v>
      </c>
      <c r="F2197" s="1" t="s">
        <v>15</v>
      </c>
      <c r="G2197" s="1" t="s">
        <v>16</v>
      </c>
      <c r="H2197" s="1" t="s">
        <v>43</v>
      </c>
      <c r="I2197" s="1" t="s">
        <v>26</v>
      </c>
      <c r="J2197">
        <v>15</v>
      </c>
      <c r="K2197">
        <v>56</v>
      </c>
      <c r="L2197" s="1" t="s">
        <v>44</v>
      </c>
    </row>
    <row r="2198" spans="1:12" x14ac:dyDescent="0.3">
      <c r="A2198" s="1" t="s">
        <v>1056</v>
      </c>
      <c r="B2198" s="2">
        <v>45862</v>
      </c>
      <c r="C2198" s="2">
        <v>45900</v>
      </c>
      <c r="D2198" s="1" t="s">
        <v>28</v>
      </c>
      <c r="E2198" s="1" t="s">
        <v>14</v>
      </c>
      <c r="F2198" s="1" t="s">
        <v>15</v>
      </c>
      <c r="G2198" s="1" t="s">
        <v>16</v>
      </c>
      <c r="H2198" s="1" t="s">
        <v>29</v>
      </c>
      <c r="I2198" s="1" t="s">
        <v>18</v>
      </c>
      <c r="J2198">
        <v>15</v>
      </c>
      <c r="K2198">
        <v>38</v>
      </c>
      <c r="L2198" s="1" t="s">
        <v>21</v>
      </c>
    </row>
    <row r="2199" spans="1:12" x14ac:dyDescent="0.3">
      <c r="A2199" s="1" t="s">
        <v>1076</v>
      </c>
      <c r="B2199" s="2">
        <v>45862</v>
      </c>
      <c r="C2199" s="2">
        <v>45909</v>
      </c>
      <c r="D2199" s="1" t="s">
        <v>23</v>
      </c>
      <c r="E2199" s="1" t="s">
        <v>24</v>
      </c>
      <c r="F2199" s="1" t="s">
        <v>15</v>
      </c>
      <c r="G2199" s="1" t="s">
        <v>16</v>
      </c>
      <c r="H2199" s="1" t="s">
        <v>25</v>
      </c>
      <c r="I2199" s="1" t="s">
        <v>26</v>
      </c>
      <c r="J2199">
        <v>30</v>
      </c>
      <c r="K2199">
        <v>47</v>
      </c>
      <c r="L2199" s="1" t="s">
        <v>44</v>
      </c>
    </row>
    <row r="2200" spans="1:12" x14ac:dyDescent="0.3">
      <c r="A2200" s="1" t="s">
        <v>2909</v>
      </c>
      <c r="B2200" s="2">
        <v>45862</v>
      </c>
      <c r="C2200" s="2">
        <v>45900</v>
      </c>
      <c r="D2200" s="1" t="s">
        <v>37</v>
      </c>
      <c r="E2200" s="1" t="s">
        <v>14</v>
      </c>
      <c r="F2200" s="1" t="s">
        <v>15</v>
      </c>
      <c r="G2200" s="1" t="s">
        <v>16</v>
      </c>
      <c r="H2200" s="1" t="s">
        <v>39</v>
      </c>
      <c r="I2200" s="1" t="s">
        <v>41</v>
      </c>
      <c r="J2200">
        <v>15</v>
      </c>
      <c r="K2200">
        <v>38</v>
      </c>
      <c r="L2200" s="1" t="s">
        <v>21</v>
      </c>
    </row>
    <row r="2201" spans="1:12" x14ac:dyDescent="0.3">
      <c r="A2201" s="1" t="s">
        <v>3140</v>
      </c>
      <c r="B2201" s="2">
        <v>45862</v>
      </c>
      <c r="C2201" s="2">
        <v>45898</v>
      </c>
      <c r="D2201" s="1" t="s">
        <v>37</v>
      </c>
      <c r="E2201" s="1" t="s">
        <v>14</v>
      </c>
      <c r="F2201" s="1" t="s">
        <v>15</v>
      </c>
      <c r="G2201" s="1" t="s">
        <v>16</v>
      </c>
      <c r="H2201" s="1" t="s">
        <v>39</v>
      </c>
      <c r="I2201" s="1" t="s">
        <v>18</v>
      </c>
      <c r="J2201">
        <v>15</v>
      </c>
      <c r="K2201">
        <v>36</v>
      </c>
      <c r="L2201" s="1" t="s">
        <v>21</v>
      </c>
    </row>
    <row r="2202" spans="1:12" x14ac:dyDescent="0.3">
      <c r="A2202" s="1" t="s">
        <v>2476</v>
      </c>
      <c r="B2202" s="2">
        <v>45862</v>
      </c>
      <c r="C2202" s="2">
        <v>45884</v>
      </c>
      <c r="D2202" s="1" t="s">
        <v>13</v>
      </c>
      <c r="E2202" s="1" t="s">
        <v>14</v>
      </c>
      <c r="F2202" s="1" t="s">
        <v>15</v>
      </c>
      <c r="G2202" s="1" t="s">
        <v>16</v>
      </c>
      <c r="H2202" s="1" t="s">
        <v>17</v>
      </c>
      <c r="I2202" s="1" t="s">
        <v>41</v>
      </c>
      <c r="J2202">
        <v>15</v>
      </c>
      <c r="K2202">
        <v>22</v>
      </c>
      <c r="L2202" s="1" t="s">
        <v>19</v>
      </c>
    </row>
    <row r="2203" spans="1:12" x14ac:dyDescent="0.3">
      <c r="A2203" s="1" t="s">
        <v>3206</v>
      </c>
      <c r="B2203" s="2">
        <v>45862</v>
      </c>
      <c r="C2203" s="2">
        <v>45890</v>
      </c>
      <c r="D2203" s="1" t="s">
        <v>28</v>
      </c>
      <c r="E2203" s="1" t="s">
        <v>24</v>
      </c>
      <c r="F2203" s="1" t="s">
        <v>15</v>
      </c>
      <c r="G2203" s="1" t="s">
        <v>53</v>
      </c>
      <c r="H2203" s="1" t="s">
        <v>54</v>
      </c>
      <c r="I2203" s="1" t="s">
        <v>41</v>
      </c>
      <c r="J2203">
        <v>30</v>
      </c>
      <c r="K2203">
        <v>28</v>
      </c>
      <c r="L2203" s="1" t="s">
        <v>19</v>
      </c>
    </row>
    <row r="2204" spans="1:12" x14ac:dyDescent="0.3">
      <c r="A2204" s="1" t="s">
        <v>129</v>
      </c>
      <c r="B2204" s="2">
        <v>45861</v>
      </c>
      <c r="C2204" s="2">
        <v>45917</v>
      </c>
      <c r="D2204" s="1" t="s">
        <v>23</v>
      </c>
      <c r="E2204" s="1" t="s">
        <v>14</v>
      </c>
      <c r="F2204" s="1" t="s">
        <v>38</v>
      </c>
      <c r="G2204" s="1" t="s">
        <v>16</v>
      </c>
      <c r="H2204" s="1" t="s">
        <v>25</v>
      </c>
      <c r="I2204" s="1" t="s">
        <v>41</v>
      </c>
      <c r="J2204">
        <v>15</v>
      </c>
      <c r="K2204">
        <v>56</v>
      </c>
      <c r="L2204" s="1" t="s">
        <v>44</v>
      </c>
    </row>
    <row r="2205" spans="1:12" x14ac:dyDescent="0.3">
      <c r="A2205" s="1" t="s">
        <v>791</v>
      </c>
      <c r="B2205" s="2">
        <v>45861</v>
      </c>
      <c r="C2205" s="2">
        <v>45919</v>
      </c>
      <c r="D2205" s="1" t="s">
        <v>32</v>
      </c>
      <c r="E2205" s="1" t="s">
        <v>14</v>
      </c>
      <c r="F2205" s="1" t="s">
        <v>38</v>
      </c>
      <c r="G2205" s="1" t="s">
        <v>16</v>
      </c>
      <c r="H2205" s="1" t="s">
        <v>34</v>
      </c>
      <c r="I2205" s="1" t="s">
        <v>26</v>
      </c>
      <c r="J2205">
        <v>15</v>
      </c>
      <c r="K2205">
        <v>58</v>
      </c>
      <c r="L2205" s="1" t="s">
        <v>80</v>
      </c>
    </row>
    <row r="2206" spans="1:12" x14ac:dyDescent="0.3">
      <c r="A2206" s="1" t="s">
        <v>1102</v>
      </c>
      <c r="B2206" s="2">
        <v>45861</v>
      </c>
      <c r="C2206" s="2">
        <v>45925</v>
      </c>
      <c r="D2206" s="1" t="s">
        <v>13</v>
      </c>
      <c r="E2206" s="1" t="s">
        <v>14</v>
      </c>
      <c r="F2206" s="1" t="s">
        <v>15</v>
      </c>
      <c r="G2206" s="1" t="s">
        <v>16</v>
      </c>
      <c r="H2206" s="1" t="s">
        <v>17</v>
      </c>
      <c r="I2206" s="1" t="s">
        <v>26</v>
      </c>
      <c r="J2206">
        <v>30</v>
      </c>
      <c r="K2206">
        <v>64</v>
      </c>
      <c r="L2206" s="1" t="s">
        <v>80</v>
      </c>
    </row>
    <row r="2207" spans="1:12" x14ac:dyDescent="0.3">
      <c r="A2207" s="1" t="s">
        <v>1504</v>
      </c>
      <c r="B2207" s="2">
        <v>45861</v>
      </c>
      <c r="C2207" s="2">
        <v>45923</v>
      </c>
      <c r="D2207" s="1" t="s">
        <v>32</v>
      </c>
      <c r="E2207" s="1" t="s">
        <v>24</v>
      </c>
      <c r="F2207" s="1" t="s">
        <v>15</v>
      </c>
      <c r="G2207" s="1" t="s">
        <v>16</v>
      </c>
      <c r="H2207" s="1" t="s">
        <v>34</v>
      </c>
      <c r="I2207" s="1" t="s">
        <v>26</v>
      </c>
      <c r="J2207">
        <v>30</v>
      </c>
      <c r="K2207">
        <v>62</v>
      </c>
      <c r="L2207" s="1" t="s">
        <v>80</v>
      </c>
    </row>
    <row r="2208" spans="1:12" x14ac:dyDescent="0.3">
      <c r="A2208" s="1" t="s">
        <v>1863</v>
      </c>
      <c r="B2208" s="2">
        <v>45861</v>
      </c>
      <c r="C2208" s="2">
        <v>45900</v>
      </c>
      <c r="D2208" s="1" t="s">
        <v>32</v>
      </c>
      <c r="E2208" s="1" t="s">
        <v>14</v>
      </c>
      <c r="F2208" s="1" t="s">
        <v>15</v>
      </c>
      <c r="G2208" s="1" t="s">
        <v>16</v>
      </c>
      <c r="H2208" s="1" t="s">
        <v>71</v>
      </c>
      <c r="I2208" s="1" t="s">
        <v>41</v>
      </c>
      <c r="J2208">
        <v>15</v>
      </c>
      <c r="K2208">
        <v>39</v>
      </c>
      <c r="L2208" s="1" t="s">
        <v>21</v>
      </c>
    </row>
    <row r="2209" spans="1:12" x14ac:dyDescent="0.3">
      <c r="A2209" s="1" t="s">
        <v>2850</v>
      </c>
      <c r="B2209" s="2">
        <v>45861</v>
      </c>
      <c r="C2209" s="2">
        <v>45892</v>
      </c>
      <c r="D2209" s="1" t="s">
        <v>37</v>
      </c>
      <c r="E2209" s="1" t="s">
        <v>24</v>
      </c>
      <c r="F2209" s="1" t="s">
        <v>15</v>
      </c>
      <c r="G2209" s="1" t="s">
        <v>16</v>
      </c>
      <c r="H2209" s="1" t="s">
        <v>39</v>
      </c>
      <c r="I2209" s="1" t="s">
        <v>26</v>
      </c>
      <c r="J2209">
        <v>30</v>
      </c>
      <c r="K2209">
        <v>31</v>
      </c>
      <c r="L2209" s="1" t="s">
        <v>21</v>
      </c>
    </row>
    <row r="2210" spans="1:12" x14ac:dyDescent="0.3">
      <c r="A2210" s="1" t="s">
        <v>2823</v>
      </c>
      <c r="B2210" s="2">
        <v>45861</v>
      </c>
      <c r="C2210" s="2">
        <v>45863</v>
      </c>
      <c r="D2210" s="1" t="s">
        <v>23</v>
      </c>
      <c r="E2210" s="1" t="s">
        <v>14</v>
      </c>
      <c r="F2210" s="1" t="s">
        <v>15</v>
      </c>
      <c r="G2210" s="1" t="s">
        <v>16</v>
      </c>
      <c r="H2210" s="1" t="s">
        <v>43</v>
      </c>
      <c r="I2210" s="1" t="s">
        <v>18</v>
      </c>
      <c r="J2210">
        <v>30</v>
      </c>
      <c r="K2210">
        <v>2</v>
      </c>
      <c r="L2210" s="1" t="s">
        <v>30</v>
      </c>
    </row>
    <row r="2211" spans="1:12" x14ac:dyDescent="0.3">
      <c r="A2211" s="1" t="s">
        <v>280</v>
      </c>
      <c r="B2211" s="2">
        <v>45860</v>
      </c>
      <c r="C2211" s="2">
        <v>45884</v>
      </c>
      <c r="D2211" s="1" t="s">
        <v>32</v>
      </c>
      <c r="E2211" s="1" t="s">
        <v>14</v>
      </c>
      <c r="F2211" s="1" t="s">
        <v>38</v>
      </c>
      <c r="G2211" s="1" t="s">
        <v>16</v>
      </c>
      <c r="H2211" s="1" t="s">
        <v>34</v>
      </c>
      <c r="I2211" s="1" t="s">
        <v>26</v>
      </c>
      <c r="J2211">
        <v>15</v>
      </c>
      <c r="K2211">
        <v>24</v>
      </c>
      <c r="L2211" s="1" t="s">
        <v>19</v>
      </c>
    </row>
    <row r="2212" spans="1:12" x14ac:dyDescent="0.3">
      <c r="A2212" s="1" t="s">
        <v>374</v>
      </c>
      <c r="B2212" s="2">
        <v>45860</v>
      </c>
      <c r="C2212" s="2">
        <v>45874</v>
      </c>
      <c r="D2212" s="1" t="s">
        <v>28</v>
      </c>
      <c r="E2212" s="1" t="s">
        <v>14</v>
      </c>
      <c r="F2212" s="1" t="s">
        <v>15</v>
      </c>
      <c r="G2212" s="1" t="s">
        <v>53</v>
      </c>
      <c r="H2212" s="1" t="s">
        <v>29</v>
      </c>
      <c r="I2212" s="1" t="s">
        <v>26</v>
      </c>
      <c r="J2212">
        <v>30</v>
      </c>
      <c r="K2212">
        <v>14</v>
      </c>
      <c r="L2212" s="1" t="s">
        <v>30</v>
      </c>
    </row>
    <row r="2213" spans="1:12" x14ac:dyDescent="0.3">
      <c r="A2213" s="1" t="s">
        <v>442</v>
      </c>
      <c r="B2213" s="2">
        <v>45860</v>
      </c>
      <c r="C2213" s="2">
        <v>45884</v>
      </c>
      <c r="D2213" s="1" t="s">
        <v>32</v>
      </c>
      <c r="E2213" s="1" t="s">
        <v>14</v>
      </c>
      <c r="F2213" s="1" t="s">
        <v>38</v>
      </c>
      <c r="G2213" s="1" t="s">
        <v>16</v>
      </c>
      <c r="H2213" s="1" t="s">
        <v>71</v>
      </c>
      <c r="I2213" s="1" t="s">
        <v>18</v>
      </c>
      <c r="J2213">
        <v>15</v>
      </c>
      <c r="K2213">
        <v>24</v>
      </c>
      <c r="L2213" s="1" t="s">
        <v>19</v>
      </c>
    </row>
    <row r="2214" spans="1:12" x14ac:dyDescent="0.3">
      <c r="A2214" s="1" t="s">
        <v>568</v>
      </c>
      <c r="B2214" s="2">
        <v>45860</v>
      </c>
      <c r="C2214" s="2">
        <v>45908</v>
      </c>
      <c r="D2214" s="1" t="s">
        <v>23</v>
      </c>
      <c r="E2214" s="1" t="s">
        <v>14</v>
      </c>
      <c r="F2214" s="1" t="s">
        <v>15</v>
      </c>
      <c r="G2214" s="1" t="s">
        <v>33</v>
      </c>
      <c r="H2214" s="1" t="s">
        <v>43</v>
      </c>
      <c r="I2214" s="1" t="s">
        <v>18</v>
      </c>
      <c r="J2214">
        <v>15</v>
      </c>
      <c r="K2214">
        <v>48</v>
      </c>
      <c r="L2214" s="1" t="s">
        <v>44</v>
      </c>
    </row>
    <row r="2215" spans="1:12" x14ac:dyDescent="0.3">
      <c r="A2215" s="1" t="s">
        <v>1821</v>
      </c>
      <c r="B2215" s="2">
        <v>45860</v>
      </c>
      <c r="C2215" s="2">
        <v>45875</v>
      </c>
      <c r="D2215" s="1" t="s">
        <v>28</v>
      </c>
      <c r="E2215" s="1" t="s">
        <v>14</v>
      </c>
      <c r="F2215" s="1" t="s">
        <v>15</v>
      </c>
      <c r="G2215" s="1" t="s">
        <v>16</v>
      </c>
      <c r="H2215" s="1" t="s">
        <v>29</v>
      </c>
      <c r="I2215" s="1" t="s">
        <v>41</v>
      </c>
      <c r="J2215">
        <v>15</v>
      </c>
      <c r="K2215">
        <v>15</v>
      </c>
      <c r="L2215" s="1" t="s">
        <v>19</v>
      </c>
    </row>
    <row r="2216" spans="1:12" x14ac:dyDescent="0.3">
      <c r="A2216" s="1" t="s">
        <v>2169</v>
      </c>
      <c r="B2216" s="2">
        <v>45860</v>
      </c>
      <c r="C2216" s="2">
        <v>45873</v>
      </c>
      <c r="D2216" s="1" t="s">
        <v>37</v>
      </c>
      <c r="E2216" s="1" t="s">
        <v>14</v>
      </c>
      <c r="F2216" s="1" t="s">
        <v>15</v>
      </c>
      <c r="G2216" s="1" t="s">
        <v>16</v>
      </c>
      <c r="H2216" s="1" t="s">
        <v>49</v>
      </c>
      <c r="I2216" s="1" t="s">
        <v>26</v>
      </c>
      <c r="J2216">
        <v>15</v>
      </c>
      <c r="K2216">
        <v>13</v>
      </c>
      <c r="L2216" s="1" t="s">
        <v>30</v>
      </c>
    </row>
    <row r="2217" spans="1:12" x14ac:dyDescent="0.3">
      <c r="A2217" s="1" t="s">
        <v>2351</v>
      </c>
      <c r="B2217" s="2">
        <v>45860</v>
      </c>
      <c r="C2217" s="2">
        <v>45900</v>
      </c>
      <c r="D2217" s="1" t="s">
        <v>13</v>
      </c>
      <c r="E2217" s="1" t="s">
        <v>14</v>
      </c>
      <c r="F2217" s="1" t="s">
        <v>15</v>
      </c>
      <c r="G2217" s="1" t="s">
        <v>16</v>
      </c>
      <c r="H2217" s="1" t="s">
        <v>17</v>
      </c>
      <c r="I2217" s="1" t="s">
        <v>26</v>
      </c>
      <c r="J2217">
        <v>15</v>
      </c>
      <c r="K2217">
        <v>40</v>
      </c>
      <c r="L2217" s="1" t="s">
        <v>21</v>
      </c>
    </row>
    <row r="2218" spans="1:12" x14ac:dyDescent="0.3">
      <c r="A2218" s="1" t="s">
        <v>2397</v>
      </c>
      <c r="B2218" s="2">
        <v>45860</v>
      </c>
      <c r="C2218" s="2">
        <v>45862</v>
      </c>
      <c r="D2218" s="1" t="s">
        <v>23</v>
      </c>
      <c r="E2218" s="1" t="s">
        <v>24</v>
      </c>
      <c r="F2218" s="1" t="s">
        <v>38</v>
      </c>
      <c r="G2218" s="1" t="s">
        <v>16</v>
      </c>
      <c r="H2218" s="1" t="s">
        <v>25</v>
      </c>
      <c r="I2218" s="1" t="s">
        <v>41</v>
      </c>
      <c r="J2218">
        <v>45</v>
      </c>
      <c r="K2218">
        <v>2</v>
      </c>
      <c r="L2218" s="1" t="s">
        <v>30</v>
      </c>
    </row>
    <row r="2219" spans="1:12" x14ac:dyDescent="0.3">
      <c r="A2219" s="1" t="s">
        <v>3104</v>
      </c>
      <c r="B2219" s="2">
        <v>45860</v>
      </c>
      <c r="C2219" s="2">
        <v>45894</v>
      </c>
      <c r="D2219" s="1" t="s">
        <v>32</v>
      </c>
      <c r="E2219" s="1" t="s">
        <v>24</v>
      </c>
      <c r="F2219" s="1" t="s">
        <v>15</v>
      </c>
      <c r="G2219" s="1" t="s">
        <v>16</v>
      </c>
      <c r="H2219" s="1" t="s">
        <v>34</v>
      </c>
      <c r="I2219" s="1" t="s">
        <v>26</v>
      </c>
      <c r="J2219">
        <v>45</v>
      </c>
      <c r="K2219">
        <v>34</v>
      </c>
      <c r="L2219" s="1" t="s">
        <v>21</v>
      </c>
    </row>
    <row r="2220" spans="1:12" x14ac:dyDescent="0.3">
      <c r="A2220" s="1" t="s">
        <v>267</v>
      </c>
      <c r="B2220" s="2">
        <v>45859</v>
      </c>
      <c r="C2220" s="2">
        <v>45915</v>
      </c>
      <c r="D2220" s="1" t="s">
        <v>32</v>
      </c>
      <c r="E2220" s="1" t="s">
        <v>14</v>
      </c>
      <c r="F2220" s="1" t="s">
        <v>15</v>
      </c>
      <c r="G2220" s="1" t="s">
        <v>16</v>
      </c>
      <c r="H2220" s="1" t="s">
        <v>71</v>
      </c>
      <c r="I2220" s="1" t="s">
        <v>41</v>
      </c>
      <c r="J2220">
        <v>15</v>
      </c>
      <c r="K2220">
        <v>56</v>
      </c>
      <c r="L2220" s="1" t="s">
        <v>44</v>
      </c>
    </row>
    <row r="2221" spans="1:12" x14ac:dyDescent="0.3">
      <c r="A2221" s="1" t="s">
        <v>1197</v>
      </c>
      <c r="B2221" s="2">
        <v>45859</v>
      </c>
      <c r="C2221" s="2">
        <v>45891</v>
      </c>
      <c r="D2221" s="1" t="s">
        <v>23</v>
      </c>
      <c r="E2221" s="1" t="s">
        <v>14</v>
      </c>
      <c r="F2221" s="1" t="s">
        <v>15</v>
      </c>
      <c r="G2221" s="1" t="s">
        <v>16</v>
      </c>
      <c r="H2221" s="1" t="s">
        <v>25</v>
      </c>
      <c r="I2221" s="1" t="s">
        <v>18</v>
      </c>
      <c r="J2221">
        <v>15</v>
      </c>
      <c r="K2221">
        <v>32</v>
      </c>
      <c r="L2221" s="1" t="s">
        <v>21</v>
      </c>
    </row>
    <row r="2222" spans="1:12" x14ac:dyDescent="0.3">
      <c r="A2222" s="1" t="s">
        <v>1228</v>
      </c>
      <c r="B2222" s="2">
        <v>45859</v>
      </c>
      <c r="C2222" s="2">
        <v>45914</v>
      </c>
      <c r="D2222" s="1" t="s">
        <v>28</v>
      </c>
      <c r="E2222" s="1" t="s">
        <v>14</v>
      </c>
      <c r="F2222" s="1" t="s">
        <v>15</v>
      </c>
      <c r="G2222" s="1" t="s">
        <v>16</v>
      </c>
      <c r="H2222" s="1" t="s">
        <v>54</v>
      </c>
      <c r="I2222" s="1" t="s">
        <v>26</v>
      </c>
      <c r="J2222">
        <v>15</v>
      </c>
      <c r="K2222">
        <v>55</v>
      </c>
      <c r="L2222" s="1" t="s">
        <v>44</v>
      </c>
    </row>
    <row r="2223" spans="1:12" x14ac:dyDescent="0.3">
      <c r="A2223" s="1" t="s">
        <v>1433</v>
      </c>
      <c r="B2223" s="2">
        <v>45859</v>
      </c>
      <c r="C2223" s="2">
        <v>45872</v>
      </c>
      <c r="D2223" s="1" t="s">
        <v>23</v>
      </c>
      <c r="E2223" s="1" t="s">
        <v>14</v>
      </c>
      <c r="F2223" s="1" t="s">
        <v>15</v>
      </c>
      <c r="G2223" s="1" t="s">
        <v>16</v>
      </c>
      <c r="H2223" s="1" t="s">
        <v>43</v>
      </c>
      <c r="I2223" s="1" t="s">
        <v>26</v>
      </c>
      <c r="J2223">
        <v>15</v>
      </c>
      <c r="K2223">
        <v>13</v>
      </c>
      <c r="L2223" s="1" t="s">
        <v>30</v>
      </c>
    </row>
    <row r="2224" spans="1:12" x14ac:dyDescent="0.3">
      <c r="A2224" s="1" t="s">
        <v>2131</v>
      </c>
      <c r="B2224" s="2">
        <v>45859</v>
      </c>
      <c r="C2224" s="2">
        <v>45918</v>
      </c>
      <c r="D2224" s="1" t="s">
        <v>28</v>
      </c>
      <c r="E2224" s="1" t="s">
        <v>14</v>
      </c>
      <c r="F2224" s="1" t="s">
        <v>15</v>
      </c>
      <c r="G2224" s="1" t="s">
        <v>16</v>
      </c>
      <c r="H2224" s="1" t="s">
        <v>54</v>
      </c>
      <c r="I2224" s="1" t="s">
        <v>26</v>
      </c>
      <c r="J2224">
        <v>15</v>
      </c>
      <c r="K2224">
        <v>59</v>
      </c>
      <c r="L2224" s="1" t="s">
        <v>80</v>
      </c>
    </row>
    <row r="2225" spans="1:12" x14ac:dyDescent="0.3">
      <c r="A2225" s="1" t="s">
        <v>2229</v>
      </c>
      <c r="B2225" s="2">
        <v>45859</v>
      </c>
      <c r="C2225" s="2">
        <v>45863</v>
      </c>
      <c r="D2225" s="1" t="s">
        <v>13</v>
      </c>
      <c r="E2225" s="1" t="s">
        <v>24</v>
      </c>
      <c r="F2225" s="1" t="s">
        <v>15</v>
      </c>
      <c r="G2225" s="1" t="s">
        <v>16</v>
      </c>
      <c r="H2225" s="1" t="s">
        <v>17</v>
      </c>
      <c r="I2225" s="1" t="s">
        <v>26</v>
      </c>
      <c r="J2225">
        <v>30</v>
      </c>
      <c r="K2225">
        <v>4</v>
      </c>
      <c r="L2225" s="1" t="s">
        <v>30</v>
      </c>
    </row>
    <row r="2226" spans="1:12" x14ac:dyDescent="0.3">
      <c r="A2226" s="1" t="s">
        <v>1147</v>
      </c>
      <c r="B2226" s="2">
        <v>45859</v>
      </c>
      <c r="C2226" s="2">
        <v>45886</v>
      </c>
      <c r="D2226" s="1" t="s">
        <v>37</v>
      </c>
      <c r="E2226" s="1" t="s">
        <v>24</v>
      </c>
      <c r="F2226" s="1" t="s">
        <v>15</v>
      </c>
      <c r="G2226" s="1" t="s">
        <v>16</v>
      </c>
      <c r="H2226" s="1" t="s">
        <v>49</v>
      </c>
      <c r="I2226" s="1" t="s">
        <v>26</v>
      </c>
      <c r="J2226">
        <v>30</v>
      </c>
      <c r="K2226">
        <v>27</v>
      </c>
      <c r="L2226" s="1" t="s">
        <v>19</v>
      </c>
    </row>
    <row r="2227" spans="1:12" x14ac:dyDescent="0.3">
      <c r="A2227" s="1" t="s">
        <v>2637</v>
      </c>
      <c r="B2227" s="2">
        <v>45859</v>
      </c>
      <c r="C2227" s="2">
        <v>45881</v>
      </c>
      <c r="D2227" s="1" t="s">
        <v>13</v>
      </c>
      <c r="E2227" s="1" t="s">
        <v>24</v>
      </c>
      <c r="F2227" s="1" t="s">
        <v>38</v>
      </c>
      <c r="G2227" s="1" t="s">
        <v>16</v>
      </c>
      <c r="H2227" s="1" t="s">
        <v>47</v>
      </c>
      <c r="I2227" s="1" t="s">
        <v>26</v>
      </c>
      <c r="J2227">
        <v>30</v>
      </c>
      <c r="K2227">
        <v>22</v>
      </c>
      <c r="L2227" s="1" t="s">
        <v>19</v>
      </c>
    </row>
    <row r="2228" spans="1:12" x14ac:dyDescent="0.3">
      <c r="A2228" s="1" t="s">
        <v>177</v>
      </c>
      <c r="B2228" s="2">
        <v>45858</v>
      </c>
      <c r="C2228" s="2">
        <v>45900</v>
      </c>
      <c r="D2228" s="1" t="s">
        <v>32</v>
      </c>
      <c r="E2228" s="1" t="s">
        <v>14</v>
      </c>
      <c r="F2228" s="1" t="s">
        <v>15</v>
      </c>
      <c r="G2228" s="1" t="s">
        <v>16</v>
      </c>
      <c r="H2228" s="1" t="s">
        <v>71</v>
      </c>
      <c r="I2228" s="1" t="s">
        <v>18</v>
      </c>
      <c r="J2228">
        <v>30</v>
      </c>
      <c r="K2228">
        <v>42</v>
      </c>
      <c r="L2228" s="1" t="s">
        <v>21</v>
      </c>
    </row>
    <row r="2229" spans="1:12" x14ac:dyDescent="0.3">
      <c r="A2229" s="1" t="s">
        <v>2063</v>
      </c>
      <c r="B2229" s="2">
        <v>45858</v>
      </c>
      <c r="C2229" s="2">
        <v>45904</v>
      </c>
      <c r="D2229" s="1" t="s">
        <v>32</v>
      </c>
      <c r="E2229" s="1" t="s">
        <v>24</v>
      </c>
      <c r="F2229" s="1" t="s">
        <v>15</v>
      </c>
      <c r="G2229" s="1" t="s">
        <v>53</v>
      </c>
      <c r="H2229" s="1" t="s">
        <v>71</v>
      </c>
      <c r="I2229" s="1" t="s">
        <v>18</v>
      </c>
      <c r="J2229">
        <v>30</v>
      </c>
      <c r="K2229">
        <v>46</v>
      </c>
      <c r="L2229" s="1" t="s">
        <v>44</v>
      </c>
    </row>
    <row r="2230" spans="1:12" x14ac:dyDescent="0.3">
      <c r="A2230" s="1" t="s">
        <v>994</v>
      </c>
      <c r="B2230" s="2">
        <v>45858</v>
      </c>
      <c r="C2230" s="2">
        <v>45923</v>
      </c>
      <c r="D2230" s="1" t="s">
        <v>37</v>
      </c>
      <c r="E2230" s="1" t="s">
        <v>24</v>
      </c>
      <c r="F2230" s="1" t="s">
        <v>15</v>
      </c>
      <c r="G2230" s="1" t="s">
        <v>16</v>
      </c>
      <c r="H2230" s="1" t="s">
        <v>39</v>
      </c>
      <c r="I2230" s="1" t="s">
        <v>26</v>
      </c>
      <c r="J2230">
        <v>30</v>
      </c>
      <c r="K2230">
        <v>65</v>
      </c>
      <c r="L2230" s="1" t="s">
        <v>80</v>
      </c>
    </row>
    <row r="2231" spans="1:12" x14ac:dyDescent="0.3">
      <c r="A2231" s="1" t="s">
        <v>3148</v>
      </c>
      <c r="B2231" s="2">
        <v>45858</v>
      </c>
      <c r="C2231" s="2">
        <v>45908</v>
      </c>
      <c r="D2231" s="1" t="s">
        <v>37</v>
      </c>
      <c r="E2231" s="1" t="s">
        <v>14</v>
      </c>
      <c r="F2231" s="1" t="s">
        <v>15</v>
      </c>
      <c r="G2231" s="1" t="s">
        <v>16</v>
      </c>
      <c r="H2231" s="1" t="s">
        <v>49</v>
      </c>
      <c r="I2231" s="1" t="s">
        <v>18</v>
      </c>
      <c r="J2231">
        <v>15</v>
      </c>
      <c r="K2231">
        <v>50</v>
      </c>
      <c r="L2231" s="1" t="s">
        <v>44</v>
      </c>
    </row>
    <row r="2232" spans="1:12" x14ac:dyDescent="0.3">
      <c r="A2232" s="1" t="s">
        <v>1880</v>
      </c>
      <c r="B2232" s="2">
        <v>45858</v>
      </c>
      <c r="C2232" s="2">
        <v>45888</v>
      </c>
      <c r="D2232" s="1" t="s">
        <v>37</v>
      </c>
      <c r="E2232" s="1" t="s">
        <v>24</v>
      </c>
      <c r="F2232" s="1" t="s">
        <v>38</v>
      </c>
      <c r="G2232" s="1" t="s">
        <v>53</v>
      </c>
      <c r="H2232" s="1" t="s">
        <v>39</v>
      </c>
      <c r="I2232" s="1" t="s">
        <v>26</v>
      </c>
      <c r="J2232">
        <v>45</v>
      </c>
      <c r="K2232">
        <v>30</v>
      </c>
      <c r="L2232" s="1" t="s">
        <v>21</v>
      </c>
    </row>
    <row r="2233" spans="1:12" x14ac:dyDescent="0.3">
      <c r="A2233" s="1" t="s">
        <v>2094</v>
      </c>
      <c r="B2233" s="2">
        <v>45858</v>
      </c>
      <c r="C2233" s="2">
        <v>45879</v>
      </c>
      <c r="D2233" s="1" t="s">
        <v>37</v>
      </c>
      <c r="E2233" s="1" t="s">
        <v>24</v>
      </c>
      <c r="F2233" s="1" t="s">
        <v>15</v>
      </c>
      <c r="G2233" s="1" t="s">
        <v>16</v>
      </c>
      <c r="H2233" s="1" t="s">
        <v>39</v>
      </c>
      <c r="I2233" s="1" t="s">
        <v>26</v>
      </c>
      <c r="J2233">
        <v>45</v>
      </c>
      <c r="K2233">
        <v>21</v>
      </c>
      <c r="L2233" s="1" t="s">
        <v>19</v>
      </c>
    </row>
    <row r="2234" spans="1:12" x14ac:dyDescent="0.3">
      <c r="A2234" s="1" t="s">
        <v>2750</v>
      </c>
      <c r="B2234" s="2">
        <v>45858</v>
      </c>
      <c r="C2234" s="2">
        <v>45899</v>
      </c>
      <c r="D2234" s="1" t="s">
        <v>13</v>
      </c>
      <c r="E2234" s="1" t="s">
        <v>14</v>
      </c>
      <c r="F2234" s="1" t="s">
        <v>15</v>
      </c>
      <c r="G2234" s="1" t="s">
        <v>16</v>
      </c>
      <c r="H2234" s="1" t="s">
        <v>17</v>
      </c>
      <c r="I2234" s="1" t="s">
        <v>26</v>
      </c>
      <c r="J2234">
        <v>15</v>
      </c>
      <c r="K2234">
        <v>41</v>
      </c>
      <c r="L2234" s="1" t="s">
        <v>21</v>
      </c>
    </row>
    <row r="2235" spans="1:12" x14ac:dyDescent="0.3">
      <c r="A2235" s="1" t="s">
        <v>231</v>
      </c>
      <c r="B2235" s="2">
        <v>45857</v>
      </c>
      <c r="C2235" s="2">
        <v>45908</v>
      </c>
      <c r="D2235" s="1" t="s">
        <v>13</v>
      </c>
      <c r="E2235" s="1" t="s">
        <v>24</v>
      </c>
      <c r="F2235" s="1" t="s">
        <v>15</v>
      </c>
      <c r="G2235" s="1" t="s">
        <v>33</v>
      </c>
      <c r="H2235" s="1" t="s">
        <v>17</v>
      </c>
      <c r="I2235" s="1" t="s">
        <v>41</v>
      </c>
      <c r="J2235">
        <v>45</v>
      </c>
      <c r="K2235">
        <v>51</v>
      </c>
      <c r="L2235" s="1" t="s">
        <v>44</v>
      </c>
    </row>
    <row r="2236" spans="1:12" x14ac:dyDescent="0.3">
      <c r="A2236" s="1" t="s">
        <v>304</v>
      </c>
      <c r="B2236" s="2">
        <v>45857</v>
      </c>
      <c r="C2236" s="2">
        <v>45913</v>
      </c>
      <c r="D2236" s="1" t="s">
        <v>32</v>
      </c>
      <c r="E2236" s="1" t="s">
        <v>24</v>
      </c>
      <c r="F2236" s="1" t="s">
        <v>38</v>
      </c>
      <c r="G2236" s="1" t="s">
        <v>16</v>
      </c>
      <c r="H2236" s="1" t="s">
        <v>71</v>
      </c>
      <c r="I2236" s="1" t="s">
        <v>26</v>
      </c>
      <c r="J2236">
        <v>30</v>
      </c>
      <c r="K2236">
        <v>56</v>
      </c>
      <c r="L2236" s="1" t="s">
        <v>44</v>
      </c>
    </row>
    <row r="2237" spans="1:12" x14ac:dyDescent="0.3">
      <c r="A2237" s="1" t="s">
        <v>348</v>
      </c>
      <c r="B2237" s="2">
        <v>45857</v>
      </c>
      <c r="C2237" s="2">
        <v>45888</v>
      </c>
      <c r="D2237" s="1" t="s">
        <v>23</v>
      </c>
      <c r="E2237" s="1" t="s">
        <v>24</v>
      </c>
      <c r="F2237" s="1" t="s">
        <v>38</v>
      </c>
      <c r="G2237" s="1" t="s">
        <v>16</v>
      </c>
      <c r="H2237" s="1" t="s">
        <v>25</v>
      </c>
      <c r="I2237" s="1" t="s">
        <v>26</v>
      </c>
      <c r="J2237">
        <v>30</v>
      </c>
      <c r="K2237">
        <v>31</v>
      </c>
      <c r="L2237" s="1" t="s">
        <v>21</v>
      </c>
    </row>
    <row r="2238" spans="1:12" x14ac:dyDescent="0.3">
      <c r="A2238" s="1" t="s">
        <v>484</v>
      </c>
      <c r="B2238" s="2">
        <v>45857</v>
      </c>
      <c r="C2238" s="2">
        <v>45880</v>
      </c>
      <c r="D2238" s="1" t="s">
        <v>13</v>
      </c>
      <c r="E2238" s="1" t="s">
        <v>24</v>
      </c>
      <c r="F2238" s="1" t="s">
        <v>38</v>
      </c>
      <c r="G2238" s="1" t="s">
        <v>16</v>
      </c>
      <c r="H2238" s="1" t="s">
        <v>17</v>
      </c>
      <c r="I2238" s="1" t="s">
        <v>26</v>
      </c>
      <c r="J2238">
        <v>30</v>
      </c>
      <c r="K2238">
        <v>23</v>
      </c>
      <c r="L2238" s="1" t="s">
        <v>19</v>
      </c>
    </row>
    <row r="2239" spans="1:12" x14ac:dyDescent="0.3">
      <c r="A2239" s="1" t="s">
        <v>844</v>
      </c>
      <c r="B2239" s="2">
        <v>45857</v>
      </c>
      <c r="C2239" s="2">
        <v>45874</v>
      </c>
      <c r="D2239" s="1" t="s">
        <v>13</v>
      </c>
      <c r="E2239" s="1" t="s">
        <v>14</v>
      </c>
      <c r="F2239" s="1" t="s">
        <v>15</v>
      </c>
      <c r="G2239" s="1" t="s">
        <v>53</v>
      </c>
      <c r="H2239" s="1" t="s">
        <v>47</v>
      </c>
      <c r="I2239" s="1" t="s">
        <v>26</v>
      </c>
      <c r="J2239">
        <v>30</v>
      </c>
      <c r="K2239">
        <v>17</v>
      </c>
      <c r="L2239" s="1" t="s">
        <v>19</v>
      </c>
    </row>
    <row r="2240" spans="1:12" x14ac:dyDescent="0.3">
      <c r="A2240" s="1" t="s">
        <v>970</v>
      </c>
      <c r="B2240" s="2">
        <v>45857</v>
      </c>
      <c r="C2240" s="2">
        <v>45907</v>
      </c>
      <c r="D2240" s="1" t="s">
        <v>32</v>
      </c>
      <c r="E2240" s="1" t="s">
        <v>14</v>
      </c>
      <c r="F2240" s="1" t="s">
        <v>15</v>
      </c>
      <c r="G2240" s="1" t="s">
        <v>53</v>
      </c>
      <c r="H2240" s="1" t="s">
        <v>34</v>
      </c>
      <c r="I2240" s="1" t="s">
        <v>41</v>
      </c>
      <c r="J2240">
        <v>30</v>
      </c>
      <c r="K2240">
        <v>50</v>
      </c>
      <c r="L2240" s="1" t="s">
        <v>44</v>
      </c>
    </row>
    <row r="2241" spans="1:12" x14ac:dyDescent="0.3">
      <c r="A2241" s="1" t="s">
        <v>1409</v>
      </c>
      <c r="B2241" s="2">
        <v>45857</v>
      </c>
      <c r="C2241" s="2">
        <v>45906</v>
      </c>
      <c r="D2241" s="1" t="s">
        <v>23</v>
      </c>
      <c r="E2241" s="1" t="s">
        <v>14</v>
      </c>
      <c r="F2241" s="1" t="s">
        <v>15</v>
      </c>
      <c r="G2241" s="1" t="s">
        <v>53</v>
      </c>
      <c r="H2241" s="1" t="s">
        <v>25</v>
      </c>
      <c r="I2241" s="1" t="s">
        <v>41</v>
      </c>
      <c r="J2241">
        <v>15</v>
      </c>
      <c r="K2241">
        <v>49</v>
      </c>
      <c r="L2241" s="1" t="s">
        <v>44</v>
      </c>
    </row>
    <row r="2242" spans="1:12" x14ac:dyDescent="0.3">
      <c r="A2242" s="1" t="s">
        <v>1518</v>
      </c>
      <c r="B2242" s="2">
        <v>45857</v>
      </c>
      <c r="C2242" s="2">
        <v>45900</v>
      </c>
      <c r="D2242" s="1" t="s">
        <v>28</v>
      </c>
      <c r="E2242" s="1" t="s">
        <v>24</v>
      </c>
      <c r="F2242" s="1" t="s">
        <v>15</v>
      </c>
      <c r="G2242" s="1" t="s">
        <v>16</v>
      </c>
      <c r="H2242" s="1" t="s">
        <v>29</v>
      </c>
      <c r="I2242" s="1" t="s">
        <v>18</v>
      </c>
      <c r="J2242">
        <v>45</v>
      </c>
      <c r="K2242">
        <v>43</v>
      </c>
      <c r="L2242" s="1" t="s">
        <v>44</v>
      </c>
    </row>
    <row r="2243" spans="1:12" x14ac:dyDescent="0.3">
      <c r="A2243" s="1" t="s">
        <v>1643</v>
      </c>
      <c r="B2243" s="2">
        <v>45857</v>
      </c>
      <c r="C2243" s="2">
        <v>45891</v>
      </c>
      <c r="D2243" s="1" t="s">
        <v>13</v>
      </c>
      <c r="E2243" s="1" t="s">
        <v>24</v>
      </c>
      <c r="F2243" s="1" t="s">
        <v>15</v>
      </c>
      <c r="G2243" s="1" t="s">
        <v>16</v>
      </c>
      <c r="H2243" s="1" t="s">
        <v>17</v>
      </c>
      <c r="I2243" s="1" t="s">
        <v>18</v>
      </c>
      <c r="J2243">
        <v>30</v>
      </c>
      <c r="K2243">
        <v>34</v>
      </c>
      <c r="L2243" s="1" t="s">
        <v>21</v>
      </c>
    </row>
    <row r="2244" spans="1:12" x14ac:dyDescent="0.3">
      <c r="A2244" s="1" t="s">
        <v>1865</v>
      </c>
      <c r="B2244" s="2">
        <v>45857</v>
      </c>
      <c r="C2244" s="2">
        <v>45925</v>
      </c>
      <c r="D2244" s="1" t="s">
        <v>13</v>
      </c>
      <c r="E2244" s="1" t="s">
        <v>24</v>
      </c>
      <c r="F2244" s="1" t="s">
        <v>15</v>
      </c>
      <c r="G2244" s="1" t="s">
        <v>16</v>
      </c>
      <c r="H2244" s="1" t="s">
        <v>47</v>
      </c>
      <c r="I2244" s="1" t="s">
        <v>26</v>
      </c>
      <c r="J2244">
        <v>30</v>
      </c>
      <c r="K2244">
        <v>68</v>
      </c>
      <c r="L2244" s="1" t="s">
        <v>80</v>
      </c>
    </row>
    <row r="2245" spans="1:12" x14ac:dyDescent="0.3">
      <c r="A2245" s="1" t="s">
        <v>1445</v>
      </c>
      <c r="B2245" s="2">
        <v>45857</v>
      </c>
      <c r="C2245" s="2">
        <v>45897</v>
      </c>
      <c r="D2245" s="1" t="s">
        <v>37</v>
      </c>
      <c r="E2245" s="1" t="s">
        <v>14</v>
      </c>
      <c r="F2245" s="1" t="s">
        <v>38</v>
      </c>
      <c r="G2245" s="1" t="s">
        <v>16</v>
      </c>
      <c r="H2245" s="1" t="s">
        <v>39</v>
      </c>
      <c r="I2245" s="1" t="s">
        <v>18</v>
      </c>
      <c r="J2245">
        <v>15</v>
      </c>
      <c r="K2245">
        <v>40</v>
      </c>
      <c r="L2245" s="1" t="s">
        <v>21</v>
      </c>
    </row>
    <row r="2246" spans="1:12" x14ac:dyDescent="0.3">
      <c r="A2246" s="1" t="s">
        <v>2509</v>
      </c>
      <c r="B2246" s="2">
        <v>45857</v>
      </c>
      <c r="C2246" s="2">
        <v>45880</v>
      </c>
      <c r="D2246" s="1" t="s">
        <v>13</v>
      </c>
      <c r="E2246" s="1" t="s">
        <v>24</v>
      </c>
      <c r="F2246" s="1" t="s">
        <v>15</v>
      </c>
      <c r="G2246" s="1" t="s">
        <v>53</v>
      </c>
      <c r="H2246" s="1" t="s">
        <v>17</v>
      </c>
      <c r="I2246" s="1" t="s">
        <v>26</v>
      </c>
      <c r="J2246">
        <v>30</v>
      </c>
      <c r="K2246">
        <v>23</v>
      </c>
      <c r="L2246" s="1" t="s">
        <v>19</v>
      </c>
    </row>
    <row r="2247" spans="1:12" x14ac:dyDescent="0.3">
      <c r="A2247" s="1" t="s">
        <v>2818</v>
      </c>
      <c r="B2247" s="2">
        <v>45857</v>
      </c>
      <c r="C2247" s="2">
        <v>45876</v>
      </c>
      <c r="D2247" s="1" t="s">
        <v>23</v>
      </c>
      <c r="E2247" s="1" t="s">
        <v>14</v>
      </c>
      <c r="F2247" s="1" t="s">
        <v>38</v>
      </c>
      <c r="G2247" s="1" t="s">
        <v>16</v>
      </c>
      <c r="H2247" s="1" t="s">
        <v>43</v>
      </c>
      <c r="I2247" s="1" t="s">
        <v>26</v>
      </c>
      <c r="J2247">
        <v>15</v>
      </c>
      <c r="K2247">
        <v>19</v>
      </c>
      <c r="L2247" s="1" t="s">
        <v>19</v>
      </c>
    </row>
    <row r="2248" spans="1:12" x14ac:dyDescent="0.3">
      <c r="A2248" s="1" t="s">
        <v>2875</v>
      </c>
      <c r="B2248" s="2">
        <v>45857</v>
      </c>
      <c r="C2248" s="2">
        <v>45872</v>
      </c>
      <c r="D2248" s="1" t="s">
        <v>28</v>
      </c>
      <c r="E2248" s="1" t="s">
        <v>14</v>
      </c>
      <c r="F2248" s="1" t="s">
        <v>38</v>
      </c>
      <c r="G2248" s="1" t="s">
        <v>16</v>
      </c>
      <c r="H2248" s="1" t="s">
        <v>54</v>
      </c>
      <c r="I2248" s="1" t="s">
        <v>26</v>
      </c>
      <c r="J2248">
        <v>15</v>
      </c>
      <c r="K2248">
        <v>15</v>
      </c>
      <c r="L2248" s="1" t="s">
        <v>19</v>
      </c>
    </row>
    <row r="2249" spans="1:12" x14ac:dyDescent="0.3">
      <c r="A2249" s="1" t="s">
        <v>3039</v>
      </c>
      <c r="B2249" s="2">
        <v>45857</v>
      </c>
      <c r="C2249" s="2">
        <v>45898</v>
      </c>
      <c r="D2249" s="1" t="s">
        <v>28</v>
      </c>
      <c r="E2249" s="1" t="s">
        <v>14</v>
      </c>
      <c r="F2249" s="1" t="s">
        <v>15</v>
      </c>
      <c r="G2249" s="1" t="s">
        <v>16</v>
      </c>
      <c r="H2249" s="1" t="s">
        <v>54</v>
      </c>
      <c r="I2249" s="1" t="s">
        <v>26</v>
      </c>
      <c r="J2249">
        <v>15</v>
      </c>
      <c r="K2249">
        <v>41</v>
      </c>
      <c r="L2249" s="1" t="s">
        <v>21</v>
      </c>
    </row>
    <row r="2250" spans="1:12" x14ac:dyDescent="0.3">
      <c r="A2250" s="1" t="s">
        <v>1013</v>
      </c>
      <c r="B2250" s="2">
        <v>45856</v>
      </c>
      <c r="C2250" s="2">
        <v>45911</v>
      </c>
      <c r="D2250" s="1" t="s">
        <v>23</v>
      </c>
      <c r="E2250" s="1" t="s">
        <v>14</v>
      </c>
      <c r="F2250" s="1" t="s">
        <v>15</v>
      </c>
      <c r="G2250" s="1" t="s">
        <v>53</v>
      </c>
      <c r="H2250" s="1" t="s">
        <v>43</v>
      </c>
      <c r="I2250" s="1" t="s">
        <v>26</v>
      </c>
      <c r="J2250">
        <v>15</v>
      </c>
      <c r="K2250">
        <v>55</v>
      </c>
      <c r="L2250" s="1" t="s">
        <v>44</v>
      </c>
    </row>
    <row r="2251" spans="1:12" x14ac:dyDescent="0.3">
      <c r="A2251" s="1" t="s">
        <v>1281</v>
      </c>
      <c r="B2251" s="2">
        <v>45856</v>
      </c>
      <c r="C2251" s="2">
        <v>45901</v>
      </c>
      <c r="D2251" s="1" t="s">
        <v>13</v>
      </c>
      <c r="E2251" s="1" t="s">
        <v>14</v>
      </c>
      <c r="F2251" s="1" t="s">
        <v>15</v>
      </c>
      <c r="G2251" s="1" t="s">
        <v>16</v>
      </c>
      <c r="H2251" s="1" t="s">
        <v>17</v>
      </c>
      <c r="I2251" s="1" t="s">
        <v>26</v>
      </c>
      <c r="J2251">
        <v>15</v>
      </c>
      <c r="K2251">
        <v>45</v>
      </c>
      <c r="L2251" s="1" t="s">
        <v>44</v>
      </c>
    </row>
    <row r="2252" spans="1:12" x14ac:dyDescent="0.3">
      <c r="A2252" s="1" t="s">
        <v>1358</v>
      </c>
      <c r="B2252" s="2">
        <v>45856</v>
      </c>
      <c r="C2252" s="2">
        <v>45858</v>
      </c>
      <c r="D2252" s="1" t="s">
        <v>28</v>
      </c>
      <c r="E2252" s="1" t="s">
        <v>24</v>
      </c>
      <c r="F2252" s="1" t="s">
        <v>15</v>
      </c>
      <c r="G2252" s="1" t="s">
        <v>16</v>
      </c>
      <c r="H2252" s="1" t="s">
        <v>54</v>
      </c>
      <c r="I2252" s="1" t="s">
        <v>41</v>
      </c>
      <c r="J2252">
        <v>30</v>
      </c>
      <c r="K2252">
        <v>2</v>
      </c>
      <c r="L2252" s="1" t="s">
        <v>30</v>
      </c>
    </row>
    <row r="2253" spans="1:12" x14ac:dyDescent="0.3">
      <c r="A2253" s="1" t="s">
        <v>1442</v>
      </c>
      <c r="B2253" s="2">
        <v>45856</v>
      </c>
      <c r="C2253" s="2">
        <v>45926</v>
      </c>
      <c r="D2253" s="1" t="s">
        <v>32</v>
      </c>
      <c r="E2253" s="1" t="s">
        <v>14</v>
      </c>
      <c r="F2253" s="1" t="s">
        <v>15</v>
      </c>
      <c r="G2253" s="1" t="s">
        <v>53</v>
      </c>
      <c r="H2253" s="1" t="s">
        <v>34</v>
      </c>
      <c r="I2253" s="1" t="s">
        <v>18</v>
      </c>
      <c r="J2253">
        <v>15</v>
      </c>
      <c r="K2253">
        <v>70</v>
      </c>
      <c r="L2253" s="1" t="s">
        <v>80</v>
      </c>
    </row>
    <row r="2254" spans="1:12" x14ac:dyDescent="0.3">
      <c r="A2254" s="1" t="s">
        <v>2315</v>
      </c>
      <c r="B2254" s="2">
        <v>45856</v>
      </c>
      <c r="C2254" s="2">
        <v>45887</v>
      </c>
      <c r="D2254" s="1" t="s">
        <v>28</v>
      </c>
      <c r="E2254" s="1" t="s">
        <v>24</v>
      </c>
      <c r="F2254" s="1" t="s">
        <v>15</v>
      </c>
      <c r="G2254" s="1" t="s">
        <v>16</v>
      </c>
      <c r="H2254" s="1" t="s">
        <v>29</v>
      </c>
      <c r="I2254" s="1" t="s">
        <v>26</v>
      </c>
      <c r="J2254">
        <v>30</v>
      </c>
      <c r="K2254">
        <v>31</v>
      </c>
      <c r="L2254" s="1" t="s">
        <v>21</v>
      </c>
    </row>
    <row r="2255" spans="1:12" x14ac:dyDescent="0.3">
      <c r="A2255" s="1" t="s">
        <v>394</v>
      </c>
      <c r="B2255" s="2">
        <v>45856</v>
      </c>
      <c r="C2255" s="2">
        <v>45900</v>
      </c>
      <c r="D2255" s="1" t="s">
        <v>37</v>
      </c>
      <c r="E2255" s="1" t="s">
        <v>24</v>
      </c>
      <c r="F2255" s="1" t="s">
        <v>15</v>
      </c>
      <c r="G2255" s="1" t="s">
        <v>16</v>
      </c>
      <c r="H2255" s="1" t="s">
        <v>49</v>
      </c>
      <c r="I2255" s="1" t="s">
        <v>18</v>
      </c>
      <c r="J2255">
        <v>45</v>
      </c>
      <c r="K2255">
        <v>44</v>
      </c>
      <c r="L2255" s="1" t="s">
        <v>44</v>
      </c>
    </row>
    <row r="2256" spans="1:12" x14ac:dyDescent="0.3">
      <c r="A2256" s="1" t="s">
        <v>680</v>
      </c>
      <c r="B2256" s="2">
        <v>45856</v>
      </c>
      <c r="C2256" s="2">
        <v>45891</v>
      </c>
      <c r="D2256" s="1" t="s">
        <v>37</v>
      </c>
      <c r="E2256" s="1" t="s">
        <v>24</v>
      </c>
      <c r="F2256" s="1" t="s">
        <v>15</v>
      </c>
      <c r="G2256" s="1" t="s">
        <v>16</v>
      </c>
      <c r="H2256" s="1" t="s">
        <v>49</v>
      </c>
      <c r="I2256" s="1" t="s">
        <v>41</v>
      </c>
      <c r="J2256">
        <v>45</v>
      </c>
      <c r="K2256">
        <v>35</v>
      </c>
      <c r="L2256" s="1" t="s">
        <v>21</v>
      </c>
    </row>
    <row r="2257" spans="1:12" x14ac:dyDescent="0.3">
      <c r="A2257" s="1" t="s">
        <v>838</v>
      </c>
      <c r="B2257" s="2">
        <v>45855</v>
      </c>
      <c r="C2257" s="2">
        <v>45857</v>
      </c>
      <c r="D2257" s="1" t="s">
        <v>28</v>
      </c>
      <c r="E2257" s="1" t="s">
        <v>14</v>
      </c>
      <c r="F2257" s="1" t="s">
        <v>15</v>
      </c>
      <c r="G2257" s="1" t="s">
        <v>16</v>
      </c>
      <c r="H2257" s="1" t="s">
        <v>29</v>
      </c>
      <c r="I2257" s="1" t="s">
        <v>26</v>
      </c>
      <c r="J2257">
        <v>15</v>
      </c>
      <c r="K2257">
        <v>2</v>
      </c>
      <c r="L2257" s="1" t="s">
        <v>30</v>
      </c>
    </row>
    <row r="2258" spans="1:12" x14ac:dyDescent="0.3">
      <c r="A2258" s="1" t="s">
        <v>1380</v>
      </c>
      <c r="B2258" s="2">
        <v>45855</v>
      </c>
      <c r="C2258" s="2">
        <v>45891</v>
      </c>
      <c r="D2258" s="1" t="s">
        <v>23</v>
      </c>
      <c r="E2258" s="1" t="s">
        <v>14</v>
      </c>
      <c r="F2258" s="1" t="s">
        <v>15</v>
      </c>
      <c r="G2258" s="1" t="s">
        <v>16</v>
      </c>
      <c r="H2258" s="1" t="s">
        <v>43</v>
      </c>
      <c r="I2258" s="1" t="s">
        <v>26</v>
      </c>
      <c r="J2258">
        <v>15</v>
      </c>
      <c r="K2258">
        <v>36</v>
      </c>
      <c r="L2258" s="1" t="s">
        <v>21</v>
      </c>
    </row>
    <row r="2259" spans="1:12" x14ac:dyDescent="0.3">
      <c r="A2259" s="1" t="s">
        <v>1623</v>
      </c>
      <c r="B2259" s="2">
        <v>45855</v>
      </c>
      <c r="C2259" s="2">
        <v>45886</v>
      </c>
      <c r="D2259" s="1" t="s">
        <v>28</v>
      </c>
      <c r="E2259" s="1" t="s">
        <v>14</v>
      </c>
      <c r="F2259" s="1" t="s">
        <v>15</v>
      </c>
      <c r="G2259" s="1" t="s">
        <v>16</v>
      </c>
      <c r="H2259" s="1" t="s">
        <v>29</v>
      </c>
      <c r="I2259" s="1" t="s">
        <v>26</v>
      </c>
      <c r="J2259">
        <v>30</v>
      </c>
      <c r="K2259">
        <v>31</v>
      </c>
      <c r="L2259" s="1" t="s">
        <v>21</v>
      </c>
    </row>
    <row r="2260" spans="1:12" x14ac:dyDescent="0.3">
      <c r="A2260" s="1" t="s">
        <v>1688</v>
      </c>
      <c r="B2260" s="2">
        <v>45855</v>
      </c>
      <c r="C2260" s="2">
        <v>45883</v>
      </c>
      <c r="D2260" s="1" t="s">
        <v>23</v>
      </c>
      <c r="E2260" s="1" t="s">
        <v>24</v>
      </c>
      <c r="F2260" s="1" t="s">
        <v>15</v>
      </c>
      <c r="G2260" s="1" t="s">
        <v>16</v>
      </c>
      <c r="H2260" s="1" t="s">
        <v>25</v>
      </c>
      <c r="I2260" s="1" t="s">
        <v>26</v>
      </c>
      <c r="J2260">
        <v>45</v>
      </c>
      <c r="K2260">
        <v>28</v>
      </c>
      <c r="L2260" s="1" t="s">
        <v>19</v>
      </c>
    </row>
    <row r="2261" spans="1:12" x14ac:dyDescent="0.3">
      <c r="A2261" s="1" t="s">
        <v>1862</v>
      </c>
      <c r="B2261" s="2">
        <v>45855</v>
      </c>
      <c r="C2261" s="2">
        <v>45884</v>
      </c>
      <c r="D2261" s="1" t="s">
        <v>23</v>
      </c>
      <c r="E2261" s="1" t="s">
        <v>14</v>
      </c>
      <c r="F2261" s="1" t="s">
        <v>15</v>
      </c>
      <c r="G2261" s="1" t="s">
        <v>53</v>
      </c>
      <c r="H2261" s="1" t="s">
        <v>25</v>
      </c>
      <c r="I2261" s="1" t="s">
        <v>26</v>
      </c>
      <c r="J2261">
        <v>15</v>
      </c>
      <c r="K2261">
        <v>29</v>
      </c>
      <c r="L2261" s="1" t="s">
        <v>21</v>
      </c>
    </row>
    <row r="2262" spans="1:12" x14ac:dyDescent="0.3">
      <c r="A2262" s="1" t="s">
        <v>1904</v>
      </c>
      <c r="B2262" s="2">
        <v>45855</v>
      </c>
      <c r="C2262" s="2">
        <v>45887</v>
      </c>
      <c r="D2262" s="1" t="s">
        <v>13</v>
      </c>
      <c r="E2262" s="1" t="s">
        <v>14</v>
      </c>
      <c r="F2262" s="1" t="s">
        <v>38</v>
      </c>
      <c r="G2262" s="1" t="s">
        <v>16</v>
      </c>
      <c r="H2262" s="1" t="s">
        <v>17</v>
      </c>
      <c r="I2262" s="1" t="s">
        <v>41</v>
      </c>
      <c r="J2262">
        <v>15</v>
      </c>
      <c r="K2262">
        <v>32</v>
      </c>
      <c r="L2262" s="1" t="s">
        <v>21</v>
      </c>
    </row>
    <row r="2263" spans="1:12" x14ac:dyDescent="0.3">
      <c r="A2263" s="1" t="s">
        <v>1949</v>
      </c>
      <c r="B2263" s="2">
        <v>45855</v>
      </c>
      <c r="C2263" s="2">
        <v>45914</v>
      </c>
      <c r="D2263" s="1" t="s">
        <v>32</v>
      </c>
      <c r="E2263" s="1" t="s">
        <v>14</v>
      </c>
      <c r="F2263" s="1" t="s">
        <v>15</v>
      </c>
      <c r="G2263" s="1" t="s">
        <v>16</v>
      </c>
      <c r="H2263" s="1" t="s">
        <v>34</v>
      </c>
      <c r="I2263" s="1" t="s">
        <v>18</v>
      </c>
      <c r="J2263">
        <v>30</v>
      </c>
      <c r="K2263">
        <v>59</v>
      </c>
      <c r="L2263" s="1" t="s">
        <v>80</v>
      </c>
    </row>
    <row r="2264" spans="1:12" x14ac:dyDescent="0.3">
      <c r="A2264" s="1" t="s">
        <v>2297</v>
      </c>
      <c r="B2264" s="2">
        <v>45855</v>
      </c>
      <c r="C2264" s="2">
        <v>45910</v>
      </c>
      <c r="D2264" s="1" t="s">
        <v>23</v>
      </c>
      <c r="E2264" s="1" t="s">
        <v>14</v>
      </c>
      <c r="F2264" s="1" t="s">
        <v>15</v>
      </c>
      <c r="G2264" s="1" t="s">
        <v>16</v>
      </c>
      <c r="H2264" s="1" t="s">
        <v>25</v>
      </c>
      <c r="I2264" s="1" t="s">
        <v>18</v>
      </c>
      <c r="J2264">
        <v>15</v>
      </c>
      <c r="K2264">
        <v>55</v>
      </c>
      <c r="L2264" s="1" t="s">
        <v>44</v>
      </c>
    </row>
    <row r="2265" spans="1:12" x14ac:dyDescent="0.3">
      <c r="A2265" s="1" t="s">
        <v>461</v>
      </c>
      <c r="B2265" s="2">
        <v>45855</v>
      </c>
      <c r="C2265" s="2">
        <v>45918</v>
      </c>
      <c r="D2265" s="1" t="s">
        <v>37</v>
      </c>
      <c r="E2265" s="1" t="s">
        <v>24</v>
      </c>
      <c r="F2265" s="1" t="s">
        <v>15</v>
      </c>
      <c r="G2265" s="1" t="s">
        <v>16</v>
      </c>
      <c r="H2265" s="1" t="s">
        <v>49</v>
      </c>
      <c r="I2265" s="1" t="s">
        <v>18</v>
      </c>
      <c r="J2265">
        <v>30</v>
      </c>
      <c r="K2265">
        <v>63</v>
      </c>
      <c r="L2265" s="1" t="s">
        <v>80</v>
      </c>
    </row>
    <row r="2266" spans="1:12" x14ac:dyDescent="0.3">
      <c r="A2266" s="1" t="s">
        <v>312</v>
      </c>
      <c r="B2266" s="2">
        <v>45855</v>
      </c>
      <c r="C2266" s="2">
        <v>45903</v>
      </c>
      <c r="D2266" s="1" t="s">
        <v>37</v>
      </c>
      <c r="E2266" s="1" t="s">
        <v>24</v>
      </c>
      <c r="F2266" s="1" t="s">
        <v>15</v>
      </c>
      <c r="G2266" s="1" t="s">
        <v>53</v>
      </c>
      <c r="H2266" s="1" t="s">
        <v>49</v>
      </c>
      <c r="I2266" s="1" t="s">
        <v>18</v>
      </c>
      <c r="J2266">
        <v>30</v>
      </c>
      <c r="K2266">
        <v>48</v>
      </c>
      <c r="L2266" s="1" t="s">
        <v>44</v>
      </c>
    </row>
    <row r="2267" spans="1:12" x14ac:dyDescent="0.3">
      <c r="A2267" s="1" t="s">
        <v>3220</v>
      </c>
      <c r="B2267" s="2">
        <v>45855</v>
      </c>
      <c r="C2267" s="2">
        <v>45906</v>
      </c>
      <c r="D2267" s="1" t="s">
        <v>28</v>
      </c>
      <c r="E2267" s="1" t="s">
        <v>24</v>
      </c>
      <c r="F2267" s="1" t="s">
        <v>15</v>
      </c>
      <c r="G2267" s="1" t="s">
        <v>16</v>
      </c>
      <c r="H2267" s="1" t="s">
        <v>29</v>
      </c>
      <c r="I2267" s="1" t="s">
        <v>41</v>
      </c>
      <c r="J2267">
        <v>45</v>
      </c>
      <c r="K2267">
        <v>51</v>
      </c>
      <c r="L2267" s="1" t="s">
        <v>44</v>
      </c>
    </row>
    <row r="2268" spans="1:12" x14ac:dyDescent="0.3">
      <c r="A2268" s="1" t="s">
        <v>1156</v>
      </c>
      <c r="B2268" s="2">
        <v>45854</v>
      </c>
      <c r="C2268" s="2">
        <v>45897</v>
      </c>
      <c r="D2268" s="1" t="s">
        <v>32</v>
      </c>
      <c r="E2268" s="1" t="s">
        <v>24</v>
      </c>
      <c r="F2268" s="1" t="s">
        <v>15</v>
      </c>
      <c r="G2268" s="1" t="s">
        <v>16</v>
      </c>
      <c r="H2268" s="1" t="s">
        <v>71</v>
      </c>
      <c r="I2268" s="1" t="s">
        <v>41</v>
      </c>
      <c r="J2268">
        <v>30</v>
      </c>
      <c r="K2268">
        <v>43</v>
      </c>
      <c r="L2268" s="1" t="s">
        <v>44</v>
      </c>
    </row>
    <row r="2269" spans="1:12" x14ac:dyDescent="0.3">
      <c r="A2269" s="1" t="s">
        <v>1493</v>
      </c>
      <c r="B2269" s="2">
        <v>45854</v>
      </c>
      <c r="C2269" s="2">
        <v>45931</v>
      </c>
      <c r="D2269" s="1" t="s">
        <v>28</v>
      </c>
      <c r="E2269" s="1" t="s">
        <v>14</v>
      </c>
      <c r="F2269" s="1" t="s">
        <v>419</v>
      </c>
      <c r="G2269" s="1" t="s">
        <v>16</v>
      </c>
      <c r="H2269" s="1" t="s">
        <v>29</v>
      </c>
      <c r="I2269" s="1" t="s">
        <v>41</v>
      </c>
      <c r="J2269">
        <v>30</v>
      </c>
      <c r="K2269">
        <v>77</v>
      </c>
      <c r="L2269" s="1" t="s">
        <v>80</v>
      </c>
    </row>
    <row r="2270" spans="1:12" x14ac:dyDescent="0.3">
      <c r="A2270" s="1" t="s">
        <v>195</v>
      </c>
      <c r="B2270" s="2">
        <v>45854</v>
      </c>
      <c r="C2270" s="2">
        <v>45886</v>
      </c>
      <c r="D2270" s="1" t="s">
        <v>37</v>
      </c>
      <c r="E2270" s="1" t="s">
        <v>24</v>
      </c>
      <c r="F2270" s="1" t="s">
        <v>15</v>
      </c>
      <c r="G2270" s="1" t="s">
        <v>16</v>
      </c>
      <c r="H2270" s="1" t="s">
        <v>39</v>
      </c>
      <c r="I2270" s="1" t="s">
        <v>41</v>
      </c>
      <c r="J2270">
        <v>45</v>
      </c>
      <c r="K2270">
        <v>32</v>
      </c>
      <c r="L2270" s="1" t="s">
        <v>21</v>
      </c>
    </row>
    <row r="2271" spans="1:12" x14ac:dyDescent="0.3">
      <c r="A2271" s="1" t="s">
        <v>2625</v>
      </c>
      <c r="B2271" s="2">
        <v>45854</v>
      </c>
      <c r="C2271" s="2">
        <v>45894</v>
      </c>
      <c r="D2271" s="1" t="s">
        <v>28</v>
      </c>
      <c r="E2271" s="1" t="s">
        <v>24</v>
      </c>
      <c r="F2271" s="1" t="s">
        <v>15</v>
      </c>
      <c r="G2271" s="1" t="s">
        <v>53</v>
      </c>
      <c r="H2271" s="1" t="s">
        <v>54</v>
      </c>
      <c r="I2271" s="1" t="s">
        <v>18</v>
      </c>
      <c r="J2271">
        <v>45</v>
      </c>
      <c r="K2271">
        <v>40</v>
      </c>
      <c r="L2271" s="1" t="s">
        <v>21</v>
      </c>
    </row>
    <row r="2272" spans="1:12" x14ac:dyDescent="0.3">
      <c r="A2272" s="1" t="s">
        <v>3084</v>
      </c>
      <c r="B2272" s="2">
        <v>45854</v>
      </c>
      <c r="C2272" s="2">
        <v>45889</v>
      </c>
      <c r="D2272" s="1" t="s">
        <v>28</v>
      </c>
      <c r="E2272" s="1" t="s">
        <v>14</v>
      </c>
      <c r="F2272" s="1" t="s">
        <v>15</v>
      </c>
      <c r="G2272" s="1" t="s">
        <v>33</v>
      </c>
      <c r="H2272" s="1" t="s">
        <v>29</v>
      </c>
      <c r="I2272" s="1" t="s">
        <v>18</v>
      </c>
      <c r="J2272">
        <v>15</v>
      </c>
      <c r="K2272">
        <v>35</v>
      </c>
      <c r="L2272" s="1" t="s">
        <v>21</v>
      </c>
    </row>
    <row r="2273" spans="1:12" x14ac:dyDescent="0.3">
      <c r="A2273" s="1" t="s">
        <v>383</v>
      </c>
      <c r="B2273" s="2">
        <v>45853</v>
      </c>
      <c r="C2273" s="2">
        <v>45907</v>
      </c>
      <c r="D2273" s="1" t="s">
        <v>23</v>
      </c>
      <c r="E2273" s="1" t="s">
        <v>24</v>
      </c>
      <c r="F2273" s="1" t="s">
        <v>15</v>
      </c>
      <c r="G2273" s="1" t="s">
        <v>16</v>
      </c>
      <c r="H2273" s="1" t="s">
        <v>25</v>
      </c>
      <c r="I2273" s="1" t="s">
        <v>18</v>
      </c>
      <c r="J2273">
        <v>30</v>
      </c>
      <c r="K2273">
        <v>54</v>
      </c>
      <c r="L2273" s="1" t="s">
        <v>44</v>
      </c>
    </row>
    <row r="2274" spans="1:12" x14ac:dyDescent="0.3">
      <c r="A2274" s="1" t="s">
        <v>537</v>
      </c>
      <c r="B2274" s="2">
        <v>45853</v>
      </c>
      <c r="C2274" s="2">
        <v>45894</v>
      </c>
      <c r="D2274" s="1" t="s">
        <v>23</v>
      </c>
      <c r="E2274" s="1" t="s">
        <v>14</v>
      </c>
      <c r="F2274" s="1" t="s">
        <v>15</v>
      </c>
      <c r="G2274" s="1" t="s">
        <v>16</v>
      </c>
      <c r="H2274" s="1" t="s">
        <v>43</v>
      </c>
      <c r="I2274" s="1" t="s">
        <v>18</v>
      </c>
      <c r="J2274">
        <v>30</v>
      </c>
      <c r="K2274">
        <v>41</v>
      </c>
      <c r="L2274" s="1" t="s">
        <v>21</v>
      </c>
    </row>
    <row r="2275" spans="1:12" x14ac:dyDescent="0.3">
      <c r="A2275" s="1" t="s">
        <v>883</v>
      </c>
      <c r="B2275" s="2">
        <v>45853</v>
      </c>
      <c r="C2275" s="2">
        <v>45879</v>
      </c>
      <c r="D2275" s="1" t="s">
        <v>23</v>
      </c>
      <c r="E2275" s="1" t="s">
        <v>14</v>
      </c>
      <c r="F2275" s="1" t="s">
        <v>15</v>
      </c>
      <c r="G2275" s="1" t="s">
        <v>16</v>
      </c>
      <c r="H2275" s="1" t="s">
        <v>25</v>
      </c>
      <c r="I2275" s="1" t="s">
        <v>26</v>
      </c>
      <c r="J2275">
        <v>30</v>
      </c>
      <c r="K2275">
        <v>26</v>
      </c>
      <c r="L2275" s="1" t="s">
        <v>19</v>
      </c>
    </row>
    <row r="2276" spans="1:12" x14ac:dyDescent="0.3">
      <c r="A2276" s="1" t="s">
        <v>1525</v>
      </c>
      <c r="B2276" s="2">
        <v>45853</v>
      </c>
      <c r="C2276" s="2">
        <v>45871</v>
      </c>
      <c r="D2276" s="1" t="s">
        <v>13</v>
      </c>
      <c r="E2276" s="1" t="s">
        <v>14</v>
      </c>
      <c r="F2276" s="1" t="s">
        <v>15</v>
      </c>
      <c r="G2276" s="1" t="s">
        <v>16</v>
      </c>
      <c r="H2276" s="1" t="s">
        <v>47</v>
      </c>
      <c r="I2276" s="1" t="s">
        <v>26</v>
      </c>
      <c r="J2276">
        <v>15</v>
      </c>
      <c r="K2276">
        <v>18</v>
      </c>
      <c r="L2276" s="1" t="s">
        <v>19</v>
      </c>
    </row>
    <row r="2277" spans="1:12" x14ac:dyDescent="0.3">
      <c r="A2277" s="1" t="s">
        <v>2083</v>
      </c>
      <c r="B2277" s="2">
        <v>45853</v>
      </c>
      <c r="C2277" s="2">
        <v>45905</v>
      </c>
      <c r="D2277" s="1" t="s">
        <v>13</v>
      </c>
      <c r="E2277" s="1" t="s">
        <v>14</v>
      </c>
      <c r="F2277" s="1" t="s">
        <v>15</v>
      </c>
      <c r="G2277" s="1" t="s">
        <v>16</v>
      </c>
      <c r="H2277" s="1" t="s">
        <v>17</v>
      </c>
      <c r="I2277" s="1" t="s">
        <v>18</v>
      </c>
      <c r="J2277">
        <v>15</v>
      </c>
      <c r="K2277">
        <v>52</v>
      </c>
      <c r="L2277" s="1" t="s">
        <v>44</v>
      </c>
    </row>
    <row r="2278" spans="1:12" x14ac:dyDescent="0.3">
      <c r="A2278" s="1" t="s">
        <v>2228</v>
      </c>
      <c r="B2278" s="2">
        <v>45853</v>
      </c>
      <c r="C2278" s="2">
        <v>45881</v>
      </c>
      <c r="D2278" s="1" t="s">
        <v>23</v>
      </c>
      <c r="E2278" s="1" t="s">
        <v>24</v>
      </c>
      <c r="F2278" s="1" t="s">
        <v>15</v>
      </c>
      <c r="G2278" s="1" t="s">
        <v>16</v>
      </c>
      <c r="H2278" s="1" t="s">
        <v>25</v>
      </c>
      <c r="I2278" s="1" t="s">
        <v>41</v>
      </c>
      <c r="J2278">
        <v>30</v>
      </c>
      <c r="K2278">
        <v>28</v>
      </c>
      <c r="L2278" s="1" t="s">
        <v>19</v>
      </c>
    </row>
    <row r="2279" spans="1:12" x14ac:dyDescent="0.3">
      <c r="A2279" s="1" t="s">
        <v>2271</v>
      </c>
      <c r="B2279" s="2">
        <v>45853</v>
      </c>
      <c r="C2279" s="2">
        <v>45920</v>
      </c>
      <c r="D2279" s="1" t="s">
        <v>32</v>
      </c>
      <c r="E2279" s="1" t="s">
        <v>14</v>
      </c>
      <c r="F2279" s="1" t="s">
        <v>15</v>
      </c>
      <c r="G2279" s="1" t="s">
        <v>16</v>
      </c>
      <c r="H2279" s="1" t="s">
        <v>71</v>
      </c>
      <c r="I2279" s="1" t="s">
        <v>26</v>
      </c>
      <c r="J2279">
        <v>30</v>
      </c>
      <c r="K2279">
        <v>67</v>
      </c>
      <c r="L2279" s="1" t="s">
        <v>80</v>
      </c>
    </row>
    <row r="2280" spans="1:12" x14ac:dyDescent="0.3">
      <c r="A2280" s="1" t="s">
        <v>2440</v>
      </c>
      <c r="B2280" s="2">
        <v>45853</v>
      </c>
      <c r="C2280" s="2">
        <v>45905</v>
      </c>
      <c r="D2280" s="1" t="s">
        <v>37</v>
      </c>
      <c r="E2280" s="1" t="s">
        <v>24</v>
      </c>
      <c r="F2280" s="1" t="s">
        <v>38</v>
      </c>
      <c r="G2280" s="1" t="s">
        <v>16</v>
      </c>
      <c r="H2280" s="1" t="s">
        <v>39</v>
      </c>
      <c r="I2280" s="1" t="s">
        <v>41</v>
      </c>
      <c r="J2280">
        <v>45</v>
      </c>
      <c r="K2280">
        <v>52</v>
      </c>
      <c r="L2280" s="1" t="s">
        <v>44</v>
      </c>
    </row>
    <row r="2281" spans="1:12" x14ac:dyDescent="0.3">
      <c r="A2281" s="1" t="s">
        <v>1603</v>
      </c>
      <c r="B2281" s="2">
        <v>45853</v>
      </c>
      <c r="C2281" s="2">
        <v>45894</v>
      </c>
      <c r="D2281" s="1" t="s">
        <v>37</v>
      </c>
      <c r="E2281" s="1" t="s">
        <v>14</v>
      </c>
      <c r="F2281" s="1" t="s">
        <v>15</v>
      </c>
      <c r="G2281" s="1" t="s">
        <v>16</v>
      </c>
      <c r="H2281" s="1" t="s">
        <v>49</v>
      </c>
      <c r="I2281" s="1" t="s">
        <v>41</v>
      </c>
      <c r="J2281">
        <v>15</v>
      </c>
      <c r="K2281">
        <v>41</v>
      </c>
      <c r="L2281" s="1" t="s">
        <v>21</v>
      </c>
    </row>
    <row r="2282" spans="1:12" x14ac:dyDescent="0.3">
      <c r="A2282" s="1" t="s">
        <v>2239</v>
      </c>
      <c r="B2282" s="2">
        <v>45853</v>
      </c>
      <c r="C2282" s="2">
        <v>45884</v>
      </c>
      <c r="D2282" s="1" t="s">
        <v>37</v>
      </c>
      <c r="E2282" s="1" t="s">
        <v>24</v>
      </c>
      <c r="F2282" s="1" t="s">
        <v>15</v>
      </c>
      <c r="G2282" s="1" t="s">
        <v>16</v>
      </c>
      <c r="H2282" s="1" t="s">
        <v>49</v>
      </c>
      <c r="I2282" s="1" t="s">
        <v>18</v>
      </c>
      <c r="J2282">
        <v>30</v>
      </c>
      <c r="K2282">
        <v>31</v>
      </c>
      <c r="L2282" s="1" t="s">
        <v>21</v>
      </c>
    </row>
    <row r="2283" spans="1:12" x14ac:dyDescent="0.3">
      <c r="A2283" s="1" t="s">
        <v>2583</v>
      </c>
      <c r="B2283" s="2">
        <v>45853</v>
      </c>
      <c r="C2283" s="2">
        <v>45898</v>
      </c>
      <c r="D2283" s="1" t="s">
        <v>28</v>
      </c>
      <c r="E2283" s="1" t="s">
        <v>14</v>
      </c>
      <c r="F2283" s="1" t="s">
        <v>15</v>
      </c>
      <c r="G2283" s="1" t="s">
        <v>16</v>
      </c>
      <c r="H2283" s="1" t="s">
        <v>54</v>
      </c>
      <c r="I2283" s="1" t="s">
        <v>26</v>
      </c>
      <c r="J2283">
        <v>15</v>
      </c>
      <c r="K2283">
        <v>45</v>
      </c>
      <c r="L2283" s="1" t="s">
        <v>44</v>
      </c>
    </row>
    <row r="2284" spans="1:12" x14ac:dyDescent="0.3">
      <c r="A2284" s="1" t="s">
        <v>2849</v>
      </c>
      <c r="B2284" s="2">
        <v>45853</v>
      </c>
      <c r="C2284" s="2">
        <v>45896</v>
      </c>
      <c r="D2284" s="1" t="s">
        <v>23</v>
      </c>
      <c r="E2284" s="1" t="s">
        <v>14</v>
      </c>
      <c r="F2284" s="1" t="s">
        <v>15</v>
      </c>
      <c r="G2284" s="1" t="s">
        <v>53</v>
      </c>
      <c r="H2284" s="1" t="s">
        <v>25</v>
      </c>
      <c r="I2284" s="1" t="s">
        <v>26</v>
      </c>
      <c r="J2284">
        <v>15</v>
      </c>
      <c r="K2284">
        <v>43</v>
      </c>
      <c r="L2284" s="1" t="s">
        <v>44</v>
      </c>
    </row>
    <row r="2285" spans="1:12" x14ac:dyDescent="0.3">
      <c r="A2285" s="1" t="s">
        <v>523</v>
      </c>
      <c r="B2285" s="2">
        <v>45852</v>
      </c>
      <c r="C2285" s="2">
        <v>45903</v>
      </c>
      <c r="D2285" s="1" t="s">
        <v>13</v>
      </c>
      <c r="E2285" s="1" t="s">
        <v>24</v>
      </c>
      <c r="F2285" s="1" t="s">
        <v>15</v>
      </c>
      <c r="G2285" s="1" t="s">
        <v>33</v>
      </c>
      <c r="H2285" s="1" t="s">
        <v>47</v>
      </c>
      <c r="I2285" s="1" t="s">
        <v>18</v>
      </c>
      <c r="J2285">
        <v>30</v>
      </c>
      <c r="K2285">
        <v>51</v>
      </c>
      <c r="L2285" s="1" t="s">
        <v>44</v>
      </c>
    </row>
    <row r="2286" spans="1:12" x14ac:dyDescent="0.3">
      <c r="A2286" s="1" t="s">
        <v>702</v>
      </c>
      <c r="B2286" s="2">
        <v>45852</v>
      </c>
      <c r="C2286" s="2">
        <v>45860</v>
      </c>
      <c r="D2286" s="1" t="s">
        <v>32</v>
      </c>
      <c r="E2286" s="1" t="s">
        <v>24</v>
      </c>
      <c r="F2286" s="1" t="s">
        <v>38</v>
      </c>
      <c r="G2286" s="1" t="s">
        <v>16</v>
      </c>
      <c r="H2286" s="1" t="s">
        <v>34</v>
      </c>
      <c r="I2286" s="1" t="s">
        <v>26</v>
      </c>
      <c r="J2286">
        <v>30</v>
      </c>
      <c r="K2286">
        <v>8</v>
      </c>
      <c r="L2286" s="1" t="s">
        <v>30</v>
      </c>
    </row>
    <row r="2287" spans="1:12" x14ac:dyDescent="0.3">
      <c r="A2287" s="1" t="s">
        <v>897</v>
      </c>
      <c r="B2287" s="2">
        <v>45852</v>
      </c>
      <c r="C2287" s="2">
        <v>45906</v>
      </c>
      <c r="D2287" s="1" t="s">
        <v>32</v>
      </c>
      <c r="E2287" s="1" t="s">
        <v>24</v>
      </c>
      <c r="F2287" s="1" t="s">
        <v>15</v>
      </c>
      <c r="G2287" s="1" t="s">
        <v>16</v>
      </c>
      <c r="H2287" s="1" t="s">
        <v>71</v>
      </c>
      <c r="I2287" s="1" t="s">
        <v>41</v>
      </c>
      <c r="J2287">
        <v>30</v>
      </c>
      <c r="K2287">
        <v>54</v>
      </c>
      <c r="L2287" s="1" t="s">
        <v>44</v>
      </c>
    </row>
    <row r="2288" spans="1:12" x14ac:dyDescent="0.3">
      <c r="A2288" s="1" t="s">
        <v>1272</v>
      </c>
      <c r="B2288" s="2">
        <v>45852</v>
      </c>
      <c r="C2288" s="2">
        <v>45878</v>
      </c>
      <c r="D2288" s="1" t="s">
        <v>23</v>
      </c>
      <c r="E2288" s="1" t="s">
        <v>14</v>
      </c>
      <c r="F2288" s="1" t="s">
        <v>15</v>
      </c>
      <c r="G2288" s="1" t="s">
        <v>53</v>
      </c>
      <c r="H2288" s="1" t="s">
        <v>43</v>
      </c>
      <c r="I2288" s="1" t="s">
        <v>26</v>
      </c>
      <c r="J2288">
        <v>15</v>
      </c>
      <c r="K2288">
        <v>26</v>
      </c>
      <c r="L2288" s="1" t="s">
        <v>19</v>
      </c>
    </row>
    <row r="2289" spans="1:12" x14ac:dyDescent="0.3">
      <c r="A2289" s="1" t="s">
        <v>2035</v>
      </c>
      <c r="B2289" s="2">
        <v>45852</v>
      </c>
      <c r="C2289" s="2">
        <v>45905</v>
      </c>
      <c r="D2289" s="1" t="s">
        <v>32</v>
      </c>
      <c r="E2289" s="1" t="s">
        <v>14</v>
      </c>
      <c r="F2289" s="1" t="s">
        <v>15</v>
      </c>
      <c r="G2289" s="1" t="s">
        <v>16</v>
      </c>
      <c r="H2289" s="1" t="s">
        <v>34</v>
      </c>
      <c r="I2289" s="1" t="s">
        <v>26</v>
      </c>
      <c r="J2289">
        <v>15</v>
      </c>
      <c r="K2289">
        <v>53</v>
      </c>
      <c r="L2289" s="1" t="s">
        <v>44</v>
      </c>
    </row>
    <row r="2290" spans="1:12" x14ac:dyDescent="0.3">
      <c r="A2290" s="1" t="s">
        <v>2235</v>
      </c>
      <c r="B2290" s="2">
        <v>45852</v>
      </c>
      <c r="C2290" s="2">
        <v>45883</v>
      </c>
      <c r="D2290" s="1" t="s">
        <v>32</v>
      </c>
      <c r="E2290" s="1" t="s">
        <v>14</v>
      </c>
      <c r="F2290" s="1" t="s">
        <v>15</v>
      </c>
      <c r="G2290" s="1" t="s">
        <v>53</v>
      </c>
      <c r="H2290" s="1" t="s">
        <v>71</v>
      </c>
      <c r="I2290" s="1" t="s">
        <v>26</v>
      </c>
      <c r="J2290">
        <v>15</v>
      </c>
      <c r="K2290">
        <v>31</v>
      </c>
      <c r="L2290" s="1" t="s">
        <v>21</v>
      </c>
    </row>
    <row r="2291" spans="1:12" x14ac:dyDescent="0.3">
      <c r="A2291" s="1" t="s">
        <v>2261</v>
      </c>
      <c r="B2291" s="2">
        <v>45852</v>
      </c>
      <c r="C2291" s="2">
        <v>45885</v>
      </c>
      <c r="D2291" s="1" t="s">
        <v>28</v>
      </c>
      <c r="E2291" s="1" t="s">
        <v>14</v>
      </c>
      <c r="F2291" s="1" t="s">
        <v>15</v>
      </c>
      <c r="G2291" s="1" t="s">
        <v>16</v>
      </c>
      <c r="H2291" s="1" t="s">
        <v>29</v>
      </c>
      <c r="I2291" s="1" t="s">
        <v>18</v>
      </c>
      <c r="J2291">
        <v>15</v>
      </c>
      <c r="K2291">
        <v>33</v>
      </c>
      <c r="L2291" s="1" t="s">
        <v>21</v>
      </c>
    </row>
    <row r="2292" spans="1:12" x14ac:dyDescent="0.3">
      <c r="A2292" s="1" t="s">
        <v>492</v>
      </c>
      <c r="B2292" s="2">
        <v>45852</v>
      </c>
      <c r="C2292" s="2">
        <v>45898</v>
      </c>
      <c r="D2292" s="1" t="s">
        <v>37</v>
      </c>
      <c r="E2292" s="1" t="s">
        <v>14</v>
      </c>
      <c r="F2292" s="1" t="s">
        <v>15</v>
      </c>
      <c r="G2292" s="1" t="s">
        <v>33</v>
      </c>
      <c r="H2292" s="1" t="s">
        <v>49</v>
      </c>
      <c r="I2292" s="1" t="s">
        <v>26</v>
      </c>
      <c r="J2292">
        <v>15</v>
      </c>
      <c r="K2292">
        <v>46</v>
      </c>
      <c r="L2292" s="1" t="s">
        <v>44</v>
      </c>
    </row>
    <row r="2293" spans="1:12" x14ac:dyDescent="0.3">
      <c r="A2293" s="1" t="s">
        <v>137</v>
      </c>
      <c r="B2293" s="2">
        <v>45852</v>
      </c>
      <c r="C2293" s="2">
        <v>45858</v>
      </c>
      <c r="D2293" s="1" t="s">
        <v>37</v>
      </c>
      <c r="E2293" s="1" t="s">
        <v>14</v>
      </c>
      <c r="F2293" s="1" t="s">
        <v>38</v>
      </c>
      <c r="G2293" s="1" t="s">
        <v>16</v>
      </c>
      <c r="H2293" s="1" t="s">
        <v>49</v>
      </c>
      <c r="I2293" s="1" t="s">
        <v>18</v>
      </c>
      <c r="J2293">
        <v>15</v>
      </c>
      <c r="K2293">
        <v>6</v>
      </c>
      <c r="L2293" s="1" t="s">
        <v>30</v>
      </c>
    </row>
    <row r="2294" spans="1:12" x14ac:dyDescent="0.3">
      <c r="A2294" s="1" t="s">
        <v>2461</v>
      </c>
      <c r="B2294" s="2">
        <v>45852</v>
      </c>
      <c r="C2294" s="2">
        <v>45900</v>
      </c>
      <c r="D2294" s="1" t="s">
        <v>32</v>
      </c>
      <c r="E2294" s="1" t="s">
        <v>24</v>
      </c>
      <c r="F2294" s="1" t="s">
        <v>15</v>
      </c>
      <c r="G2294" s="1" t="s">
        <v>33</v>
      </c>
      <c r="H2294" s="1" t="s">
        <v>71</v>
      </c>
      <c r="I2294" s="1" t="s">
        <v>26</v>
      </c>
      <c r="J2294">
        <v>30</v>
      </c>
      <c r="K2294">
        <v>48</v>
      </c>
      <c r="L2294" s="1" t="s">
        <v>44</v>
      </c>
    </row>
    <row r="2295" spans="1:12" x14ac:dyDescent="0.3">
      <c r="A2295" s="1" t="s">
        <v>2854</v>
      </c>
      <c r="B2295" s="2">
        <v>45852</v>
      </c>
      <c r="C2295" s="2">
        <v>45876</v>
      </c>
      <c r="D2295" s="1" t="s">
        <v>13</v>
      </c>
      <c r="E2295" s="1" t="s">
        <v>24</v>
      </c>
      <c r="F2295" s="1" t="s">
        <v>15</v>
      </c>
      <c r="G2295" s="1" t="s">
        <v>16</v>
      </c>
      <c r="H2295" s="1" t="s">
        <v>47</v>
      </c>
      <c r="I2295" s="1" t="s">
        <v>41</v>
      </c>
      <c r="J2295">
        <v>45</v>
      </c>
      <c r="K2295">
        <v>24</v>
      </c>
      <c r="L2295" s="1" t="s">
        <v>19</v>
      </c>
    </row>
    <row r="2296" spans="1:12" x14ac:dyDescent="0.3">
      <c r="A2296" s="1" t="s">
        <v>340</v>
      </c>
      <c r="B2296" s="2">
        <v>45851</v>
      </c>
      <c r="C2296" s="2">
        <v>45893</v>
      </c>
      <c r="D2296" s="1" t="s">
        <v>23</v>
      </c>
      <c r="E2296" s="1" t="s">
        <v>14</v>
      </c>
      <c r="F2296" s="1" t="s">
        <v>15</v>
      </c>
      <c r="G2296" s="1" t="s">
        <v>16</v>
      </c>
      <c r="H2296" s="1" t="s">
        <v>25</v>
      </c>
      <c r="I2296" s="1" t="s">
        <v>18</v>
      </c>
      <c r="J2296">
        <v>30</v>
      </c>
      <c r="K2296">
        <v>42</v>
      </c>
      <c r="L2296" s="1" t="s">
        <v>21</v>
      </c>
    </row>
    <row r="2297" spans="1:12" x14ac:dyDescent="0.3">
      <c r="A2297" s="1" t="s">
        <v>856</v>
      </c>
      <c r="B2297" s="2">
        <v>45851</v>
      </c>
      <c r="C2297" s="2">
        <v>45914</v>
      </c>
      <c r="D2297" s="1" t="s">
        <v>23</v>
      </c>
      <c r="E2297" s="1" t="s">
        <v>14</v>
      </c>
      <c r="F2297" s="1" t="s">
        <v>15</v>
      </c>
      <c r="G2297" s="1" t="s">
        <v>16</v>
      </c>
      <c r="H2297" s="1" t="s">
        <v>43</v>
      </c>
      <c r="I2297" s="1" t="s">
        <v>18</v>
      </c>
      <c r="J2297">
        <v>15</v>
      </c>
      <c r="K2297">
        <v>63</v>
      </c>
      <c r="L2297" s="1" t="s">
        <v>80</v>
      </c>
    </row>
    <row r="2298" spans="1:12" x14ac:dyDescent="0.3">
      <c r="A2298" s="1" t="s">
        <v>1251</v>
      </c>
      <c r="B2298" s="2">
        <v>45851</v>
      </c>
      <c r="C2298" s="2">
        <v>45900</v>
      </c>
      <c r="D2298" s="1" t="s">
        <v>28</v>
      </c>
      <c r="E2298" s="1" t="s">
        <v>14</v>
      </c>
      <c r="F2298" s="1" t="s">
        <v>15</v>
      </c>
      <c r="G2298" s="1" t="s">
        <v>53</v>
      </c>
      <c r="H2298" s="1" t="s">
        <v>54</v>
      </c>
      <c r="I2298" s="1" t="s">
        <v>41</v>
      </c>
      <c r="J2298">
        <v>15</v>
      </c>
      <c r="K2298">
        <v>49</v>
      </c>
      <c r="L2298" s="1" t="s">
        <v>44</v>
      </c>
    </row>
    <row r="2299" spans="1:12" x14ac:dyDescent="0.3">
      <c r="A2299" s="1" t="s">
        <v>1424</v>
      </c>
      <c r="B2299" s="2">
        <v>45851</v>
      </c>
      <c r="C2299" s="2">
        <v>45908</v>
      </c>
      <c r="D2299" s="1" t="s">
        <v>13</v>
      </c>
      <c r="E2299" s="1" t="s">
        <v>14</v>
      </c>
      <c r="F2299" s="1" t="s">
        <v>15</v>
      </c>
      <c r="G2299" s="1" t="s">
        <v>53</v>
      </c>
      <c r="H2299" s="1" t="s">
        <v>47</v>
      </c>
      <c r="I2299" s="1" t="s">
        <v>18</v>
      </c>
      <c r="J2299">
        <v>15</v>
      </c>
      <c r="K2299">
        <v>57</v>
      </c>
      <c r="L2299" s="1" t="s">
        <v>80</v>
      </c>
    </row>
    <row r="2300" spans="1:12" x14ac:dyDescent="0.3">
      <c r="A2300" s="1" t="s">
        <v>2152</v>
      </c>
      <c r="B2300" s="2">
        <v>45851</v>
      </c>
      <c r="C2300" s="2">
        <v>45888</v>
      </c>
      <c r="D2300" s="1" t="s">
        <v>23</v>
      </c>
      <c r="E2300" s="1" t="s">
        <v>24</v>
      </c>
      <c r="F2300" s="1" t="s">
        <v>38</v>
      </c>
      <c r="G2300" s="1" t="s">
        <v>53</v>
      </c>
      <c r="H2300" s="1" t="s">
        <v>43</v>
      </c>
      <c r="I2300" s="1" t="s">
        <v>18</v>
      </c>
      <c r="J2300">
        <v>30</v>
      </c>
      <c r="K2300">
        <v>37</v>
      </c>
      <c r="L2300" s="1" t="s">
        <v>21</v>
      </c>
    </row>
    <row r="2301" spans="1:12" x14ac:dyDescent="0.3">
      <c r="A2301" s="1" t="s">
        <v>576</v>
      </c>
      <c r="B2301" s="2">
        <v>45851</v>
      </c>
      <c r="C2301" s="2">
        <v>45900</v>
      </c>
      <c r="D2301" s="1" t="s">
        <v>37</v>
      </c>
      <c r="E2301" s="1" t="s">
        <v>14</v>
      </c>
      <c r="F2301" s="1" t="s">
        <v>15</v>
      </c>
      <c r="G2301" s="1" t="s">
        <v>16</v>
      </c>
      <c r="H2301" s="1" t="s">
        <v>49</v>
      </c>
      <c r="I2301" s="1" t="s">
        <v>41</v>
      </c>
      <c r="J2301">
        <v>15</v>
      </c>
      <c r="K2301">
        <v>49</v>
      </c>
      <c r="L2301" s="1" t="s">
        <v>44</v>
      </c>
    </row>
    <row r="2302" spans="1:12" x14ac:dyDescent="0.3">
      <c r="A2302" s="1" t="s">
        <v>1452</v>
      </c>
      <c r="B2302" s="2">
        <v>45851</v>
      </c>
      <c r="C2302" s="2">
        <v>45885</v>
      </c>
      <c r="D2302" s="1" t="s">
        <v>37</v>
      </c>
      <c r="E2302" s="1" t="s">
        <v>14</v>
      </c>
      <c r="F2302" s="1" t="s">
        <v>15</v>
      </c>
      <c r="G2302" s="1" t="s">
        <v>16</v>
      </c>
      <c r="H2302" s="1" t="s">
        <v>39</v>
      </c>
      <c r="I2302" s="1" t="s">
        <v>26</v>
      </c>
      <c r="J2302">
        <v>15</v>
      </c>
      <c r="K2302">
        <v>34</v>
      </c>
      <c r="L2302" s="1" t="s">
        <v>21</v>
      </c>
    </row>
    <row r="2303" spans="1:12" x14ac:dyDescent="0.3">
      <c r="A2303" s="1" t="s">
        <v>2748</v>
      </c>
      <c r="B2303" s="2">
        <v>45851</v>
      </c>
      <c r="C2303" s="2">
        <v>45877</v>
      </c>
      <c r="D2303" s="1" t="s">
        <v>37</v>
      </c>
      <c r="E2303" s="1" t="s">
        <v>24</v>
      </c>
      <c r="F2303" s="1" t="s">
        <v>15</v>
      </c>
      <c r="G2303" s="1" t="s">
        <v>16</v>
      </c>
      <c r="H2303" s="1" t="s">
        <v>49</v>
      </c>
      <c r="I2303" s="1" t="s">
        <v>41</v>
      </c>
      <c r="J2303">
        <v>30</v>
      </c>
      <c r="K2303">
        <v>26</v>
      </c>
      <c r="L2303" s="1" t="s">
        <v>19</v>
      </c>
    </row>
    <row r="2304" spans="1:12" x14ac:dyDescent="0.3">
      <c r="A2304" s="1" t="s">
        <v>193</v>
      </c>
      <c r="B2304" s="2">
        <v>45850</v>
      </c>
      <c r="C2304" s="2">
        <v>45852</v>
      </c>
      <c r="D2304" s="1" t="s">
        <v>23</v>
      </c>
      <c r="E2304" s="1" t="s">
        <v>14</v>
      </c>
      <c r="F2304" s="1" t="s">
        <v>38</v>
      </c>
      <c r="G2304" s="1" t="s">
        <v>16</v>
      </c>
      <c r="H2304" s="1" t="s">
        <v>25</v>
      </c>
      <c r="I2304" s="1" t="s">
        <v>41</v>
      </c>
      <c r="J2304">
        <v>15</v>
      </c>
      <c r="K2304">
        <v>2</v>
      </c>
      <c r="L2304" s="1" t="s">
        <v>30</v>
      </c>
    </row>
    <row r="2305" spans="1:12" x14ac:dyDescent="0.3">
      <c r="A2305" s="1" t="s">
        <v>355</v>
      </c>
      <c r="B2305" s="2">
        <v>45850</v>
      </c>
      <c r="C2305" s="2">
        <v>45863</v>
      </c>
      <c r="D2305" s="1" t="s">
        <v>32</v>
      </c>
      <c r="E2305" s="1" t="s">
        <v>14</v>
      </c>
      <c r="F2305" s="1" t="s">
        <v>15</v>
      </c>
      <c r="G2305" s="1" t="s">
        <v>16</v>
      </c>
      <c r="H2305" s="1" t="s">
        <v>71</v>
      </c>
      <c r="I2305" s="1" t="s">
        <v>41</v>
      </c>
      <c r="J2305">
        <v>15</v>
      </c>
      <c r="K2305">
        <v>13</v>
      </c>
      <c r="L2305" s="1" t="s">
        <v>30</v>
      </c>
    </row>
    <row r="2306" spans="1:12" x14ac:dyDescent="0.3">
      <c r="A2306" s="1" t="s">
        <v>441</v>
      </c>
      <c r="B2306" s="2">
        <v>45850</v>
      </c>
      <c r="C2306" s="2">
        <v>45879</v>
      </c>
      <c r="D2306" s="1" t="s">
        <v>28</v>
      </c>
      <c r="E2306" s="1" t="s">
        <v>14</v>
      </c>
      <c r="F2306" s="1" t="s">
        <v>15</v>
      </c>
      <c r="G2306" s="1" t="s">
        <v>53</v>
      </c>
      <c r="H2306" s="1" t="s">
        <v>29</v>
      </c>
      <c r="I2306" s="1" t="s">
        <v>18</v>
      </c>
      <c r="J2306">
        <v>15</v>
      </c>
      <c r="K2306">
        <v>29</v>
      </c>
      <c r="L2306" s="1" t="s">
        <v>21</v>
      </c>
    </row>
    <row r="2307" spans="1:12" x14ac:dyDescent="0.3">
      <c r="A2307" s="1" t="s">
        <v>615</v>
      </c>
      <c r="B2307" s="2">
        <v>45850</v>
      </c>
      <c r="C2307" s="2">
        <v>45878</v>
      </c>
      <c r="D2307" s="1" t="s">
        <v>23</v>
      </c>
      <c r="E2307" s="1" t="s">
        <v>24</v>
      </c>
      <c r="F2307" s="1" t="s">
        <v>15</v>
      </c>
      <c r="G2307" s="1" t="s">
        <v>33</v>
      </c>
      <c r="H2307" s="1" t="s">
        <v>43</v>
      </c>
      <c r="I2307" s="1" t="s">
        <v>18</v>
      </c>
      <c r="J2307">
        <v>30</v>
      </c>
      <c r="K2307">
        <v>28</v>
      </c>
      <c r="L2307" s="1" t="s">
        <v>19</v>
      </c>
    </row>
    <row r="2308" spans="1:12" x14ac:dyDescent="0.3">
      <c r="A2308" s="1" t="s">
        <v>1593</v>
      </c>
      <c r="B2308" s="2">
        <v>45850</v>
      </c>
      <c r="C2308" s="2">
        <v>45889</v>
      </c>
      <c r="D2308" s="1" t="s">
        <v>28</v>
      </c>
      <c r="E2308" s="1" t="s">
        <v>14</v>
      </c>
      <c r="F2308" s="1" t="s">
        <v>15</v>
      </c>
      <c r="G2308" s="1" t="s">
        <v>16</v>
      </c>
      <c r="H2308" s="1" t="s">
        <v>29</v>
      </c>
      <c r="I2308" s="1" t="s">
        <v>26</v>
      </c>
      <c r="J2308">
        <v>15</v>
      </c>
      <c r="K2308">
        <v>39</v>
      </c>
      <c r="L2308" s="1" t="s">
        <v>21</v>
      </c>
    </row>
    <row r="2309" spans="1:12" x14ac:dyDescent="0.3">
      <c r="A2309" s="1" t="s">
        <v>1959</v>
      </c>
      <c r="B2309" s="2">
        <v>45850</v>
      </c>
      <c r="C2309" s="2">
        <v>45852</v>
      </c>
      <c r="D2309" s="1" t="s">
        <v>32</v>
      </c>
      <c r="E2309" s="1" t="s">
        <v>24</v>
      </c>
      <c r="F2309" s="1" t="s">
        <v>15</v>
      </c>
      <c r="G2309" s="1" t="s">
        <v>16</v>
      </c>
      <c r="H2309" s="1" t="s">
        <v>71</v>
      </c>
      <c r="I2309" s="1" t="s">
        <v>26</v>
      </c>
      <c r="J2309">
        <v>30</v>
      </c>
      <c r="K2309">
        <v>2</v>
      </c>
      <c r="L2309" s="1" t="s">
        <v>30</v>
      </c>
    </row>
    <row r="2310" spans="1:12" x14ac:dyDescent="0.3">
      <c r="A2310" s="1" t="s">
        <v>2041</v>
      </c>
      <c r="B2310" s="2">
        <v>45850</v>
      </c>
      <c r="C2310" s="2">
        <v>45895</v>
      </c>
      <c r="D2310" s="1" t="s">
        <v>23</v>
      </c>
      <c r="E2310" s="1" t="s">
        <v>14</v>
      </c>
      <c r="F2310" s="1" t="s">
        <v>15</v>
      </c>
      <c r="G2310" s="1" t="s">
        <v>33</v>
      </c>
      <c r="H2310" s="1" t="s">
        <v>43</v>
      </c>
      <c r="I2310" s="1" t="s">
        <v>26</v>
      </c>
      <c r="J2310">
        <v>30</v>
      </c>
      <c r="K2310">
        <v>45</v>
      </c>
      <c r="L2310" s="1" t="s">
        <v>44</v>
      </c>
    </row>
    <row r="2311" spans="1:12" x14ac:dyDescent="0.3">
      <c r="A2311" s="1" t="s">
        <v>2042</v>
      </c>
      <c r="B2311" s="2">
        <v>45850</v>
      </c>
      <c r="C2311" s="2">
        <v>45870</v>
      </c>
      <c r="D2311" s="1" t="s">
        <v>13</v>
      </c>
      <c r="E2311" s="1" t="s">
        <v>24</v>
      </c>
      <c r="F2311" s="1" t="s">
        <v>38</v>
      </c>
      <c r="G2311" s="1" t="s">
        <v>16</v>
      </c>
      <c r="H2311" s="1" t="s">
        <v>47</v>
      </c>
      <c r="I2311" s="1" t="s">
        <v>26</v>
      </c>
      <c r="J2311">
        <v>30</v>
      </c>
      <c r="K2311">
        <v>20</v>
      </c>
      <c r="L2311" s="1" t="s">
        <v>19</v>
      </c>
    </row>
    <row r="2312" spans="1:12" x14ac:dyDescent="0.3">
      <c r="A2312" s="1" t="s">
        <v>2151</v>
      </c>
      <c r="B2312" s="2">
        <v>45850</v>
      </c>
      <c r="C2312" s="2">
        <v>45853</v>
      </c>
      <c r="D2312" s="1" t="s">
        <v>28</v>
      </c>
      <c r="E2312" s="1" t="s">
        <v>14</v>
      </c>
      <c r="F2312" s="1" t="s">
        <v>15</v>
      </c>
      <c r="G2312" s="1" t="s">
        <v>16</v>
      </c>
      <c r="H2312" s="1" t="s">
        <v>54</v>
      </c>
      <c r="I2312" s="1" t="s">
        <v>41</v>
      </c>
      <c r="J2312">
        <v>15</v>
      </c>
      <c r="K2312">
        <v>3</v>
      </c>
      <c r="L2312" s="1" t="s">
        <v>30</v>
      </c>
    </row>
    <row r="2313" spans="1:12" x14ac:dyDescent="0.3">
      <c r="A2313" s="1" t="s">
        <v>2153</v>
      </c>
      <c r="B2313" s="2">
        <v>45850</v>
      </c>
      <c r="C2313" s="2">
        <v>45893</v>
      </c>
      <c r="D2313" s="1" t="s">
        <v>23</v>
      </c>
      <c r="E2313" s="1" t="s">
        <v>24</v>
      </c>
      <c r="F2313" s="1" t="s">
        <v>15</v>
      </c>
      <c r="G2313" s="1" t="s">
        <v>33</v>
      </c>
      <c r="H2313" s="1" t="s">
        <v>43</v>
      </c>
      <c r="I2313" s="1" t="s">
        <v>41</v>
      </c>
      <c r="J2313">
        <v>30</v>
      </c>
      <c r="K2313">
        <v>43</v>
      </c>
      <c r="L2313" s="1" t="s">
        <v>44</v>
      </c>
    </row>
    <row r="2314" spans="1:12" x14ac:dyDescent="0.3">
      <c r="A2314" s="1" t="s">
        <v>2353</v>
      </c>
      <c r="B2314" s="2">
        <v>45850</v>
      </c>
      <c r="C2314" s="2">
        <v>45885</v>
      </c>
      <c r="D2314" s="1" t="s">
        <v>23</v>
      </c>
      <c r="E2314" s="1" t="s">
        <v>24</v>
      </c>
      <c r="F2314" s="1" t="s">
        <v>15</v>
      </c>
      <c r="G2314" s="1" t="s">
        <v>16</v>
      </c>
      <c r="H2314" s="1" t="s">
        <v>25</v>
      </c>
      <c r="I2314" s="1" t="s">
        <v>41</v>
      </c>
      <c r="J2314">
        <v>30</v>
      </c>
      <c r="K2314">
        <v>35</v>
      </c>
      <c r="L2314" s="1" t="s">
        <v>21</v>
      </c>
    </row>
    <row r="2315" spans="1:12" x14ac:dyDescent="0.3">
      <c r="A2315" s="1" t="s">
        <v>1070</v>
      </c>
      <c r="B2315" s="2">
        <v>45850</v>
      </c>
      <c r="C2315" s="2">
        <v>45910</v>
      </c>
      <c r="D2315" s="1" t="s">
        <v>37</v>
      </c>
      <c r="E2315" s="1" t="s">
        <v>14</v>
      </c>
      <c r="F2315" s="1" t="s">
        <v>15</v>
      </c>
      <c r="G2315" s="1" t="s">
        <v>33</v>
      </c>
      <c r="H2315" s="1" t="s">
        <v>39</v>
      </c>
      <c r="I2315" s="1" t="s">
        <v>18</v>
      </c>
      <c r="J2315">
        <v>30</v>
      </c>
      <c r="K2315">
        <v>60</v>
      </c>
      <c r="L2315" s="1" t="s">
        <v>80</v>
      </c>
    </row>
    <row r="2316" spans="1:12" x14ac:dyDescent="0.3">
      <c r="A2316" s="1" t="s">
        <v>3081</v>
      </c>
      <c r="B2316" s="2">
        <v>45850</v>
      </c>
      <c r="C2316" s="2">
        <v>45906</v>
      </c>
      <c r="D2316" s="1" t="s">
        <v>37</v>
      </c>
      <c r="E2316" s="1" t="s">
        <v>24</v>
      </c>
      <c r="F2316" s="1" t="s">
        <v>15</v>
      </c>
      <c r="G2316" s="1" t="s">
        <v>16</v>
      </c>
      <c r="H2316" s="1" t="s">
        <v>49</v>
      </c>
      <c r="I2316" s="1" t="s">
        <v>41</v>
      </c>
      <c r="J2316">
        <v>45</v>
      </c>
      <c r="K2316">
        <v>56</v>
      </c>
      <c r="L2316" s="1" t="s">
        <v>44</v>
      </c>
    </row>
    <row r="2317" spans="1:12" x14ac:dyDescent="0.3">
      <c r="A2317" s="1" t="s">
        <v>2829</v>
      </c>
      <c r="B2317" s="2">
        <v>45850</v>
      </c>
      <c r="C2317" s="2">
        <v>45868</v>
      </c>
      <c r="D2317" s="1" t="s">
        <v>23</v>
      </c>
      <c r="E2317" s="1" t="s">
        <v>14</v>
      </c>
      <c r="F2317" s="1" t="s">
        <v>15</v>
      </c>
      <c r="G2317" s="1" t="s">
        <v>16</v>
      </c>
      <c r="H2317" s="1" t="s">
        <v>43</v>
      </c>
      <c r="I2317" s="1" t="s">
        <v>18</v>
      </c>
      <c r="J2317">
        <v>15</v>
      </c>
      <c r="K2317">
        <v>18</v>
      </c>
      <c r="L2317" s="1" t="s">
        <v>19</v>
      </c>
    </row>
    <row r="2318" spans="1:12" x14ac:dyDescent="0.3">
      <c r="A2318" s="1" t="s">
        <v>2913</v>
      </c>
      <c r="B2318" s="2">
        <v>45850</v>
      </c>
      <c r="C2318" s="2">
        <v>45884</v>
      </c>
      <c r="D2318" s="1" t="s">
        <v>13</v>
      </c>
      <c r="E2318" s="1" t="s">
        <v>14</v>
      </c>
      <c r="F2318" s="1" t="s">
        <v>15</v>
      </c>
      <c r="G2318" s="1" t="s">
        <v>16</v>
      </c>
      <c r="H2318" s="1" t="s">
        <v>17</v>
      </c>
      <c r="I2318" s="1" t="s">
        <v>18</v>
      </c>
      <c r="J2318">
        <v>15</v>
      </c>
      <c r="K2318">
        <v>34</v>
      </c>
      <c r="L2318" s="1" t="s">
        <v>21</v>
      </c>
    </row>
    <row r="2319" spans="1:12" x14ac:dyDescent="0.3">
      <c r="A2319" s="1" t="s">
        <v>3021</v>
      </c>
      <c r="B2319" s="2">
        <v>45850</v>
      </c>
      <c r="C2319" s="2">
        <v>45865</v>
      </c>
      <c r="D2319" s="1" t="s">
        <v>23</v>
      </c>
      <c r="E2319" s="1" t="s">
        <v>24</v>
      </c>
      <c r="F2319" s="1" t="s">
        <v>15</v>
      </c>
      <c r="G2319" s="1" t="s">
        <v>16</v>
      </c>
      <c r="H2319" s="1" t="s">
        <v>25</v>
      </c>
      <c r="I2319" s="1" t="s">
        <v>18</v>
      </c>
      <c r="J2319">
        <v>45</v>
      </c>
      <c r="K2319">
        <v>15</v>
      </c>
      <c r="L2319" s="1" t="s">
        <v>19</v>
      </c>
    </row>
    <row r="2320" spans="1:12" x14ac:dyDescent="0.3">
      <c r="A2320" s="1" t="s">
        <v>455</v>
      </c>
      <c r="B2320" s="2">
        <v>45849</v>
      </c>
      <c r="C2320" s="2">
        <v>45885</v>
      </c>
      <c r="D2320" s="1" t="s">
        <v>13</v>
      </c>
      <c r="E2320" s="1" t="s">
        <v>24</v>
      </c>
      <c r="F2320" s="1" t="s">
        <v>15</v>
      </c>
      <c r="G2320" s="1" t="s">
        <v>53</v>
      </c>
      <c r="H2320" s="1" t="s">
        <v>17</v>
      </c>
      <c r="I2320" s="1" t="s">
        <v>18</v>
      </c>
      <c r="J2320">
        <v>30</v>
      </c>
      <c r="K2320">
        <v>36</v>
      </c>
      <c r="L2320" s="1" t="s">
        <v>21</v>
      </c>
    </row>
    <row r="2321" spans="1:12" x14ac:dyDescent="0.3">
      <c r="A2321" s="1" t="s">
        <v>992</v>
      </c>
      <c r="B2321" s="2">
        <v>45849</v>
      </c>
      <c r="C2321" s="2">
        <v>45878</v>
      </c>
      <c r="D2321" s="1" t="s">
        <v>13</v>
      </c>
      <c r="E2321" s="1" t="s">
        <v>14</v>
      </c>
      <c r="F2321" s="1" t="s">
        <v>15</v>
      </c>
      <c r="G2321" s="1" t="s">
        <v>16</v>
      </c>
      <c r="H2321" s="1" t="s">
        <v>47</v>
      </c>
      <c r="I2321" s="1" t="s">
        <v>41</v>
      </c>
      <c r="J2321">
        <v>15</v>
      </c>
      <c r="K2321">
        <v>29</v>
      </c>
      <c r="L2321" s="1" t="s">
        <v>21</v>
      </c>
    </row>
    <row r="2322" spans="1:12" x14ac:dyDescent="0.3">
      <c r="A2322" s="1" t="s">
        <v>1234</v>
      </c>
      <c r="B2322" s="2">
        <v>45849</v>
      </c>
      <c r="C2322" s="2">
        <v>45876</v>
      </c>
      <c r="D2322" s="1" t="s">
        <v>23</v>
      </c>
      <c r="E2322" s="1" t="s">
        <v>14</v>
      </c>
      <c r="F2322" s="1" t="s">
        <v>15</v>
      </c>
      <c r="G2322" s="1" t="s">
        <v>16</v>
      </c>
      <c r="H2322" s="1" t="s">
        <v>25</v>
      </c>
      <c r="I2322" s="1" t="s">
        <v>26</v>
      </c>
      <c r="J2322">
        <v>15</v>
      </c>
      <c r="K2322">
        <v>27</v>
      </c>
      <c r="L2322" s="1" t="s">
        <v>19</v>
      </c>
    </row>
    <row r="2323" spans="1:12" x14ac:dyDescent="0.3">
      <c r="A2323" s="1" t="s">
        <v>1836</v>
      </c>
      <c r="B2323" s="2">
        <v>45849</v>
      </c>
      <c r="C2323" s="2">
        <v>45869</v>
      </c>
      <c r="D2323" s="1" t="s">
        <v>13</v>
      </c>
      <c r="E2323" s="1" t="s">
        <v>14</v>
      </c>
      <c r="F2323" s="1" t="s">
        <v>15</v>
      </c>
      <c r="G2323" s="1" t="s">
        <v>53</v>
      </c>
      <c r="H2323" s="1" t="s">
        <v>17</v>
      </c>
      <c r="I2323" s="1" t="s">
        <v>26</v>
      </c>
      <c r="J2323">
        <v>15</v>
      </c>
      <c r="K2323">
        <v>20</v>
      </c>
      <c r="L2323" s="1" t="s">
        <v>19</v>
      </c>
    </row>
    <row r="2324" spans="1:12" x14ac:dyDescent="0.3">
      <c r="A2324" s="1" t="s">
        <v>2087</v>
      </c>
      <c r="B2324" s="2">
        <v>45849</v>
      </c>
      <c r="C2324" s="2">
        <v>45885</v>
      </c>
      <c r="D2324" s="1" t="s">
        <v>28</v>
      </c>
      <c r="E2324" s="1" t="s">
        <v>24</v>
      </c>
      <c r="F2324" s="1" t="s">
        <v>15</v>
      </c>
      <c r="G2324" s="1" t="s">
        <v>33</v>
      </c>
      <c r="H2324" s="1" t="s">
        <v>54</v>
      </c>
      <c r="I2324" s="1" t="s">
        <v>18</v>
      </c>
      <c r="J2324">
        <v>45</v>
      </c>
      <c r="K2324">
        <v>36</v>
      </c>
      <c r="L2324" s="1" t="s">
        <v>21</v>
      </c>
    </row>
    <row r="2325" spans="1:12" x14ac:dyDescent="0.3">
      <c r="A2325" s="1" t="s">
        <v>2891</v>
      </c>
      <c r="B2325" s="2">
        <v>45849</v>
      </c>
      <c r="C2325" s="2">
        <v>45883</v>
      </c>
      <c r="D2325" s="1" t="s">
        <v>23</v>
      </c>
      <c r="E2325" s="1" t="s">
        <v>14</v>
      </c>
      <c r="F2325" s="1" t="s">
        <v>15</v>
      </c>
      <c r="G2325" s="1" t="s">
        <v>33</v>
      </c>
      <c r="H2325" s="1" t="s">
        <v>25</v>
      </c>
      <c r="I2325" s="1" t="s">
        <v>26</v>
      </c>
      <c r="J2325">
        <v>15</v>
      </c>
      <c r="K2325">
        <v>34</v>
      </c>
      <c r="L2325" s="1" t="s">
        <v>21</v>
      </c>
    </row>
    <row r="2326" spans="1:12" x14ac:dyDescent="0.3">
      <c r="A2326" s="1" t="s">
        <v>79</v>
      </c>
      <c r="B2326" s="2">
        <v>45848</v>
      </c>
      <c r="C2326" s="2">
        <v>45911</v>
      </c>
      <c r="D2326" s="1" t="s">
        <v>32</v>
      </c>
      <c r="E2326" s="1" t="s">
        <v>14</v>
      </c>
      <c r="F2326" s="1" t="s">
        <v>15</v>
      </c>
      <c r="G2326" s="1" t="s">
        <v>16</v>
      </c>
      <c r="H2326" s="1" t="s">
        <v>34</v>
      </c>
      <c r="I2326" s="1" t="s">
        <v>18</v>
      </c>
      <c r="J2326">
        <v>15</v>
      </c>
      <c r="K2326">
        <v>63</v>
      </c>
      <c r="L2326" s="1" t="s">
        <v>80</v>
      </c>
    </row>
    <row r="2327" spans="1:12" x14ac:dyDescent="0.3">
      <c r="A2327" s="1" t="s">
        <v>322</v>
      </c>
      <c r="B2327" s="2">
        <v>45848</v>
      </c>
      <c r="C2327" s="2">
        <v>45872</v>
      </c>
      <c r="D2327" s="1" t="s">
        <v>28</v>
      </c>
      <c r="E2327" s="1" t="s">
        <v>14</v>
      </c>
      <c r="F2327" s="1" t="s">
        <v>15</v>
      </c>
      <c r="G2327" s="1" t="s">
        <v>16</v>
      </c>
      <c r="H2327" s="1" t="s">
        <v>29</v>
      </c>
      <c r="I2327" s="1" t="s">
        <v>41</v>
      </c>
      <c r="J2327">
        <v>15</v>
      </c>
      <c r="K2327">
        <v>24</v>
      </c>
      <c r="L2327" s="1" t="s">
        <v>19</v>
      </c>
    </row>
    <row r="2328" spans="1:12" x14ac:dyDescent="0.3">
      <c r="A2328" s="1" t="s">
        <v>1533</v>
      </c>
      <c r="B2328" s="2">
        <v>45848</v>
      </c>
      <c r="C2328" s="2">
        <v>45900</v>
      </c>
      <c r="D2328" s="1" t="s">
        <v>28</v>
      </c>
      <c r="E2328" s="1" t="s">
        <v>24</v>
      </c>
      <c r="F2328" s="1" t="s">
        <v>15</v>
      </c>
      <c r="G2328" s="1" t="s">
        <v>16</v>
      </c>
      <c r="H2328" s="1" t="s">
        <v>54</v>
      </c>
      <c r="I2328" s="1" t="s">
        <v>26</v>
      </c>
      <c r="J2328">
        <v>30</v>
      </c>
      <c r="K2328">
        <v>52</v>
      </c>
      <c r="L2328" s="1" t="s">
        <v>44</v>
      </c>
    </row>
    <row r="2329" spans="1:12" x14ac:dyDescent="0.3">
      <c r="A2329" s="1" t="s">
        <v>1364</v>
      </c>
      <c r="B2329" s="2">
        <v>45848</v>
      </c>
      <c r="C2329" s="2">
        <v>45899</v>
      </c>
      <c r="D2329" s="1" t="s">
        <v>37</v>
      </c>
      <c r="E2329" s="1" t="s">
        <v>14</v>
      </c>
      <c r="F2329" s="1" t="s">
        <v>15</v>
      </c>
      <c r="G2329" s="1" t="s">
        <v>53</v>
      </c>
      <c r="H2329" s="1" t="s">
        <v>49</v>
      </c>
      <c r="I2329" s="1" t="s">
        <v>18</v>
      </c>
      <c r="J2329">
        <v>30</v>
      </c>
      <c r="K2329">
        <v>51</v>
      </c>
      <c r="L2329" s="1" t="s">
        <v>44</v>
      </c>
    </row>
    <row r="2330" spans="1:12" x14ac:dyDescent="0.3">
      <c r="A2330" s="1" t="s">
        <v>184</v>
      </c>
      <c r="B2330" s="2">
        <v>45848</v>
      </c>
      <c r="C2330" s="2">
        <v>45885</v>
      </c>
      <c r="D2330" s="1" t="s">
        <v>37</v>
      </c>
      <c r="E2330" s="1" t="s">
        <v>24</v>
      </c>
      <c r="F2330" s="1" t="s">
        <v>15</v>
      </c>
      <c r="G2330" s="1" t="s">
        <v>16</v>
      </c>
      <c r="H2330" s="1" t="s">
        <v>39</v>
      </c>
      <c r="I2330" s="1" t="s">
        <v>41</v>
      </c>
      <c r="J2330">
        <v>30</v>
      </c>
      <c r="K2330">
        <v>37</v>
      </c>
      <c r="L2330" s="1" t="s">
        <v>21</v>
      </c>
    </row>
    <row r="2331" spans="1:12" x14ac:dyDescent="0.3">
      <c r="A2331" s="1" t="s">
        <v>152</v>
      </c>
      <c r="B2331" s="2">
        <v>45848</v>
      </c>
      <c r="C2331" s="2">
        <v>45881</v>
      </c>
      <c r="D2331" s="1" t="s">
        <v>37</v>
      </c>
      <c r="E2331" s="1" t="s">
        <v>14</v>
      </c>
      <c r="F2331" s="1" t="s">
        <v>15</v>
      </c>
      <c r="G2331" s="1" t="s">
        <v>16</v>
      </c>
      <c r="H2331" s="1" t="s">
        <v>39</v>
      </c>
      <c r="I2331" s="1" t="s">
        <v>26</v>
      </c>
      <c r="J2331">
        <v>30</v>
      </c>
      <c r="K2331">
        <v>33</v>
      </c>
      <c r="L2331" s="1" t="s">
        <v>21</v>
      </c>
    </row>
    <row r="2332" spans="1:12" x14ac:dyDescent="0.3">
      <c r="A2332" s="1" t="s">
        <v>2148</v>
      </c>
      <c r="B2332" s="2">
        <v>45848</v>
      </c>
      <c r="C2332" s="2">
        <v>45854</v>
      </c>
      <c r="D2332" s="1" t="s">
        <v>37</v>
      </c>
      <c r="E2332" s="1" t="s">
        <v>24</v>
      </c>
      <c r="F2332" s="1" t="s">
        <v>15</v>
      </c>
      <c r="G2332" s="1" t="s">
        <v>33</v>
      </c>
      <c r="H2332" s="1" t="s">
        <v>49</v>
      </c>
      <c r="I2332" s="1" t="s">
        <v>26</v>
      </c>
      <c r="J2332">
        <v>30</v>
      </c>
      <c r="K2332">
        <v>6</v>
      </c>
      <c r="L2332" s="1" t="s">
        <v>30</v>
      </c>
    </row>
    <row r="2333" spans="1:12" x14ac:dyDescent="0.3">
      <c r="A2333" s="1" t="s">
        <v>2997</v>
      </c>
      <c r="B2333" s="2">
        <v>45848</v>
      </c>
      <c r="C2333" s="2">
        <v>45884</v>
      </c>
      <c r="D2333" s="1" t="s">
        <v>23</v>
      </c>
      <c r="E2333" s="1" t="s">
        <v>14</v>
      </c>
      <c r="F2333" s="1" t="s">
        <v>15</v>
      </c>
      <c r="G2333" s="1" t="s">
        <v>16</v>
      </c>
      <c r="H2333" s="1" t="s">
        <v>43</v>
      </c>
      <c r="I2333" s="1" t="s">
        <v>41</v>
      </c>
      <c r="J2333">
        <v>15</v>
      </c>
      <c r="K2333">
        <v>36</v>
      </c>
      <c r="L2333" s="1" t="s">
        <v>21</v>
      </c>
    </row>
    <row r="2334" spans="1:12" x14ac:dyDescent="0.3">
      <c r="A2334" s="1" t="s">
        <v>3125</v>
      </c>
      <c r="B2334" s="2">
        <v>45848</v>
      </c>
      <c r="C2334" s="2">
        <v>45898</v>
      </c>
      <c r="D2334" s="1" t="s">
        <v>23</v>
      </c>
      <c r="E2334" s="1" t="s">
        <v>24</v>
      </c>
      <c r="F2334" s="1" t="s">
        <v>15</v>
      </c>
      <c r="G2334" s="1" t="s">
        <v>16</v>
      </c>
      <c r="H2334" s="1" t="s">
        <v>25</v>
      </c>
      <c r="I2334" s="1" t="s">
        <v>18</v>
      </c>
      <c r="J2334">
        <v>30</v>
      </c>
      <c r="K2334">
        <v>50</v>
      </c>
      <c r="L2334" s="1" t="s">
        <v>44</v>
      </c>
    </row>
    <row r="2335" spans="1:12" x14ac:dyDescent="0.3">
      <c r="A2335" s="1" t="s">
        <v>257</v>
      </c>
      <c r="B2335" s="2">
        <v>45847</v>
      </c>
      <c r="C2335" s="2">
        <v>45887</v>
      </c>
      <c r="D2335" s="1" t="s">
        <v>13</v>
      </c>
      <c r="E2335" s="1" t="s">
        <v>24</v>
      </c>
      <c r="F2335" s="1" t="s">
        <v>15</v>
      </c>
      <c r="G2335" s="1" t="s">
        <v>16</v>
      </c>
      <c r="H2335" s="1" t="s">
        <v>47</v>
      </c>
      <c r="I2335" s="1" t="s">
        <v>26</v>
      </c>
      <c r="J2335">
        <v>30</v>
      </c>
      <c r="K2335">
        <v>40</v>
      </c>
      <c r="L2335" s="1" t="s">
        <v>21</v>
      </c>
    </row>
    <row r="2336" spans="1:12" x14ac:dyDescent="0.3">
      <c r="A2336" s="1" t="s">
        <v>1682</v>
      </c>
      <c r="B2336" s="2">
        <v>45847</v>
      </c>
      <c r="C2336" s="2">
        <v>45874</v>
      </c>
      <c r="D2336" s="1" t="s">
        <v>32</v>
      </c>
      <c r="E2336" s="1" t="s">
        <v>24</v>
      </c>
      <c r="F2336" s="1" t="s">
        <v>38</v>
      </c>
      <c r="G2336" s="1" t="s">
        <v>53</v>
      </c>
      <c r="H2336" s="1" t="s">
        <v>71</v>
      </c>
      <c r="I2336" s="1" t="s">
        <v>26</v>
      </c>
      <c r="J2336">
        <v>30</v>
      </c>
      <c r="K2336">
        <v>27</v>
      </c>
      <c r="L2336" s="1" t="s">
        <v>19</v>
      </c>
    </row>
    <row r="2337" spans="1:12" x14ac:dyDescent="0.3">
      <c r="A2337" s="1" t="s">
        <v>547</v>
      </c>
      <c r="B2337" s="2">
        <v>45847</v>
      </c>
      <c r="C2337" s="2">
        <v>45876</v>
      </c>
      <c r="D2337" s="1" t="s">
        <v>37</v>
      </c>
      <c r="E2337" s="1" t="s">
        <v>14</v>
      </c>
      <c r="F2337" s="1" t="s">
        <v>15</v>
      </c>
      <c r="G2337" s="1" t="s">
        <v>53</v>
      </c>
      <c r="H2337" s="1" t="s">
        <v>39</v>
      </c>
      <c r="I2337" s="1" t="s">
        <v>26</v>
      </c>
      <c r="J2337">
        <v>15</v>
      </c>
      <c r="K2337">
        <v>29</v>
      </c>
      <c r="L2337" s="1" t="s">
        <v>21</v>
      </c>
    </row>
    <row r="2338" spans="1:12" x14ac:dyDescent="0.3">
      <c r="A2338" s="1" t="s">
        <v>3142</v>
      </c>
      <c r="B2338" s="2">
        <v>45847</v>
      </c>
      <c r="C2338" s="2">
        <v>45864</v>
      </c>
      <c r="D2338" s="1" t="s">
        <v>37</v>
      </c>
      <c r="E2338" s="1" t="s">
        <v>14</v>
      </c>
      <c r="F2338" s="1" t="s">
        <v>15</v>
      </c>
      <c r="G2338" s="1" t="s">
        <v>16</v>
      </c>
      <c r="H2338" s="1" t="s">
        <v>39</v>
      </c>
      <c r="I2338" s="1" t="s">
        <v>41</v>
      </c>
      <c r="J2338">
        <v>15</v>
      </c>
      <c r="K2338">
        <v>17</v>
      </c>
      <c r="L2338" s="1" t="s">
        <v>19</v>
      </c>
    </row>
    <row r="2339" spans="1:12" x14ac:dyDescent="0.3">
      <c r="A2339" s="1" t="s">
        <v>3074</v>
      </c>
      <c r="B2339" s="2">
        <v>45847</v>
      </c>
      <c r="C2339" s="2">
        <v>45909</v>
      </c>
      <c r="D2339" s="1" t="s">
        <v>13</v>
      </c>
      <c r="E2339" s="1" t="s">
        <v>24</v>
      </c>
      <c r="F2339" s="1" t="s">
        <v>15</v>
      </c>
      <c r="G2339" s="1" t="s">
        <v>16</v>
      </c>
      <c r="H2339" s="1" t="s">
        <v>17</v>
      </c>
      <c r="I2339" s="1" t="s">
        <v>18</v>
      </c>
      <c r="J2339">
        <v>30</v>
      </c>
      <c r="K2339">
        <v>62</v>
      </c>
      <c r="L2339" s="1" t="s">
        <v>80</v>
      </c>
    </row>
    <row r="2340" spans="1:12" x14ac:dyDescent="0.3">
      <c r="A2340" s="1" t="s">
        <v>3102</v>
      </c>
      <c r="B2340" s="2">
        <v>45847</v>
      </c>
      <c r="C2340" s="2">
        <v>45892</v>
      </c>
      <c r="D2340" s="1" t="s">
        <v>13</v>
      </c>
      <c r="E2340" s="1" t="s">
        <v>14</v>
      </c>
      <c r="F2340" s="1" t="s">
        <v>38</v>
      </c>
      <c r="G2340" s="1" t="s">
        <v>16</v>
      </c>
      <c r="H2340" s="1" t="s">
        <v>17</v>
      </c>
      <c r="I2340" s="1" t="s">
        <v>26</v>
      </c>
      <c r="J2340">
        <v>15</v>
      </c>
      <c r="K2340">
        <v>45</v>
      </c>
      <c r="L2340" s="1" t="s">
        <v>44</v>
      </c>
    </row>
    <row r="2341" spans="1:12" x14ac:dyDescent="0.3">
      <c r="A2341" s="1" t="s">
        <v>786</v>
      </c>
      <c r="B2341" s="2">
        <v>45846</v>
      </c>
      <c r="C2341" s="2">
        <v>45873</v>
      </c>
      <c r="D2341" s="1" t="s">
        <v>13</v>
      </c>
      <c r="E2341" s="1" t="s">
        <v>24</v>
      </c>
      <c r="F2341" s="1" t="s">
        <v>15</v>
      </c>
      <c r="G2341" s="1" t="s">
        <v>16</v>
      </c>
      <c r="H2341" s="1" t="s">
        <v>17</v>
      </c>
      <c r="I2341" s="1" t="s">
        <v>41</v>
      </c>
      <c r="J2341">
        <v>45</v>
      </c>
      <c r="K2341">
        <v>27</v>
      </c>
      <c r="L2341" s="1" t="s">
        <v>19</v>
      </c>
    </row>
    <row r="2342" spans="1:12" x14ac:dyDescent="0.3">
      <c r="A2342" s="1" t="s">
        <v>932</v>
      </c>
      <c r="B2342" s="2">
        <v>45846</v>
      </c>
      <c r="C2342" s="2">
        <v>45895</v>
      </c>
      <c r="D2342" s="1" t="s">
        <v>32</v>
      </c>
      <c r="E2342" s="1" t="s">
        <v>24</v>
      </c>
      <c r="F2342" s="1" t="s">
        <v>38</v>
      </c>
      <c r="G2342" s="1" t="s">
        <v>16</v>
      </c>
      <c r="H2342" s="1" t="s">
        <v>71</v>
      </c>
      <c r="I2342" s="1" t="s">
        <v>26</v>
      </c>
      <c r="J2342">
        <v>30</v>
      </c>
      <c r="K2342">
        <v>49</v>
      </c>
      <c r="L2342" s="1" t="s">
        <v>44</v>
      </c>
    </row>
    <row r="2343" spans="1:12" x14ac:dyDescent="0.3">
      <c r="A2343" s="1" t="s">
        <v>2619</v>
      </c>
      <c r="B2343" s="2">
        <v>45846</v>
      </c>
      <c r="C2343" s="2">
        <v>45905</v>
      </c>
      <c r="D2343" s="1" t="s">
        <v>37</v>
      </c>
      <c r="E2343" s="1" t="s">
        <v>24</v>
      </c>
      <c r="F2343" s="1" t="s">
        <v>15</v>
      </c>
      <c r="G2343" s="1" t="s">
        <v>16</v>
      </c>
      <c r="H2343" s="1" t="s">
        <v>49</v>
      </c>
      <c r="I2343" s="1" t="s">
        <v>26</v>
      </c>
      <c r="J2343">
        <v>30</v>
      </c>
      <c r="K2343">
        <v>59</v>
      </c>
      <c r="L2343" s="1" t="s">
        <v>80</v>
      </c>
    </row>
    <row r="2344" spans="1:12" x14ac:dyDescent="0.3">
      <c r="A2344" s="1" t="s">
        <v>821</v>
      </c>
      <c r="B2344" s="2">
        <v>45846</v>
      </c>
      <c r="C2344" s="2">
        <v>45899</v>
      </c>
      <c r="D2344" s="1" t="s">
        <v>37</v>
      </c>
      <c r="E2344" s="1" t="s">
        <v>14</v>
      </c>
      <c r="F2344" s="1" t="s">
        <v>15</v>
      </c>
      <c r="G2344" s="1" t="s">
        <v>16</v>
      </c>
      <c r="H2344" s="1" t="s">
        <v>49</v>
      </c>
      <c r="I2344" s="1" t="s">
        <v>41</v>
      </c>
      <c r="J2344">
        <v>30</v>
      </c>
      <c r="K2344">
        <v>53</v>
      </c>
      <c r="L2344" s="1" t="s">
        <v>44</v>
      </c>
    </row>
    <row r="2345" spans="1:12" x14ac:dyDescent="0.3">
      <c r="A2345" s="1" t="s">
        <v>2700</v>
      </c>
      <c r="B2345" s="2">
        <v>45846</v>
      </c>
      <c r="C2345" s="2">
        <v>45889</v>
      </c>
      <c r="D2345" s="1" t="s">
        <v>37</v>
      </c>
      <c r="E2345" s="1" t="s">
        <v>14</v>
      </c>
      <c r="F2345" s="1" t="s">
        <v>15</v>
      </c>
      <c r="G2345" s="1" t="s">
        <v>53</v>
      </c>
      <c r="H2345" s="1" t="s">
        <v>49</v>
      </c>
      <c r="I2345" s="1" t="s">
        <v>41</v>
      </c>
      <c r="J2345">
        <v>15</v>
      </c>
      <c r="K2345">
        <v>43</v>
      </c>
      <c r="L2345" s="1" t="s">
        <v>44</v>
      </c>
    </row>
    <row r="2346" spans="1:12" x14ac:dyDescent="0.3">
      <c r="A2346" s="1" t="s">
        <v>2472</v>
      </c>
      <c r="B2346" s="2">
        <v>45846</v>
      </c>
      <c r="C2346" s="2">
        <v>45864</v>
      </c>
      <c r="D2346" s="1" t="s">
        <v>37</v>
      </c>
      <c r="E2346" s="1" t="s">
        <v>24</v>
      </c>
      <c r="F2346" s="1" t="s">
        <v>15</v>
      </c>
      <c r="G2346" s="1" t="s">
        <v>53</v>
      </c>
      <c r="H2346" s="1" t="s">
        <v>49</v>
      </c>
      <c r="I2346" s="1" t="s">
        <v>41</v>
      </c>
      <c r="J2346">
        <v>30</v>
      </c>
      <c r="K2346">
        <v>18</v>
      </c>
      <c r="L2346" s="1" t="s">
        <v>19</v>
      </c>
    </row>
    <row r="2347" spans="1:12" x14ac:dyDescent="0.3">
      <c r="A2347" s="1" t="s">
        <v>2280</v>
      </c>
      <c r="B2347" s="2">
        <v>45846</v>
      </c>
      <c r="C2347" s="2">
        <v>45862</v>
      </c>
      <c r="D2347" s="1" t="s">
        <v>37</v>
      </c>
      <c r="E2347" s="1" t="s">
        <v>14</v>
      </c>
      <c r="F2347" s="1" t="s">
        <v>38</v>
      </c>
      <c r="G2347" s="1" t="s">
        <v>16</v>
      </c>
      <c r="H2347" s="1" t="s">
        <v>39</v>
      </c>
      <c r="I2347" s="1" t="s">
        <v>18</v>
      </c>
      <c r="J2347">
        <v>30</v>
      </c>
      <c r="K2347">
        <v>16</v>
      </c>
      <c r="L2347" s="1" t="s">
        <v>19</v>
      </c>
    </row>
    <row r="2348" spans="1:12" x14ac:dyDescent="0.3">
      <c r="A2348" s="1" t="s">
        <v>333</v>
      </c>
      <c r="B2348" s="2">
        <v>45845</v>
      </c>
      <c r="C2348" s="2">
        <v>45884</v>
      </c>
      <c r="D2348" s="1" t="s">
        <v>13</v>
      </c>
      <c r="E2348" s="1" t="s">
        <v>24</v>
      </c>
      <c r="F2348" s="1" t="s">
        <v>15</v>
      </c>
      <c r="G2348" s="1" t="s">
        <v>16</v>
      </c>
      <c r="H2348" s="1" t="s">
        <v>17</v>
      </c>
      <c r="I2348" s="1" t="s">
        <v>41</v>
      </c>
      <c r="J2348">
        <v>30</v>
      </c>
      <c r="K2348">
        <v>39</v>
      </c>
      <c r="L2348" s="1" t="s">
        <v>21</v>
      </c>
    </row>
    <row r="2349" spans="1:12" x14ac:dyDescent="0.3">
      <c r="A2349" s="1" t="s">
        <v>551</v>
      </c>
      <c r="B2349" s="2">
        <v>45845</v>
      </c>
      <c r="C2349" s="2">
        <v>45889</v>
      </c>
      <c r="D2349" s="1" t="s">
        <v>23</v>
      </c>
      <c r="E2349" s="1" t="s">
        <v>24</v>
      </c>
      <c r="F2349" s="1" t="s">
        <v>15</v>
      </c>
      <c r="G2349" s="1" t="s">
        <v>33</v>
      </c>
      <c r="H2349" s="1" t="s">
        <v>25</v>
      </c>
      <c r="I2349" s="1" t="s">
        <v>26</v>
      </c>
      <c r="J2349">
        <v>30</v>
      </c>
      <c r="K2349">
        <v>44</v>
      </c>
      <c r="L2349" s="1" t="s">
        <v>44</v>
      </c>
    </row>
    <row r="2350" spans="1:12" x14ac:dyDescent="0.3">
      <c r="A2350" s="1" t="s">
        <v>1165</v>
      </c>
      <c r="B2350" s="2">
        <v>45845</v>
      </c>
      <c r="C2350" s="2">
        <v>45897</v>
      </c>
      <c r="D2350" s="1" t="s">
        <v>28</v>
      </c>
      <c r="E2350" s="1" t="s">
        <v>24</v>
      </c>
      <c r="F2350" s="1" t="s">
        <v>15</v>
      </c>
      <c r="G2350" s="1" t="s">
        <v>16</v>
      </c>
      <c r="H2350" s="1" t="s">
        <v>29</v>
      </c>
      <c r="I2350" s="1" t="s">
        <v>26</v>
      </c>
      <c r="J2350">
        <v>45</v>
      </c>
      <c r="K2350">
        <v>52</v>
      </c>
      <c r="L2350" s="1" t="s">
        <v>44</v>
      </c>
    </row>
    <row r="2351" spans="1:12" x14ac:dyDescent="0.3">
      <c r="A2351" s="1" t="s">
        <v>1471</v>
      </c>
      <c r="B2351" s="2">
        <v>45845</v>
      </c>
      <c r="C2351" s="2">
        <v>45883</v>
      </c>
      <c r="D2351" s="1" t="s">
        <v>32</v>
      </c>
      <c r="E2351" s="1" t="s">
        <v>14</v>
      </c>
      <c r="F2351" s="1" t="s">
        <v>15</v>
      </c>
      <c r="G2351" s="1" t="s">
        <v>16</v>
      </c>
      <c r="H2351" s="1" t="s">
        <v>34</v>
      </c>
      <c r="I2351" s="1" t="s">
        <v>18</v>
      </c>
      <c r="J2351">
        <v>15</v>
      </c>
      <c r="K2351">
        <v>38</v>
      </c>
      <c r="L2351" s="1" t="s">
        <v>21</v>
      </c>
    </row>
    <row r="2352" spans="1:12" x14ac:dyDescent="0.3">
      <c r="A2352" s="1" t="s">
        <v>2375</v>
      </c>
      <c r="B2352" s="2">
        <v>45845</v>
      </c>
      <c r="C2352" s="2">
        <v>45847</v>
      </c>
      <c r="D2352" s="1" t="s">
        <v>28</v>
      </c>
      <c r="E2352" s="1" t="s">
        <v>14</v>
      </c>
      <c r="F2352" s="1" t="s">
        <v>38</v>
      </c>
      <c r="G2352" s="1" t="s">
        <v>53</v>
      </c>
      <c r="H2352" s="1" t="s">
        <v>54</v>
      </c>
      <c r="I2352" s="1" t="s">
        <v>26</v>
      </c>
      <c r="J2352">
        <v>15</v>
      </c>
      <c r="K2352">
        <v>2</v>
      </c>
      <c r="L2352" s="1" t="s">
        <v>30</v>
      </c>
    </row>
    <row r="2353" spans="1:12" x14ac:dyDescent="0.3">
      <c r="A2353" s="1" t="s">
        <v>1053</v>
      </c>
      <c r="B2353" s="2">
        <v>45845</v>
      </c>
      <c r="C2353" s="2">
        <v>45920</v>
      </c>
      <c r="D2353" s="1" t="s">
        <v>37</v>
      </c>
      <c r="E2353" s="1" t="s">
        <v>14</v>
      </c>
      <c r="F2353" s="1" t="s">
        <v>38</v>
      </c>
      <c r="G2353" s="1" t="s">
        <v>16</v>
      </c>
      <c r="H2353" s="1" t="s">
        <v>39</v>
      </c>
      <c r="I2353" s="1" t="s">
        <v>41</v>
      </c>
      <c r="J2353">
        <v>15</v>
      </c>
      <c r="K2353">
        <v>75</v>
      </c>
      <c r="L2353" s="1" t="s">
        <v>80</v>
      </c>
    </row>
    <row r="2354" spans="1:12" x14ac:dyDescent="0.3">
      <c r="A2354" s="1" t="s">
        <v>1715</v>
      </c>
      <c r="B2354" s="2">
        <v>45845</v>
      </c>
      <c r="C2354" s="2">
        <v>45860</v>
      </c>
      <c r="D2354" s="1" t="s">
        <v>37</v>
      </c>
      <c r="E2354" s="1" t="s">
        <v>14</v>
      </c>
      <c r="F2354" s="1" t="s">
        <v>15</v>
      </c>
      <c r="G2354" s="1" t="s">
        <v>16</v>
      </c>
      <c r="H2354" s="1" t="s">
        <v>49</v>
      </c>
      <c r="I2354" s="1" t="s">
        <v>41</v>
      </c>
      <c r="J2354">
        <v>15</v>
      </c>
      <c r="K2354">
        <v>15</v>
      </c>
      <c r="L2354" s="1" t="s">
        <v>19</v>
      </c>
    </row>
    <row r="2355" spans="1:12" x14ac:dyDescent="0.3">
      <c r="A2355" s="1" t="s">
        <v>2343</v>
      </c>
      <c r="B2355" s="2">
        <v>45845</v>
      </c>
      <c r="C2355" s="2">
        <v>45858</v>
      </c>
      <c r="D2355" s="1" t="s">
        <v>37</v>
      </c>
      <c r="E2355" s="1" t="s">
        <v>14</v>
      </c>
      <c r="F2355" s="1" t="s">
        <v>38</v>
      </c>
      <c r="G2355" s="1" t="s">
        <v>16</v>
      </c>
      <c r="H2355" s="1" t="s">
        <v>39</v>
      </c>
      <c r="I2355" s="1" t="s">
        <v>18</v>
      </c>
      <c r="J2355">
        <v>15</v>
      </c>
      <c r="K2355">
        <v>13</v>
      </c>
      <c r="L2355" s="1" t="s">
        <v>30</v>
      </c>
    </row>
    <row r="2356" spans="1:12" x14ac:dyDescent="0.3">
      <c r="A2356" s="1" t="s">
        <v>3210</v>
      </c>
      <c r="B2356" s="2">
        <v>45845</v>
      </c>
      <c r="C2356" s="2">
        <v>45860</v>
      </c>
      <c r="D2356" s="1" t="s">
        <v>23</v>
      </c>
      <c r="E2356" s="1" t="s">
        <v>14</v>
      </c>
      <c r="F2356" s="1" t="s">
        <v>15</v>
      </c>
      <c r="G2356" s="1" t="s">
        <v>16</v>
      </c>
      <c r="H2356" s="1" t="s">
        <v>43</v>
      </c>
      <c r="I2356" s="1" t="s">
        <v>26</v>
      </c>
      <c r="J2356">
        <v>30</v>
      </c>
      <c r="K2356">
        <v>15</v>
      </c>
      <c r="L2356" s="1" t="s">
        <v>19</v>
      </c>
    </row>
    <row r="2357" spans="1:12" x14ac:dyDescent="0.3">
      <c r="A2357" s="1" t="s">
        <v>247</v>
      </c>
      <c r="B2357" s="2">
        <v>45844</v>
      </c>
      <c r="C2357" s="2">
        <v>45876</v>
      </c>
      <c r="D2357" s="1" t="s">
        <v>23</v>
      </c>
      <c r="E2357" s="1" t="s">
        <v>14</v>
      </c>
      <c r="F2357" s="1" t="s">
        <v>15</v>
      </c>
      <c r="G2357" s="1" t="s">
        <v>16</v>
      </c>
      <c r="H2357" s="1" t="s">
        <v>25</v>
      </c>
      <c r="I2357" s="1" t="s">
        <v>41</v>
      </c>
      <c r="J2357">
        <v>30</v>
      </c>
      <c r="K2357">
        <v>32</v>
      </c>
      <c r="L2357" s="1" t="s">
        <v>21</v>
      </c>
    </row>
    <row r="2358" spans="1:12" x14ac:dyDescent="0.3">
      <c r="A2358" s="1" t="s">
        <v>660</v>
      </c>
      <c r="B2358" s="2">
        <v>45844</v>
      </c>
      <c r="C2358" s="2">
        <v>45888</v>
      </c>
      <c r="D2358" s="1" t="s">
        <v>13</v>
      </c>
      <c r="E2358" s="1" t="s">
        <v>14</v>
      </c>
      <c r="F2358" s="1" t="s">
        <v>15</v>
      </c>
      <c r="G2358" s="1" t="s">
        <v>53</v>
      </c>
      <c r="H2358" s="1" t="s">
        <v>47</v>
      </c>
      <c r="I2358" s="1" t="s">
        <v>41</v>
      </c>
      <c r="J2358">
        <v>30</v>
      </c>
      <c r="K2358">
        <v>44</v>
      </c>
      <c r="L2358" s="1" t="s">
        <v>44</v>
      </c>
    </row>
    <row r="2359" spans="1:12" x14ac:dyDescent="0.3">
      <c r="A2359" s="1" t="s">
        <v>1303</v>
      </c>
      <c r="B2359" s="2">
        <v>45844</v>
      </c>
      <c r="C2359" s="2">
        <v>45851</v>
      </c>
      <c r="D2359" s="1" t="s">
        <v>23</v>
      </c>
      <c r="E2359" s="1" t="s">
        <v>14</v>
      </c>
      <c r="F2359" s="1" t="s">
        <v>38</v>
      </c>
      <c r="G2359" s="1" t="s">
        <v>16</v>
      </c>
      <c r="H2359" s="1" t="s">
        <v>43</v>
      </c>
      <c r="I2359" s="1" t="s">
        <v>18</v>
      </c>
      <c r="J2359">
        <v>15</v>
      </c>
      <c r="K2359">
        <v>7</v>
      </c>
      <c r="L2359" s="1" t="s">
        <v>30</v>
      </c>
    </row>
    <row r="2360" spans="1:12" x14ac:dyDescent="0.3">
      <c r="A2360" s="1" t="s">
        <v>1501</v>
      </c>
      <c r="B2360" s="2">
        <v>45844</v>
      </c>
      <c r="C2360" s="2">
        <v>45885</v>
      </c>
      <c r="D2360" s="1" t="s">
        <v>28</v>
      </c>
      <c r="E2360" s="1" t="s">
        <v>14</v>
      </c>
      <c r="F2360" s="1" t="s">
        <v>15</v>
      </c>
      <c r="G2360" s="1" t="s">
        <v>53</v>
      </c>
      <c r="H2360" s="1" t="s">
        <v>29</v>
      </c>
      <c r="I2360" s="1" t="s">
        <v>18</v>
      </c>
      <c r="J2360">
        <v>15</v>
      </c>
      <c r="K2360">
        <v>41</v>
      </c>
      <c r="L2360" s="1" t="s">
        <v>21</v>
      </c>
    </row>
    <row r="2361" spans="1:12" x14ac:dyDescent="0.3">
      <c r="A2361" s="1" t="s">
        <v>1663</v>
      </c>
      <c r="B2361" s="2">
        <v>45844</v>
      </c>
      <c r="C2361" s="2">
        <v>45861</v>
      </c>
      <c r="D2361" s="1" t="s">
        <v>13</v>
      </c>
      <c r="E2361" s="1" t="s">
        <v>24</v>
      </c>
      <c r="F2361" s="1" t="s">
        <v>15</v>
      </c>
      <c r="G2361" s="1" t="s">
        <v>16</v>
      </c>
      <c r="H2361" s="1" t="s">
        <v>17</v>
      </c>
      <c r="I2361" s="1" t="s">
        <v>18</v>
      </c>
      <c r="J2361">
        <v>45</v>
      </c>
      <c r="K2361">
        <v>17</v>
      </c>
      <c r="L2361" s="1" t="s">
        <v>19</v>
      </c>
    </row>
    <row r="2362" spans="1:12" x14ac:dyDescent="0.3">
      <c r="A2362" s="1" t="s">
        <v>1924</v>
      </c>
      <c r="B2362" s="2">
        <v>45844</v>
      </c>
      <c r="C2362" s="2">
        <v>45879</v>
      </c>
      <c r="D2362" s="1" t="s">
        <v>13</v>
      </c>
      <c r="E2362" s="1" t="s">
        <v>24</v>
      </c>
      <c r="F2362" s="1" t="s">
        <v>15</v>
      </c>
      <c r="G2362" s="1" t="s">
        <v>53</v>
      </c>
      <c r="H2362" s="1" t="s">
        <v>17</v>
      </c>
      <c r="I2362" s="1" t="s">
        <v>26</v>
      </c>
      <c r="J2362">
        <v>30</v>
      </c>
      <c r="K2362">
        <v>35</v>
      </c>
      <c r="L2362" s="1" t="s">
        <v>21</v>
      </c>
    </row>
    <row r="2363" spans="1:12" x14ac:dyDescent="0.3">
      <c r="A2363" s="1" t="s">
        <v>1743</v>
      </c>
      <c r="B2363" s="2">
        <v>45844</v>
      </c>
      <c r="C2363" s="2">
        <v>45880</v>
      </c>
      <c r="D2363" s="1" t="s">
        <v>37</v>
      </c>
      <c r="E2363" s="1" t="s">
        <v>14</v>
      </c>
      <c r="F2363" s="1" t="s">
        <v>15</v>
      </c>
      <c r="G2363" s="1" t="s">
        <v>16</v>
      </c>
      <c r="H2363" s="1" t="s">
        <v>39</v>
      </c>
      <c r="I2363" s="1" t="s">
        <v>26</v>
      </c>
      <c r="J2363">
        <v>30</v>
      </c>
      <c r="K2363">
        <v>36</v>
      </c>
      <c r="L2363" s="1" t="s">
        <v>21</v>
      </c>
    </row>
    <row r="2364" spans="1:12" x14ac:dyDescent="0.3">
      <c r="A2364" s="1" t="s">
        <v>2534</v>
      </c>
      <c r="B2364" s="2">
        <v>45844</v>
      </c>
      <c r="C2364" s="2">
        <v>45877</v>
      </c>
      <c r="D2364" s="1" t="s">
        <v>37</v>
      </c>
      <c r="E2364" s="1" t="s">
        <v>14</v>
      </c>
      <c r="F2364" s="1" t="s">
        <v>15</v>
      </c>
      <c r="G2364" s="1" t="s">
        <v>16</v>
      </c>
      <c r="H2364" s="1" t="s">
        <v>39</v>
      </c>
      <c r="I2364" s="1" t="s">
        <v>18</v>
      </c>
      <c r="J2364">
        <v>15</v>
      </c>
      <c r="K2364">
        <v>33</v>
      </c>
      <c r="L2364" s="1" t="s">
        <v>21</v>
      </c>
    </row>
    <row r="2365" spans="1:12" x14ac:dyDescent="0.3">
      <c r="A2365" s="1" t="s">
        <v>3242</v>
      </c>
      <c r="B2365" s="2">
        <v>45844</v>
      </c>
      <c r="C2365" s="2">
        <v>45869</v>
      </c>
      <c r="D2365" s="1" t="s">
        <v>13</v>
      </c>
      <c r="E2365" s="1" t="s">
        <v>24</v>
      </c>
      <c r="F2365" s="1" t="s">
        <v>38</v>
      </c>
      <c r="G2365" s="1" t="s">
        <v>16</v>
      </c>
      <c r="H2365" s="1" t="s">
        <v>47</v>
      </c>
      <c r="I2365" s="1" t="s">
        <v>26</v>
      </c>
      <c r="J2365">
        <v>30</v>
      </c>
      <c r="K2365">
        <v>25</v>
      </c>
      <c r="L2365" s="1" t="s">
        <v>19</v>
      </c>
    </row>
    <row r="2366" spans="1:12" x14ac:dyDescent="0.3">
      <c r="A2366" s="1" t="s">
        <v>422</v>
      </c>
      <c r="B2366" s="2">
        <v>45843</v>
      </c>
      <c r="C2366" s="2">
        <v>45863</v>
      </c>
      <c r="D2366" s="1" t="s">
        <v>28</v>
      </c>
      <c r="E2366" s="1" t="s">
        <v>14</v>
      </c>
      <c r="F2366" s="1" t="s">
        <v>15</v>
      </c>
      <c r="G2366" s="1" t="s">
        <v>16</v>
      </c>
      <c r="H2366" s="1" t="s">
        <v>54</v>
      </c>
      <c r="I2366" s="1" t="s">
        <v>26</v>
      </c>
      <c r="J2366">
        <v>15</v>
      </c>
      <c r="K2366">
        <v>20</v>
      </c>
      <c r="L2366" s="1" t="s">
        <v>19</v>
      </c>
    </row>
    <row r="2367" spans="1:12" x14ac:dyDescent="0.3">
      <c r="A2367" s="1" t="s">
        <v>1339</v>
      </c>
      <c r="B2367" s="2">
        <v>45843</v>
      </c>
      <c r="C2367" s="2">
        <v>45876</v>
      </c>
      <c r="D2367" s="1" t="s">
        <v>28</v>
      </c>
      <c r="E2367" s="1" t="s">
        <v>14</v>
      </c>
      <c r="F2367" s="1" t="s">
        <v>15</v>
      </c>
      <c r="G2367" s="1" t="s">
        <v>16</v>
      </c>
      <c r="H2367" s="1" t="s">
        <v>29</v>
      </c>
      <c r="I2367" s="1" t="s">
        <v>26</v>
      </c>
      <c r="J2367">
        <v>15</v>
      </c>
      <c r="K2367">
        <v>33</v>
      </c>
      <c r="L2367" s="1" t="s">
        <v>21</v>
      </c>
    </row>
    <row r="2368" spans="1:12" x14ac:dyDescent="0.3">
      <c r="A2368" s="1" t="s">
        <v>252</v>
      </c>
      <c r="B2368" s="2">
        <v>45843</v>
      </c>
      <c r="C2368" s="2">
        <v>45869</v>
      </c>
      <c r="D2368" s="1" t="s">
        <v>37</v>
      </c>
      <c r="E2368" s="1" t="s">
        <v>24</v>
      </c>
      <c r="F2368" s="1" t="s">
        <v>15</v>
      </c>
      <c r="G2368" s="1" t="s">
        <v>16</v>
      </c>
      <c r="H2368" s="1" t="s">
        <v>39</v>
      </c>
      <c r="I2368" s="1" t="s">
        <v>26</v>
      </c>
      <c r="J2368">
        <v>30</v>
      </c>
      <c r="K2368">
        <v>26</v>
      </c>
      <c r="L2368" s="1" t="s">
        <v>19</v>
      </c>
    </row>
    <row r="2369" spans="1:12" x14ac:dyDescent="0.3">
      <c r="A2369" s="1" t="s">
        <v>250</v>
      </c>
      <c r="B2369" s="2">
        <v>45843</v>
      </c>
      <c r="C2369" s="2">
        <v>45861</v>
      </c>
      <c r="D2369" s="1" t="s">
        <v>37</v>
      </c>
      <c r="E2369" s="1" t="s">
        <v>24</v>
      </c>
      <c r="F2369" s="1" t="s">
        <v>38</v>
      </c>
      <c r="G2369" s="1" t="s">
        <v>16</v>
      </c>
      <c r="H2369" s="1" t="s">
        <v>49</v>
      </c>
      <c r="I2369" s="1" t="s">
        <v>18</v>
      </c>
      <c r="J2369">
        <v>30</v>
      </c>
      <c r="K2369">
        <v>18</v>
      </c>
      <c r="L2369" s="1" t="s">
        <v>19</v>
      </c>
    </row>
    <row r="2370" spans="1:12" x14ac:dyDescent="0.3">
      <c r="A2370" s="1" t="s">
        <v>1221</v>
      </c>
      <c r="B2370" s="2">
        <v>45842</v>
      </c>
      <c r="C2370" s="2">
        <v>45921</v>
      </c>
      <c r="D2370" s="1" t="s">
        <v>23</v>
      </c>
      <c r="E2370" s="1" t="s">
        <v>14</v>
      </c>
      <c r="F2370" s="1" t="s">
        <v>15</v>
      </c>
      <c r="G2370" s="1" t="s">
        <v>16</v>
      </c>
      <c r="H2370" s="1" t="s">
        <v>43</v>
      </c>
      <c r="I2370" s="1" t="s">
        <v>41</v>
      </c>
      <c r="J2370">
        <v>15</v>
      </c>
      <c r="K2370">
        <v>79</v>
      </c>
      <c r="L2370" s="1" t="s">
        <v>80</v>
      </c>
    </row>
    <row r="2371" spans="1:12" x14ac:dyDescent="0.3">
      <c r="A2371" s="1" t="s">
        <v>1544</v>
      </c>
      <c r="B2371" s="2">
        <v>45842</v>
      </c>
      <c r="C2371" s="2">
        <v>45880</v>
      </c>
      <c r="D2371" s="1" t="s">
        <v>28</v>
      </c>
      <c r="E2371" s="1" t="s">
        <v>24</v>
      </c>
      <c r="F2371" s="1" t="s">
        <v>15</v>
      </c>
      <c r="G2371" s="1" t="s">
        <v>53</v>
      </c>
      <c r="H2371" s="1" t="s">
        <v>29</v>
      </c>
      <c r="I2371" s="1" t="s">
        <v>41</v>
      </c>
      <c r="J2371">
        <v>45</v>
      </c>
      <c r="K2371">
        <v>38</v>
      </c>
      <c r="L2371" s="1" t="s">
        <v>21</v>
      </c>
    </row>
    <row r="2372" spans="1:12" x14ac:dyDescent="0.3">
      <c r="A2372" s="1" t="s">
        <v>2121</v>
      </c>
      <c r="B2372" s="2">
        <v>45842</v>
      </c>
      <c r="C2372" s="2">
        <v>45881</v>
      </c>
      <c r="D2372" s="1" t="s">
        <v>13</v>
      </c>
      <c r="E2372" s="1" t="s">
        <v>14</v>
      </c>
      <c r="F2372" s="1" t="s">
        <v>15</v>
      </c>
      <c r="G2372" s="1" t="s">
        <v>16</v>
      </c>
      <c r="H2372" s="1" t="s">
        <v>17</v>
      </c>
      <c r="I2372" s="1" t="s">
        <v>41</v>
      </c>
      <c r="J2372">
        <v>15</v>
      </c>
      <c r="K2372">
        <v>39</v>
      </c>
      <c r="L2372" s="1" t="s">
        <v>21</v>
      </c>
    </row>
    <row r="2373" spans="1:12" x14ac:dyDescent="0.3">
      <c r="A2373" s="1" t="s">
        <v>2463</v>
      </c>
      <c r="B2373" s="2">
        <v>45842</v>
      </c>
      <c r="C2373" s="2">
        <v>45882</v>
      </c>
      <c r="D2373" s="1" t="s">
        <v>37</v>
      </c>
      <c r="E2373" s="1" t="s">
        <v>14</v>
      </c>
      <c r="F2373" s="1" t="s">
        <v>15</v>
      </c>
      <c r="G2373" s="1" t="s">
        <v>53</v>
      </c>
      <c r="H2373" s="1" t="s">
        <v>39</v>
      </c>
      <c r="I2373" s="1" t="s">
        <v>18</v>
      </c>
      <c r="J2373">
        <v>30</v>
      </c>
      <c r="K2373">
        <v>40</v>
      </c>
      <c r="L2373" s="1" t="s">
        <v>21</v>
      </c>
    </row>
    <row r="2374" spans="1:12" x14ac:dyDescent="0.3">
      <c r="A2374" s="1" t="s">
        <v>2460</v>
      </c>
      <c r="B2374" s="2">
        <v>45842</v>
      </c>
      <c r="C2374" s="2">
        <v>45872</v>
      </c>
      <c r="D2374" s="1" t="s">
        <v>37</v>
      </c>
      <c r="E2374" s="1" t="s">
        <v>14</v>
      </c>
      <c r="F2374" s="1" t="s">
        <v>15</v>
      </c>
      <c r="G2374" s="1" t="s">
        <v>16</v>
      </c>
      <c r="H2374" s="1" t="s">
        <v>49</v>
      </c>
      <c r="I2374" s="1" t="s">
        <v>18</v>
      </c>
      <c r="J2374">
        <v>15</v>
      </c>
      <c r="K2374">
        <v>30</v>
      </c>
      <c r="L2374" s="1" t="s">
        <v>21</v>
      </c>
    </row>
    <row r="2375" spans="1:12" x14ac:dyDescent="0.3">
      <c r="A2375" s="1" t="s">
        <v>1846</v>
      </c>
      <c r="B2375" s="2">
        <v>45842</v>
      </c>
      <c r="C2375" s="2">
        <v>45860</v>
      </c>
      <c r="D2375" s="1" t="s">
        <v>37</v>
      </c>
      <c r="E2375" s="1" t="s">
        <v>24</v>
      </c>
      <c r="F2375" s="1" t="s">
        <v>15</v>
      </c>
      <c r="G2375" s="1" t="s">
        <v>33</v>
      </c>
      <c r="H2375" s="1" t="s">
        <v>39</v>
      </c>
      <c r="I2375" s="1" t="s">
        <v>18</v>
      </c>
      <c r="J2375">
        <v>30</v>
      </c>
      <c r="K2375">
        <v>18</v>
      </c>
      <c r="L2375" s="1" t="s">
        <v>19</v>
      </c>
    </row>
    <row r="2376" spans="1:12" x14ac:dyDescent="0.3">
      <c r="A2376" s="1" t="s">
        <v>2937</v>
      </c>
      <c r="B2376" s="2">
        <v>45842</v>
      </c>
      <c r="C2376" s="2">
        <v>45887</v>
      </c>
      <c r="D2376" s="1" t="s">
        <v>23</v>
      </c>
      <c r="E2376" s="1" t="s">
        <v>14</v>
      </c>
      <c r="F2376" s="1" t="s">
        <v>15</v>
      </c>
      <c r="G2376" s="1" t="s">
        <v>16</v>
      </c>
      <c r="H2376" s="1" t="s">
        <v>25</v>
      </c>
      <c r="I2376" s="1" t="s">
        <v>41</v>
      </c>
      <c r="J2376">
        <v>15</v>
      </c>
      <c r="K2376">
        <v>45</v>
      </c>
      <c r="L2376" s="1" t="s">
        <v>44</v>
      </c>
    </row>
    <row r="2377" spans="1:12" x14ac:dyDescent="0.3">
      <c r="A2377" s="1" t="s">
        <v>387</v>
      </c>
      <c r="B2377" s="2">
        <v>45841</v>
      </c>
      <c r="C2377" s="2">
        <v>45855</v>
      </c>
      <c r="D2377" s="1" t="s">
        <v>23</v>
      </c>
      <c r="E2377" s="1" t="s">
        <v>14</v>
      </c>
      <c r="F2377" s="1" t="s">
        <v>15</v>
      </c>
      <c r="G2377" s="1" t="s">
        <v>53</v>
      </c>
      <c r="H2377" s="1" t="s">
        <v>25</v>
      </c>
      <c r="I2377" s="1" t="s">
        <v>26</v>
      </c>
      <c r="J2377">
        <v>15</v>
      </c>
      <c r="K2377">
        <v>14</v>
      </c>
      <c r="L2377" s="1" t="s">
        <v>30</v>
      </c>
    </row>
    <row r="2378" spans="1:12" x14ac:dyDescent="0.3">
      <c r="A2378" s="1" t="s">
        <v>975</v>
      </c>
      <c r="B2378" s="2">
        <v>45841</v>
      </c>
      <c r="C2378" s="2">
        <v>45889</v>
      </c>
      <c r="D2378" s="1" t="s">
        <v>28</v>
      </c>
      <c r="E2378" s="1" t="s">
        <v>14</v>
      </c>
      <c r="F2378" s="1" t="s">
        <v>15</v>
      </c>
      <c r="G2378" s="1" t="s">
        <v>53</v>
      </c>
      <c r="H2378" s="1" t="s">
        <v>29</v>
      </c>
      <c r="I2378" s="1" t="s">
        <v>41</v>
      </c>
      <c r="J2378">
        <v>15</v>
      </c>
      <c r="K2378">
        <v>48</v>
      </c>
      <c r="L2378" s="1" t="s">
        <v>44</v>
      </c>
    </row>
    <row r="2379" spans="1:12" x14ac:dyDescent="0.3">
      <c r="A2379" s="1" t="s">
        <v>1467</v>
      </c>
      <c r="B2379" s="2">
        <v>45841</v>
      </c>
      <c r="C2379" s="2">
        <v>45852</v>
      </c>
      <c r="D2379" s="1" t="s">
        <v>28</v>
      </c>
      <c r="E2379" s="1" t="s">
        <v>14</v>
      </c>
      <c r="F2379" s="1" t="s">
        <v>15</v>
      </c>
      <c r="G2379" s="1" t="s">
        <v>33</v>
      </c>
      <c r="H2379" s="1" t="s">
        <v>54</v>
      </c>
      <c r="I2379" s="1" t="s">
        <v>18</v>
      </c>
      <c r="J2379">
        <v>30</v>
      </c>
      <c r="K2379">
        <v>11</v>
      </c>
      <c r="L2379" s="1" t="s">
        <v>30</v>
      </c>
    </row>
    <row r="2380" spans="1:12" x14ac:dyDescent="0.3">
      <c r="A2380" s="1" t="s">
        <v>2388</v>
      </c>
      <c r="B2380" s="2">
        <v>45841</v>
      </c>
      <c r="C2380" s="2">
        <v>45920</v>
      </c>
      <c r="D2380" s="1" t="s">
        <v>23</v>
      </c>
      <c r="E2380" s="1" t="s">
        <v>24</v>
      </c>
      <c r="F2380" s="1" t="s">
        <v>38</v>
      </c>
      <c r="G2380" s="1" t="s">
        <v>53</v>
      </c>
      <c r="H2380" s="1" t="s">
        <v>25</v>
      </c>
      <c r="I2380" s="1" t="s">
        <v>41</v>
      </c>
      <c r="J2380">
        <v>30</v>
      </c>
      <c r="K2380">
        <v>79</v>
      </c>
      <c r="L2380" s="1" t="s">
        <v>80</v>
      </c>
    </row>
    <row r="2381" spans="1:12" x14ac:dyDescent="0.3">
      <c r="A2381" s="1" t="s">
        <v>2230</v>
      </c>
      <c r="B2381" s="2">
        <v>45841</v>
      </c>
      <c r="C2381" s="2">
        <v>45892</v>
      </c>
      <c r="D2381" s="1" t="s">
        <v>37</v>
      </c>
      <c r="E2381" s="1" t="s">
        <v>14</v>
      </c>
      <c r="F2381" s="1" t="s">
        <v>15</v>
      </c>
      <c r="G2381" s="1" t="s">
        <v>16</v>
      </c>
      <c r="H2381" s="1" t="s">
        <v>39</v>
      </c>
      <c r="I2381" s="1" t="s">
        <v>26</v>
      </c>
      <c r="J2381">
        <v>15</v>
      </c>
      <c r="K2381">
        <v>51</v>
      </c>
      <c r="L2381" s="1" t="s">
        <v>44</v>
      </c>
    </row>
    <row r="2382" spans="1:12" x14ac:dyDescent="0.3">
      <c r="A2382" s="1" t="s">
        <v>2650</v>
      </c>
      <c r="B2382" s="2">
        <v>45841</v>
      </c>
      <c r="C2382" s="2">
        <v>45857</v>
      </c>
      <c r="D2382" s="1" t="s">
        <v>37</v>
      </c>
      <c r="E2382" s="1" t="s">
        <v>14</v>
      </c>
      <c r="F2382" s="1" t="s">
        <v>15</v>
      </c>
      <c r="G2382" s="1" t="s">
        <v>16</v>
      </c>
      <c r="H2382" s="1" t="s">
        <v>49</v>
      </c>
      <c r="I2382" s="1" t="s">
        <v>26</v>
      </c>
      <c r="J2382">
        <v>15</v>
      </c>
      <c r="K2382">
        <v>16</v>
      </c>
      <c r="L2382" s="1" t="s">
        <v>19</v>
      </c>
    </row>
    <row r="2383" spans="1:12" x14ac:dyDescent="0.3">
      <c r="A2383" s="1" t="s">
        <v>961</v>
      </c>
      <c r="B2383" s="2">
        <v>45840</v>
      </c>
      <c r="C2383" s="2">
        <v>45888</v>
      </c>
      <c r="D2383" s="1" t="s">
        <v>28</v>
      </c>
      <c r="E2383" s="1" t="s">
        <v>14</v>
      </c>
      <c r="F2383" s="1" t="s">
        <v>15</v>
      </c>
      <c r="G2383" s="1" t="s">
        <v>33</v>
      </c>
      <c r="H2383" s="1" t="s">
        <v>54</v>
      </c>
      <c r="I2383" s="1" t="s">
        <v>26</v>
      </c>
      <c r="J2383">
        <v>15</v>
      </c>
      <c r="K2383">
        <v>48</v>
      </c>
      <c r="L2383" s="1" t="s">
        <v>44</v>
      </c>
    </row>
    <row r="2384" spans="1:12" x14ac:dyDescent="0.3">
      <c r="A2384" s="1" t="s">
        <v>1349</v>
      </c>
      <c r="B2384" s="2">
        <v>45840</v>
      </c>
      <c r="C2384" s="2">
        <v>45884</v>
      </c>
      <c r="D2384" s="1" t="s">
        <v>23</v>
      </c>
      <c r="E2384" s="1" t="s">
        <v>14</v>
      </c>
      <c r="F2384" s="1" t="s">
        <v>15</v>
      </c>
      <c r="G2384" s="1" t="s">
        <v>16</v>
      </c>
      <c r="H2384" s="1" t="s">
        <v>43</v>
      </c>
      <c r="I2384" s="1" t="s">
        <v>18</v>
      </c>
      <c r="J2384">
        <v>30</v>
      </c>
      <c r="K2384">
        <v>44</v>
      </c>
      <c r="L2384" s="1" t="s">
        <v>44</v>
      </c>
    </row>
    <row r="2385" spans="1:12" x14ac:dyDescent="0.3">
      <c r="A2385" s="1" t="s">
        <v>1604</v>
      </c>
      <c r="B2385" s="2">
        <v>45840</v>
      </c>
      <c r="C2385" s="2">
        <v>45878</v>
      </c>
      <c r="D2385" s="1" t="s">
        <v>28</v>
      </c>
      <c r="E2385" s="1" t="s">
        <v>24</v>
      </c>
      <c r="F2385" s="1" t="s">
        <v>38</v>
      </c>
      <c r="G2385" s="1" t="s">
        <v>16</v>
      </c>
      <c r="H2385" s="1" t="s">
        <v>29</v>
      </c>
      <c r="I2385" s="1" t="s">
        <v>41</v>
      </c>
      <c r="J2385">
        <v>30</v>
      </c>
      <c r="K2385">
        <v>38</v>
      </c>
      <c r="L2385" s="1" t="s">
        <v>21</v>
      </c>
    </row>
    <row r="2386" spans="1:12" x14ac:dyDescent="0.3">
      <c r="A2386" s="1" t="s">
        <v>1702</v>
      </c>
      <c r="B2386" s="2">
        <v>45840</v>
      </c>
      <c r="C2386" s="2">
        <v>45893</v>
      </c>
      <c r="D2386" s="1" t="s">
        <v>28</v>
      </c>
      <c r="E2386" s="1" t="s">
        <v>24</v>
      </c>
      <c r="F2386" s="1" t="s">
        <v>15</v>
      </c>
      <c r="G2386" s="1" t="s">
        <v>16</v>
      </c>
      <c r="H2386" s="1" t="s">
        <v>54</v>
      </c>
      <c r="I2386" s="1" t="s">
        <v>41</v>
      </c>
      <c r="J2386">
        <v>45</v>
      </c>
      <c r="K2386">
        <v>53</v>
      </c>
      <c r="L2386" s="1" t="s">
        <v>44</v>
      </c>
    </row>
    <row r="2387" spans="1:12" x14ac:dyDescent="0.3">
      <c r="A2387" s="1" t="s">
        <v>1894</v>
      </c>
      <c r="B2387" s="2">
        <v>45840</v>
      </c>
      <c r="C2387" s="2">
        <v>45842</v>
      </c>
      <c r="D2387" s="1" t="s">
        <v>28</v>
      </c>
      <c r="E2387" s="1" t="s">
        <v>14</v>
      </c>
      <c r="F2387" s="1" t="s">
        <v>15</v>
      </c>
      <c r="G2387" s="1" t="s">
        <v>16</v>
      </c>
      <c r="H2387" s="1" t="s">
        <v>29</v>
      </c>
      <c r="I2387" s="1" t="s">
        <v>26</v>
      </c>
      <c r="J2387">
        <v>30</v>
      </c>
      <c r="K2387">
        <v>2</v>
      </c>
      <c r="L2387" s="1" t="s">
        <v>30</v>
      </c>
    </row>
    <row r="2388" spans="1:12" x14ac:dyDescent="0.3">
      <c r="A2388" s="1" t="s">
        <v>2168</v>
      </c>
      <c r="B2388" s="2">
        <v>45840</v>
      </c>
      <c r="C2388" s="2">
        <v>45879</v>
      </c>
      <c r="D2388" s="1" t="s">
        <v>28</v>
      </c>
      <c r="E2388" s="1" t="s">
        <v>14</v>
      </c>
      <c r="F2388" s="1" t="s">
        <v>15</v>
      </c>
      <c r="G2388" s="1" t="s">
        <v>16</v>
      </c>
      <c r="H2388" s="1" t="s">
        <v>29</v>
      </c>
      <c r="I2388" s="1" t="s">
        <v>18</v>
      </c>
      <c r="J2388">
        <v>15</v>
      </c>
      <c r="K2388">
        <v>39</v>
      </c>
      <c r="L2388" s="1" t="s">
        <v>21</v>
      </c>
    </row>
    <row r="2389" spans="1:12" x14ac:dyDescent="0.3">
      <c r="A2389" s="1" t="s">
        <v>1984</v>
      </c>
      <c r="B2389" s="2">
        <v>45840</v>
      </c>
      <c r="C2389" s="2">
        <v>45898</v>
      </c>
      <c r="D2389" s="1" t="s">
        <v>37</v>
      </c>
      <c r="E2389" s="1" t="s">
        <v>14</v>
      </c>
      <c r="F2389" s="1" t="s">
        <v>15</v>
      </c>
      <c r="G2389" s="1" t="s">
        <v>16</v>
      </c>
      <c r="H2389" s="1" t="s">
        <v>39</v>
      </c>
      <c r="I2389" s="1" t="s">
        <v>26</v>
      </c>
      <c r="J2389">
        <v>15</v>
      </c>
      <c r="K2389">
        <v>58</v>
      </c>
      <c r="L2389" s="1" t="s">
        <v>80</v>
      </c>
    </row>
    <row r="2390" spans="1:12" x14ac:dyDescent="0.3">
      <c r="A2390" s="1" t="s">
        <v>738</v>
      </c>
      <c r="B2390" s="2">
        <v>45840</v>
      </c>
      <c r="C2390" s="2">
        <v>45853</v>
      </c>
      <c r="D2390" s="1" t="s">
        <v>37</v>
      </c>
      <c r="E2390" s="1" t="s">
        <v>14</v>
      </c>
      <c r="F2390" s="1" t="s">
        <v>15</v>
      </c>
      <c r="G2390" s="1" t="s">
        <v>33</v>
      </c>
      <c r="H2390" s="1" t="s">
        <v>49</v>
      </c>
      <c r="I2390" s="1" t="s">
        <v>18</v>
      </c>
      <c r="J2390">
        <v>30</v>
      </c>
      <c r="K2390">
        <v>13</v>
      </c>
      <c r="L2390" s="1" t="s">
        <v>30</v>
      </c>
    </row>
    <row r="2391" spans="1:12" x14ac:dyDescent="0.3">
      <c r="A2391" s="1" t="s">
        <v>525</v>
      </c>
      <c r="B2391" s="2">
        <v>45839</v>
      </c>
      <c r="C2391" s="2">
        <v>45908</v>
      </c>
      <c r="D2391" s="1" t="s">
        <v>32</v>
      </c>
      <c r="E2391" s="1" t="s">
        <v>24</v>
      </c>
      <c r="F2391" s="1" t="s">
        <v>15</v>
      </c>
      <c r="G2391" s="1" t="s">
        <v>16</v>
      </c>
      <c r="H2391" s="1" t="s">
        <v>34</v>
      </c>
      <c r="I2391" s="1" t="s">
        <v>18</v>
      </c>
      <c r="J2391">
        <v>30</v>
      </c>
      <c r="K2391">
        <v>69</v>
      </c>
      <c r="L2391" s="1" t="s">
        <v>80</v>
      </c>
    </row>
    <row r="2392" spans="1:12" x14ac:dyDescent="0.3">
      <c r="A2392" s="1" t="s">
        <v>1455</v>
      </c>
      <c r="B2392" s="2">
        <v>45839</v>
      </c>
      <c r="C2392" s="2">
        <v>45873</v>
      </c>
      <c r="D2392" s="1" t="s">
        <v>32</v>
      </c>
      <c r="E2392" s="1" t="s">
        <v>24</v>
      </c>
      <c r="F2392" s="1" t="s">
        <v>15</v>
      </c>
      <c r="G2392" s="1" t="s">
        <v>16</v>
      </c>
      <c r="H2392" s="1" t="s">
        <v>34</v>
      </c>
      <c r="I2392" s="1" t="s">
        <v>41</v>
      </c>
      <c r="J2392">
        <v>30</v>
      </c>
      <c r="K2392">
        <v>34</v>
      </c>
      <c r="L2392" s="1" t="s">
        <v>21</v>
      </c>
    </row>
    <row r="2393" spans="1:12" x14ac:dyDescent="0.3">
      <c r="A2393" s="1" t="s">
        <v>1860</v>
      </c>
      <c r="B2393" s="2">
        <v>45839</v>
      </c>
      <c r="C2393" s="2">
        <v>45868</v>
      </c>
      <c r="D2393" s="1" t="s">
        <v>13</v>
      </c>
      <c r="E2393" s="1" t="s">
        <v>14</v>
      </c>
      <c r="F2393" s="1" t="s">
        <v>15</v>
      </c>
      <c r="G2393" s="1" t="s">
        <v>16</v>
      </c>
      <c r="H2393" s="1" t="s">
        <v>47</v>
      </c>
      <c r="I2393" s="1" t="s">
        <v>26</v>
      </c>
      <c r="J2393">
        <v>15</v>
      </c>
      <c r="K2393">
        <v>29</v>
      </c>
      <c r="L2393" s="1" t="s">
        <v>21</v>
      </c>
    </row>
    <row r="2394" spans="1:12" x14ac:dyDescent="0.3">
      <c r="A2394" s="1" t="s">
        <v>2441</v>
      </c>
      <c r="B2394" s="2">
        <v>45839</v>
      </c>
      <c r="C2394" s="2">
        <v>45862</v>
      </c>
      <c r="D2394" s="1" t="s">
        <v>13</v>
      </c>
      <c r="E2394" s="1" t="s">
        <v>14</v>
      </c>
      <c r="F2394" s="1" t="s">
        <v>15</v>
      </c>
      <c r="G2394" s="1" t="s">
        <v>16</v>
      </c>
      <c r="H2394" s="1" t="s">
        <v>47</v>
      </c>
      <c r="I2394" s="1" t="s">
        <v>41</v>
      </c>
      <c r="J2394">
        <v>15</v>
      </c>
      <c r="K2394">
        <v>23</v>
      </c>
      <c r="L2394" s="1" t="s">
        <v>19</v>
      </c>
    </row>
    <row r="2395" spans="1:12" x14ac:dyDescent="0.3">
      <c r="A2395" s="1" t="s">
        <v>610</v>
      </c>
      <c r="B2395" s="2">
        <v>45838</v>
      </c>
      <c r="C2395" s="2">
        <v>45863</v>
      </c>
      <c r="D2395" s="1" t="s">
        <v>13</v>
      </c>
      <c r="E2395" s="1" t="s">
        <v>24</v>
      </c>
      <c r="F2395" s="1" t="s">
        <v>15</v>
      </c>
      <c r="G2395" s="1" t="s">
        <v>53</v>
      </c>
      <c r="H2395" s="1" t="s">
        <v>17</v>
      </c>
      <c r="I2395" s="1" t="s">
        <v>26</v>
      </c>
      <c r="J2395">
        <v>45</v>
      </c>
      <c r="K2395">
        <v>25</v>
      </c>
      <c r="L2395" s="1" t="s">
        <v>19</v>
      </c>
    </row>
    <row r="2396" spans="1:12" x14ac:dyDescent="0.3">
      <c r="A2396" s="1" t="s">
        <v>1605</v>
      </c>
      <c r="B2396" s="2">
        <v>45838</v>
      </c>
      <c r="C2396" s="2">
        <v>45885</v>
      </c>
      <c r="D2396" s="1" t="s">
        <v>28</v>
      </c>
      <c r="E2396" s="1" t="s">
        <v>14</v>
      </c>
      <c r="F2396" s="1" t="s">
        <v>15</v>
      </c>
      <c r="G2396" s="1" t="s">
        <v>53</v>
      </c>
      <c r="H2396" s="1" t="s">
        <v>29</v>
      </c>
      <c r="I2396" s="1" t="s">
        <v>26</v>
      </c>
      <c r="J2396">
        <v>15</v>
      </c>
      <c r="K2396">
        <v>47</v>
      </c>
      <c r="L2396" s="1" t="s">
        <v>44</v>
      </c>
    </row>
    <row r="2397" spans="1:12" x14ac:dyDescent="0.3">
      <c r="A2397" s="1" t="s">
        <v>1946</v>
      </c>
      <c r="B2397" s="2">
        <v>45838</v>
      </c>
      <c r="C2397" s="2">
        <v>45848</v>
      </c>
      <c r="D2397" s="1" t="s">
        <v>13</v>
      </c>
      <c r="E2397" s="1" t="s">
        <v>24</v>
      </c>
      <c r="F2397" s="1" t="s">
        <v>38</v>
      </c>
      <c r="G2397" s="1" t="s">
        <v>16</v>
      </c>
      <c r="H2397" s="1" t="s">
        <v>17</v>
      </c>
      <c r="I2397" s="1" t="s">
        <v>26</v>
      </c>
      <c r="J2397">
        <v>30</v>
      </c>
      <c r="K2397">
        <v>10</v>
      </c>
      <c r="L2397" s="1" t="s">
        <v>30</v>
      </c>
    </row>
    <row r="2398" spans="1:12" x14ac:dyDescent="0.3">
      <c r="A2398" s="1" t="s">
        <v>659</v>
      </c>
      <c r="B2398" s="2">
        <v>45838</v>
      </c>
      <c r="C2398" s="2">
        <v>45881</v>
      </c>
      <c r="D2398" s="1" t="s">
        <v>37</v>
      </c>
      <c r="E2398" s="1" t="s">
        <v>14</v>
      </c>
      <c r="F2398" s="1" t="s">
        <v>15</v>
      </c>
      <c r="G2398" s="1" t="s">
        <v>16</v>
      </c>
      <c r="H2398" s="1" t="s">
        <v>39</v>
      </c>
      <c r="I2398" s="1" t="s">
        <v>18</v>
      </c>
      <c r="J2398">
        <v>30</v>
      </c>
      <c r="K2398">
        <v>43</v>
      </c>
      <c r="L2398" s="1" t="s">
        <v>44</v>
      </c>
    </row>
    <row r="2399" spans="1:12" x14ac:dyDescent="0.3">
      <c r="A2399" s="1" t="s">
        <v>550</v>
      </c>
      <c r="B2399" s="2">
        <v>45838</v>
      </c>
      <c r="C2399" s="2">
        <v>45872</v>
      </c>
      <c r="D2399" s="1" t="s">
        <v>37</v>
      </c>
      <c r="E2399" s="1" t="s">
        <v>24</v>
      </c>
      <c r="F2399" s="1" t="s">
        <v>15</v>
      </c>
      <c r="G2399" s="1" t="s">
        <v>33</v>
      </c>
      <c r="H2399" s="1" t="s">
        <v>39</v>
      </c>
      <c r="I2399" s="1" t="s">
        <v>26</v>
      </c>
      <c r="J2399">
        <v>45</v>
      </c>
      <c r="K2399">
        <v>34</v>
      </c>
      <c r="L2399" s="1" t="s">
        <v>21</v>
      </c>
    </row>
    <row r="2400" spans="1:12" x14ac:dyDescent="0.3">
      <c r="A2400" s="1" t="s">
        <v>967</v>
      </c>
      <c r="B2400" s="2">
        <v>45838</v>
      </c>
      <c r="C2400" s="2">
        <v>45871</v>
      </c>
      <c r="D2400" s="1" t="s">
        <v>37</v>
      </c>
      <c r="E2400" s="1" t="s">
        <v>14</v>
      </c>
      <c r="F2400" s="1" t="s">
        <v>15</v>
      </c>
      <c r="G2400" s="1" t="s">
        <v>16</v>
      </c>
      <c r="H2400" s="1" t="s">
        <v>39</v>
      </c>
      <c r="I2400" s="1" t="s">
        <v>41</v>
      </c>
      <c r="J2400">
        <v>30</v>
      </c>
      <c r="K2400">
        <v>33</v>
      </c>
      <c r="L2400" s="1" t="s">
        <v>21</v>
      </c>
    </row>
    <row r="2401" spans="1:12" x14ac:dyDescent="0.3">
      <c r="A2401" s="1" t="s">
        <v>2279</v>
      </c>
      <c r="B2401" s="2">
        <v>45838</v>
      </c>
      <c r="C2401" s="2">
        <v>45843</v>
      </c>
      <c r="D2401" s="1" t="s">
        <v>37</v>
      </c>
      <c r="E2401" s="1" t="s">
        <v>14</v>
      </c>
      <c r="F2401" s="1" t="s">
        <v>15</v>
      </c>
      <c r="G2401" s="1" t="s">
        <v>16</v>
      </c>
      <c r="H2401" s="1" t="s">
        <v>49</v>
      </c>
      <c r="I2401" s="1" t="s">
        <v>18</v>
      </c>
      <c r="J2401">
        <v>15</v>
      </c>
      <c r="K2401">
        <v>5</v>
      </c>
      <c r="L2401" s="1" t="s">
        <v>30</v>
      </c>
    </row>
    <row r="2402" spans="1:12" x14ac:dyDescent="0.3">
      <c r="A2402" s="1" t="s">
        <v>3103</v>
      </c>
      <c r="B2402" s="2">
        <v>45838</v>
      </c>
      <c r="C2402" s="2">
        <v>45853</v>
      </c>
      <c r="D2402" s="1" t="s">
        <v>23</v>
      </c>
      <c r="E2402" s="1" t="s">
        <v>14</v>
      </c>
      <c r="F2402" s="1" t="s">
        <v>15</v>
      </c>
      <c r="G2402" s="1" t="s">
        <v>16</v>
      </c>
      <c r="H2402" s="1" t="s">
        <v>43</v>
      </c>
      <c r="I2402" s="1" t="s">
        <v>26</v>
      </c>
      <c r="J2402">
        <v>30</v>
      </c>
      <c r="K2402">
        <v>15</v>
      </c>
      <c r="L2402" s="1" t="s">
        <v>19</v>
      </c>
    </row>
    <row r="2403" spans="1:12" x14ac:dyDescent="0.3">
      <c r="A2403" s="1" t="s">
        <v>160</v>
      </c>
      <c r="B2403" s="2">
        <v>45837</v>
      </c>
      <c r="C2403" s="2">
        <v>45858</v>
      </c>
      <c r="D2403" s="1" t="s">
        <v>23</v>
      </c>
      <c r="E2403" s="1" t="s">
        <v>14</v>
      </c>
      <c r="F2403" s="1" t="s">
        <v>38</v>
      </c>
      <c r="G2403" s="1" t="s">
        <v>16</v>
      </c>
      <c r="H2403" s="1" t="s">
        <v>43</v>
      </c>
      <c r="I2403" s="1" t="s">
        <v>26</v>
      </c>
      <c r="J2403">
        <v>15</v>
      </c>
      <c r="K2403">
        <v>21</v>
      </c>
      <c r="L2403" s="1" t="s">
        <v>19</v>
      </c>
    </row>
    <row r="2404" spans="1:12" x14ac:dyDescent="0.3">
      <c r="A2404" s="1" t="s">
        <v>873</v>
      </c>
      <c r="B2404" s="2">
        <v>45837</v>
      </c>
      <c r="C2404" s="2">
        <v>45839</v>
      </c>
      <c r="D2404" s="1" t="s">
        <v>23</v>
      </c>
      <c r="E2404" s="1" t="s">
        <v>14</v>
      </c>
      <c r="F2404" s="1" t="s">
        <v>15</v>
      </c>
      <c r="G2404" s="1" t="s">
        <v>16</v>
      </c>
      <c r="H2404" s="1" t="s">
        <v>43</v>
      </c>
      <c r="I2404" s="1" t="s">
        <v>18</v>
      </c>
      <c r="J2404">
        <v>15</v>
      </c>
      <c r="K2404">
        <v>2</v>
      </c>
      <c r="L2404" s="1" t="s">
        <v>30</v>
      </c>
    </row>
    <row r="2405" spans="1:12" x14ac:dyDescent="0.3">
      <c r="A2405" s="1" t="s">
        <v>899</v>
      </c>
      <c r="B2405" s="2">
        <v>45837</v>
      </c>
      <c r="C2405" s="2">
        <v>45858</v>
      </c>
      <c r="D2405" s="1" t="s">
        <v>23</v>
      </c>
      <c r="E2405" s="1" t="s">
        <v>14</v>
      </c>
      <c r="F2405" s="1" t="s">
        <v>38</v>
      </c>
      <c r="G2405" s="1" t="s">
        <v>16</v>
      </c>
      <c r="H2405" s="1" t="s">
        <v>25</v>
      </c>
      <c r="I2405" s="1" t="s">
        <v>18</v>
      </c>
      <c r="J2405">
        <v>30</v>
      </c>
      <c r="K2405">
        <v>21</v>
      </c>
      <c r="L2405" s="1" t="s">
        <v>19</v>
      </c>
    </row>
    <row r="2406" spans="1:12" x14ac:dyDescent="0.3">
      <c r="A2406" s="1" t="s">
        <v>1557</v>
      </c>
      <c r="B2406" s="2">
        <v>45837</v>
      </c>
      <c r="C2406" s="2">
        <v>45894</v>
      </c>
      <c r="D2406" s="1" t="s">
        <v>13</v>
      </c>
      <c r="E2406" s="1" t="s">
        <v>14</v>
      </c>
      <c r="F2406" s="1" t="s">
        <v>15</v>
      </c>
      <c r="G2406" s="1" t="s">
        <v>16</v>
      </c>
      <c r="H2406" s="1" t="s">
        <v>17</v>
      </c>
      <c r="I2406" s="1" t="s">
        <v>41</v>
      </c>
      <c r="J2406">
        <v>30</v>
      </c>
      <c r="K2406">
        <v>57</v>
      </c>
      <c r="L2406" s="1" t="s">
        <v>80</v>
      </c>
    </row>
    <row r="2407" spans="1:12" x14ac:dyDescent="0.3">
      <c r="A2407" s="1" t="s">
        <v>1853</v>
      </c>
      <c r="B2407" s="2">
        <v>45837</v>
      </c>
      <c r="C2407" s="2">
        <v>45867</v>
      </c>
      <c r="D2407" s="1" t="s">
        <v>28</v>
      </c>
      <c r="E2407" s="1" t="s">
        <v>24</v>
      </c>
      <c r="F2407" s="1" t="s">
        <v>38</v>
      </c>
      <c r="G2407" s="1" t="s">
        <v>16</v>
      </c>
      <c r="H2407" s="1" t="s">
        <v>29</v>
      </c>
      <c r="I2407" s="1" t="s">
        <v>41</v>
      </c>
      <c r="J2407">
        <v>45</v>
      </c>
      <c r="K2407">
        <v>30</v>
      </c>
      <c r="L2407" s="1" t="s">
        <v>21</v>
      </c>
    </row>
    <row r="2408" spans="1:12" x14ac:dyDescent="0.3">
      <c r="A2408" s="1" t="s">
        <v>1934</v>
      </c>
      <c r="B2408" s="2">
        <v>45837</v>
      </c>
      <c r="C2408" s="2">
        <v>45884</v>
      </c>
      <c r="D2408" s="1" t="s">
        <v>13</v>
      </c>
      <c r="E2408" s="1" t="s">
        <v>14</v>
      </c>
      <c r="F2408" s="1" t="s">
        <v>15</v>
      </c>
      <c r="G2408" s="1" t="s">
        <v>16</v>
      </c>
      <c r="H2408" s="1" t="s">
        <v>17</v>
      </c>
      <c r="I2408" s="1" t="s">
        <v>18</v>
      </c>
      <c r="J2408">
        <v>15</v>
      </c>
      <c r="K2408">
        <v>47</v>
      </c>
      <c r="L2408" s="1" t="s">
        <v>44</v>
      </c>
    </row>
    <row r="2409" spans="1:12" x14ac:dyDescent="0.3">
      <c r="A2409" s="1" t="s">
        <v>1948</v>
      </c>
      <c r="B2409" s="2">
        <v>45837</v>
      </c>
      <c r="C2409" s="2">
        <v>45909</v>
      </c>
      <c r="D2409" s="1" t="s">
        <v>23</v>
      </c>
      <c r="E2409" s="1" t="s">
        <v>14</v>
      </c>
      <c r="F2409" s="1" t="s">
        <v>15</v>
      </c>
      <c r="G2409" s="1" t="s">
        <v>16</v>
      </c>
      <c r="H2409" s="1" t="s">
        <v>25</v>
      </c>
      <c r="I2409" s="1" t="s">
        <v>26</v>
      </c>
      <c r="J2409">
        <v>15</v>
      </c>
      <c r="K2409">
        <v>72</v>
      </c>
      <c r="L2409" s="1" t="s">
        <v>80</v>
      </c>
    </row>
    <row r="2410" spans="1:12" x14ac:dyDescent="0.3">
      <c r="A2410" s="1" t="s">
        <v>2142</v>
      </c>
      <c r="B2410" s="2">
        <v>45837</v>
      </c>
      <c r="C2410" s="2">
        <v>45872</v>
      </c>
      <c r="D2410" s="1" t="s">
        <v>23</v>
      </c>
      <c r="E2410" s="1" t="s">
        <v>14</v>
      </c>
      <c r="F2410" s="1" t="s">
        <v>15</v>
      </c>
      <c r="G2410" s="1" t="s">
        <v>16</v>
      </c>
      <c r="H2410" s="1" t="s">
        <v>25</v>
      </c>
      <c r="I2410" s="1" t="s">
        <v>26</v>
      </c>
      <c r="J2410">
        <v>15</v>
      </c>
      <c r="K2410">
        <v>35</v>
      </c>
      <c r="L2410" s="1" t="s">
        <v>21</v>
      </c>
    </row>
    <row r="2411" spans="1:12" x14ac:dyDescent="0.3">
      <c r="A2411" s="1" t="s">
        <v>1055</v>
      </c>
      <c r="B2411" s="2">
        <v>45837</v>
      </c>
      <c r="C2411" s="2">
        <v>45898</v>
      </c>
      <c r="D2411" s="1" t="s">
        <v>37</v>
      </c>
      <c r="E2411" s="1" t="s">
        <v>14</v>
      </c>
      <c r="F2411" s="1" t="s">
        <v>15</v>
      </c>
      <c r="G2411" s="1" t="s">
        <v>16</v>
      </c>
      <c r="H2411" s="1" t="s">
        <v>39</v>
      </c>
      <c r="I2411" s="1" t="s">
        <v>41</v>
      </c>
      <c r="J2411">
        <v>15</v>
      </c>
      <c r="K2411">
        <v>61</v>
      </c>
      <c r="L2411" s="1" t="s">
        <v>80</v>
      </c>
    </row>
    <row r="2412" spans="1:12" x14ac:dyDescent="0.3">
      <c r="A2412" s="1" t="s">
        <v>1496</v>
      </c>
      <c r="B2412" s="2">
        <v>45837</v>
      </c>
      <c r="C2412" s="2">
        <v>45874</v>
      </c>
      <c r="D2412" s="1" t="s">
        <v>37</v>
      </c>
      <c r="E2412" s="1" t="s">
        <v>14</v>
      </c>
      <c r="F2412" s="1" t="s">
        <v>15</v>
      </c>
      <c r="G2412" s="1" t="s">
        <v>16</v>
      </c>
      <c r="H2412" s="1" t="s">
        <v>39</v>
      </c>
      <c r="I2412" s="1" t="s">
        <v>26</v>
      </c>
      <c r="J2412">
        <v>15</v>
      </c>
      <c r="K2412">
        <v>37</v>
      </c>
      <c r="L2412" s="1" t="s">
        <v>21</v>
      </c>
    </row>
    <row r="2413" spans="1:12" x14ac:dyDescent="0.3">
      <c r="A2413" s="1" t="s">
        <v>1031</v>
      </c>
      <c r="B2413" s="2">
        <v>45837</v>
      </c>
      <c r="C2413" s="2">
        <v>45840</v>
      </c>
      <c r="D2413" s="1" t="s">
        <v>37</v>
      </c>
      <c r="E2413" s="1" t="s">
        <v>24</v>
      </c>
      <c r="F2413" s="1" t="s">
        <v>15</v>
      </c>
      <c r="G2413" s="1" t="s">
        <v>53</v>
      </c>
      <c r="H2413" s="1" t="s">
        <v>49</v>
      </c>
      <c r="I2413" s="1" t="s">
        <v>26</v>
      </c>
      <c r="J2413">
        <v>30</v>
      </c>
      <c r="K2413">
        <v>3</v>
      </c>
      <c r="L2413" s="1" t="s">
        <v>30</v>
      </c>
    </row>
    <row r="2414" spans="1:12" x14ac:dyDescent="0.3">
      <c r="A2414" s="1" t="s">
        <v>2793</v>
      </c>
      <c r="B2414" s="2">
        <v>45837</v>
      </c>
      <c r="C2414" s="2">
        <v>45877</v>
      </c>
      <c r="D2414" s="1" t="s">
        <v>23</v>
      </c>
      <c r="E2414" s="1" t="s">
        <v>14</v>
      </c>
      <c r="F2414" s="1" t="s">
        <v>15</v>
      </c>
      <c r="G2414" s="1" t="s">
        <v>53</v>
      </c>
      <c r="H2414" s="1" t="s">
        <v>25</v>
      </c>
      <c r="I2414" s="1" t="s">
        <v>41</v>
      </c>
      <c r="J2414">
        <v>30</v>
      </c>
      <c r="K2414">
        <v>40</v>
      </c>
      <c r="L2414" s="1" t="s">
        <v>21</v>
      </c>
    </row>
    <row r="2415" spans="1:12" x14ac:dyDescent="0.3">
      <c r="A2415" s="1" t="s">
        <v>356</v>
      </c>
      <c r="B2415" s="2">
        <v>45836</v>
      </c>
      <c r="C2415" s="2">
        <v>45851</v>
      </c>
      <c r="D2415" s="1" t="s">
        <v>23</v>
      </c>
      <c r="E2415" s="1" t="s">
        <v>14</v>
      </c>
      <c r="F2415" s="1" t="s">
        <v>38</v>
      </c>
      <c r="G2415" s="1" t="s">
        <v>53</v>
      </c>
      <c r="H2415" s="1" t="s">
        <v>43</v>
      </c>
      <c r="I2415" s="1" t="s">
        <v>26</v>
      </c>
      <c r="J2415">
        <v>15</v>
      </c>
      <c r="K2415">
        <v>15</v>
      </c>
      <c r="L2415" s="1" t="s">
        <v>19</v>
      </c>
    </row>
    <row r="2416" spans="1:12" x14ac:dyDescent="0.3">
      <c r="A2416" s="1" t="s">
        <v>1149</v>
      </c>
      <c r="B2416" s="2">
        <v>45836</v>
      </c>
      <c r="C2416" s="2">
        <v>45863</v>
      </c>
      <c r="D2416" s="1" t="s">
        <v>32</v>
      </c>
      <c r="E2416" s="1" t="s">
        <v>14</v>
      </c>
      <c r="F2416" s="1" t="s">
        <v>15</v>
      </c>
      <c r="G2416" s="1" t="s">
        <v>33</v>
      </c>
      <c r="H2416" s="1" t="s">
        <v>34</v>
      </c>
      <c r="I2416" s="1" t="s">
        <v>26</v>
      </c>
      <c r="J2416">
        <v>15</v>
      </c>
      <c r="K2416">
        <v>27</v>
      </c>
      <c r="L2416" s="1" t="s">
        <v>19</v>
      </c>
    </row>
    <row r="2417" spans="1:12" x14ac:dyDescent="0.3">
      <c r="A2417" s="1" t="s">
        <v>1166</v>
      </c>
      <c r="B2417" s="2">
        <v>45836</v>
      </c>
      <c r="C2417" s="2">
        <v>45858</v>
      </c>
      <c r="D2417" s="1" t="s">
        <v>23</v>
      </c>
      <c r="E2417" s="1" t="s">
        <v>14</v>
      </c>
      <c r="F2417" s="1" t="s">
        <v>15</v>
      </c>
      <c r="G2417" s="1" t="s">
        <v>16</v>
      </c>
      <c r="H2417" s="1" t="s">
        <v>25</v>
      </c>
      <c r="I2417" s="1" t="s">
        <v>18</v>
      </c>
      <c r="J2417">
        <v>15</v>
      </c>
      <c r="K2417">
        <v>22</v>
      </c>
      <c r="L2417" s="1" t="s">
        <v>19</v>
      </c>
    </row>
    <row r="2418" spans="1:12" x14ac:dyDescent="0.3">
      <c r="A2418" s="1" t="s">
        <v>1293</v>
      </c>
      <c r="B2418" s="2">
        <v>45836</v>
      </c>
      <c r="C2418" s="2">
        <v>45859</v>
      </c>
      <c r="D2418" s="1" t="s">
        <v>28</v>
      </c>
      <c r="E2418" s="1" t="s">
        <v>24</v>
      </c>
      <c r="F2418" s="1" t="s">
        <v>15</v>
      </c>
      <c r="G2418" s="1" t="s">
        <v>53</v>
      </c>
      <c r="H2418" s="1" t="s">
        <v>29</v>
      </c>
      <c r="I2418" s="1" t="s">
        <v>26</v>
      </c>
      <c r="J2418">
        <v>30</v>
      </c>
      <c r="K2418">
        <v>23</v>
      </c>
      <c r="L2418" s="1" t="s">
        <v>19</v>
      </c>
    </row>
    <row r="2419" spans="1:12" x14ac:dyDescent="0.3">
      <c r="A2419" s="1" t="s">
        <v>1751</v>
      </c>
      <c r="B2419" s="2">
        <v>45836</v>
      </c>
      <c r="C2419" s="2">
        <v>45865</v>
      </c>
      <c r="D2419" s="1" t="s">
        <v>23</v>
      </c>
      <c r="E2419" s="1" t="s">
        <v>24</v>
      </c>
      <c r="F2419" s="1" t="s">
        <v>38</v>
      </c>
      <c r="G2419" s="1" t="s">
        <v>16</v>
      </c>
      <c r="H2419" s="1" t="s">
        <v>25</v>
      </c>
      <c r="I2419" s="1" t="s">
        <v>18</v>
      </c>
      <c r="J2419">
        <v>45</v>
      </c>
      <c r="K2419">
        <v>29</v>
      </c>
      <c r="L2419" s="1" t="s">
        <v>21</v>
      </c>
    </row>
    <row r="2420" spans="1:12" x14ac:dyDescent="0.3">
      <c r="A2420" s="1" t="s">
        <v>2295</v>
      </c>
      <c r="B2420" s="2">
        <v>45836</v>
      </c>
      <c r="C2420" s="2">
        <v>45861</v>
      </c>
      <c r="D2420" s="1" t="s">
        <v>28</v>
      </c>
      <c r="E2420" s="1" t="s">
        <v>24</v>
      </c>
      <c r="F2420" s="1" t="s">
        <v>15</v>
      </c>
      <c r="G2420" s="1" t="s">
        <v>16</v>
      </c>
      <c r="H2420" s="1" t="s">
        <v>54</v>
      </c>
      <c r="I2420" s="1" t="s">
        <v>41</v>
      </c>
      <c r="J2420">
        <v>45</v>
      </c>
      <c r="K2420">
        <v>25</v>
      </c>
      <c r="L2420" s="1" t="s">
        <v>19</v>
      </c>
    </row>
    <row r="2421" spans="1:12" x14ac:dyDescent="0.3">
      <c r="A2421" s="1" t="s">
        <v>2529</v>
      </c>
      <c r="B2421" s="2">
        <v>45836</v>
      </c>
      <c r="C2421" s="2">
        <v>45868</v>
      </c>
      <c r="D2421" s="1" t="s">
        <v>23</v>
      </c>
      <c r="E2421" s="1" t="s">
        <v>14</v>
      </c>
      <c r="F2421" s="1" t="s">
        <v>15</v>
      </c>
      <c r="G2421" s="1" t="s">
        <v>16</v>
      </c>
      <c r="H2421" s="1" t="s">
        <v>43</v>
      </c>
      <c r="I2421" s="1" t="s">
        <v>18</v>
      </c>
      <c r="J2421">
        <v>15</v>
      </c>
      <c r="K2421">
        <v>32</v>
      </c>
      <c r="L2421" s="1" t="s">
        <v>21</v>
      </c>
    </row>
    <row r="2422" spans="1:12" x14ac:dyDescent="0.3">
      <c r="A2422" s="1" t="s">
        <v>2204</v>
      </c>
      <c r="B2422" s="2">
        <v>45836</v>
      </c>
      <c r="C2422" s="2">
        <v>45883</v>
      </c>
      <c r="D2422" s="1" t="s">
        <v>37</v>
      </c>
      <c r="E2422" s="1" t="s">
        <v>24</v>
      </c>
      <c r="F2422" s="1" t="s">
        <v>15</v>
      </c>
      <c r="G2422" s="1" t="s">
        <v>16</v>
      </c>
      <c r="H2422" s="1" t="s">
        <v>39</v>
      </c>
      <c r="I2422" s="1" t="s">
        <v>26</v>
      </c>
      <c r="J2422">
        <v>30</v>
      </c>
      <c r="K2422">
        <v>47</v>
      </c>
      <c r="L2422" s="1" t="s">
        <v>44</v>
      </c>
    </row>
    <row r="2423" spans="1:12" x14ac:dyDescent="0.3">
      <c r="A2423" s="1" t="s">
        <v>1548</v>
      </c>
      <c r="B2423" s="2">
        <v>45836</v>
      </c>
      <c r="C2423" s="2">
        <v>45871</v>
      </c>
      <c r="D2423" s="1" t="s">
        <v>37</v>
      </c>
      <c r="E2423" s="1" t="s">
        <v>14</v>
      </c>
      <c r="F2423" s="1" t="s">
        <v>15</v>
      </c>
      <c r="G2423" s="1" t="s">
        <v>16</v>
      </c>
      <c r="H2423" s="1" t="s">
        <v>49</v>
      </c>
      <c r="I2423" s="1" t="s">
        <v>26</v>
      </c>
      <c r="J2423">
        <v>30</v>
      </c>
      <c r="K2423">
        <v>35</v>
      </c>
      <c r="L2423" s="1" t="s">
        <v>21</v>
      </c>
    </row>
    <row r="2424" spans="1:12" x14ac:dyDescent="0.3">
      <c r="A2424" s="1" t="s">
        <v>1828</v>
      </c>
      <c r="B2424" s="2">
        <v>45836</v>
      </c>
      <c r="C2424" s="2">
        <v>45866</v>
      </c>
      <c r="D2424" s="1" t="s">
        <v>37</v>
      </c>
      <c r="E2424" s="1" t="s">
        <v>14</v>
      </c>
      <c r="F2424" s="1" t="s">
        <v>38</v>
      </c>
      <c r="G2424" s="1" t="s">
        <v>16</v>
      </c>
      <c r="H2424" s="1" t="s">
        <v>49</v>
      </c>
      <c r="I2424" s="1" t="s">
        <v>18</v>
      </c>
      <c r="J2424">
        <v>30</v>
      </c>
      <c r="K2424">
        <v>30</v>
      </c>
      <c r="L2424" s="1" t="s">
        <v>21</v>
      </c>
    </row>
    <row r="2425" spans="1:12" x14ac:dyDescent="0.3">
      <c r="A2425" s="1" t="s">
        <v>2729</v>
      </c>
      <c r="B2425" s="2">
        <v>45836</v>
      </c>
      <c r="C2425" s="2">
        <v>45874</v>
      </c>
      <c r="D2425" s="1" t="s">
        <v>13</v>
      </c>
      <c r="E2425" s="1" t="s">
        <v>14</v>
      </c>
      <c r="F2425" s="1" t="s">
        <v>38</v>
      </c>
      <c r="G2425" s="1" t="s">
        <v>16</v>
      </c>
      <c r="H2425" s="1" t="s">
        <v>47</v>
      </c>
      <c r="I2425" s="1" t="s">
        <v>18</v>
      </c>
      <c r="J2425">
        <v>30</v>
      </c>
      <c r="K2425">
        <v>38</v>
      </c>
      <c r="L2425" s="1" t="s">
        <v>21</v>
      </c>
    </row>
    <row r="2426" spans="1:12" x14ac:dyDescent="0.3">
      <c r="A2426" s="1" t="s">
        <v>138</v>
      </c>
      <c r="B2426" s="2">
        <v>45835</v>
      </c>
      <c r="C2426" s="2">
        <v>45876</v>
      </c>
      <c r="D2426" s="1" t="s">
        <v>28</v>
      </c>
      <c r="E2426" s="1" t="s">
        <v>24</v>
      </c>
      <c r="F2426" s="1" t="s">
        <v>15</v>
      </c>
      <c r="G2426" s="1" t="s">
        <v>16</v>
      </c>
      <c r="H2426" s="1" t="s">
        <v>54</v>
      </c>
      <c r="I2426" s="1" t="s">
        <v>26</v>
      </c>
      <c r="J2426">
        <v>45</v>
      </c>
      <c r="K2426">
        <v>41</v>
      </c>
      <c r="L2426" s="1" t="s">
        <v>21</v>
      </c>
    </row>
    <row r="2427" spans="1:12" x14ac:dyDescent="0.3">
      <c r="A2427" s="1" t="s">
        <v>426</v>
      </c>
      <c r="B2427" s="2">
        <v>45835</v>
      </c>
      <c r="C2427" s="2">
        <v>45837</v>
      </c>
      <c r="D2427" s="1" t="s">
        <v>28</v>
      </c>
      <c r="E2427" s="1" t="s">
        <v>14</v>
      </c>
      <c r="F2427" s="1" t="s">
        <v>15</v>
      </c>
      <c r="G2427" s="1" t="s">
        <v>16</v>
      </c>
      <c r="H2427" s="1" t="s">
        <v>29</v>
      </c>
      <c r="I2427" s="1" t="s">
        <v>41</v>
      </c>
      <c r="J2427">
        <v>15</v>
      </c>
      <c r="K2427">
        <v>2</v>
      </c>
      <c r="L2427" s="1" t="s">
        <v>30</v>
      </c>
    </row>
    <row r="2428" spans="1:12" x14ac:dyDescent="0.3">
      <c r="A2428" s="1" t="s">
        <v>635</v>
      </c>
      <c r="B2428" s="2">
        <v>45835</v>
      </c>
      <c r="C2428" s="2">
        <v>45854</v>
      </c>
      <c r="D2428" s="1" t="s">
        <v>32</v>
      </c>
      <c r="E2428" s="1" t="s">
        <v>24</v>
      </c>
      <c r="F2428" s="1" t="s">
        <v>15</v>
      </c>
      <c r="G2428" s="1" t="s">
        <v>16</v>
      </c>
      <c r="H2428" s="1" t="s">
        <v>71</v>
      </c>
      <c r="I2428" s="1" t="s">
        <v>26</v>
      </c>
      <c r="J2428">
        <v>45</v>
      </c>
      <c r="K2428">
        <v>19</v>
      </c>
      <c r="L2428" s="1" t="s">
        <v>19</v>
      </c>
    </row>
    <row r="2429" spans="1:12" x14ac:dyDescent="0.3">
      <c r="A2429" s="1" t="s">
        <v>874</v>
      </c>
      <c r="B2429" s="2">
        <v>45835</v>
      </c>
      <c r="C2429" s="2">
        <v>45882</v>
      </c>
      <c r="D2429" s="1" t="s">
        <v>32</v>
      </c>
      <c r="E2429" s="1" t="s">
        <v>24</v>
      </c>
      <c r="F2429" s="1" t="s">
        <v>15</v>
      </c>
      <c r="G2429" s="1" t="s">
        <v>16</v>
      </c>
      <c r="H2429" s="1" t="s">
        <v>34</v>
      </c>
      <c r="I2429" s="1" t="s">
        <v>26</v>
      </c>
      <c r="J2429">
        <v>30</v>
      </c>
      <c r="K2429">
        <v>47</v>
      </c>
      <c r="L2429" s="1" t="s">
        <v>44</v>
      </c>
    </row>
    <row r="2430" spans="1:12" x14ac:dyDescent="0.3">
      <c r="A2430" s="1" t="s">
        <v>1089</v>
      </c>
      <c r="B2430" s="2">
        <v>45835</v>
      </c>
      <c r="C2430" s="2">
        <v>45852</v>
      </c>
      <c r="D2430" s="1" t="s">
        <v>28</v>
      </c>
      <c r="E2430" s="1" t="s">
        <v>14</v>
      </c>
      <c r="F2430" s="1" t="s">
        <v>15</v>
      </c>
      <c r="G2430" s="1" t="s">
        <v>16</v>
      </c>
      <c r="H2430" s="1" t="s">
        <v>29</v>
      </c>
      <c r="I2430" s="1" t="s">
        <v>41</v>
      </c>
      <c r="J2430">
        <v>15</v>
      </c>
      <c r="K2430">
        <v>17</v>
      </c>
      <c r="L2430" s="1" t="s">
        <v>19</v>
      </c>
    </row>
    <row r="2431" spans="1:12" x14ac:dyDescent="0.3">
      <c r="A2431" s="1" t="s">
        <v>1444</v>
      </c>
      <c r="B2431" s="2">
        <v>45835</v>
      </c>
      <c r="C2431" s="2">
        <v>45869</v>
      </c>
      <c r="D2431" s="1" t="s">
        <v>23</v>
      </c>
      <c r="E2431" s="1" t="s">
        <v>14</v>
      </c>
      <c r="F2431" s="1" t="s">
        <v>15</v>
      </c>
      <c r="G2431" s="1" t="s">
        <v>16</v>
      </c>
      <c r="H2431" s="1" t="s">
        <v>43</v>
      </c>
      <c r="I2431" s="1" t="s">
        <v>26</v>
      </c>
      <c r="J2431">
        <v>15</v>
      </c>
      <c r="K2431">
        <v>34</v>
      </c>
      <c r="L2431" s="1" t="s">
        <v>21</v>
      </c>
    </row>
    <row r="2432" spans="1:12" x14ac:dyDescent="0.3">
      <c r="A2432" s="1" t="s">
        <v>1584</v>
      </c>
      <c r="B2432" s="2">
        <v>45835</v>
      </c>
      <c r="C2432" s="2">
        <v>45860</v>
      </c>
      <c r="D2432" s="1" t="s">
        <v>32</v>
      </c>
      <c r="E2432" s="1" t="s">
        <v>14</v>
      </c>
      <c r="F2432" s="1" t="s">
        <v>15</v>
      </c>
      <c r="G2432" s="1" t="s">
        <v>53</v>
      </c>
      <c r="H2432" s="1" t="s">
        <v>34</v>
      </c>
      <c r="I2432" s="1" t="s">
        <v>41</v>
      </c>
      <c r="J2432">
        <v>15</v>
      </c>
      <c r="K2432">
        <v>25</v>
      </c>
      <c r="L2432" s="1" t="s">
        <v>19</v>
      </c>
    </row>
    <row r="2433" spans="1:12" x14ac:dyDescent="0.3">
      <c r="A2433" s="1" t="s">
        <v>2224</v>
      </c>
      <c r="B2433" s="2">
        <v>45835</v>
      </c>
      <c r="C2433" s="2">
        <v>45856</v>
      </c>
      <c r="D2433" s="1" t="s">
        <v>28</v>
      </c>
      <c r="E2433" s="1" t="s">
        <v>14</v>
      </c>
      <c r="F2433" s="1" t="s">
        <v>15</v>
      </c>
      <c r="G2433" s="1" t="s">
        <v>16</v>
      </c>
      <c r="H2433" s="1" t="s">
        <v>29</v>
      </c>
      <c r="I2433" s="1" t="s">
        <v>26</v>
      </c>
      <c r="J2433">
        <v>15</v>
      </c>
      <c r="K2433">
        <v>21</v>
      </c>
      <c r="L2433" s="1" t="s">
        <v>19</v>
      </c>
    </row>
    <row r="2434" spans="1:12" x14ac:dyDescent="0.3">
      <c r="A2434" s="1" t="s">
        <v>2683</v>
      </c>
      <c r="B2434" s="2">
        <v>45835</v>
      </c>
      <c r="C2434" s="2">
        <v>45855</v>
      </c>
      <c r="D2434" s="1" t="s">
        <v>13</v>
      </c>
      <c r="E2434" s="1" t="s">
        <v>24</v>
      </c>
      <c r="F2434" s="1" t="s">
        <v>15</v>
      </c>
      <c r="G2434" s="1" t="s">
        <v>53</v>
      </c>
      <c r="H2434" s="1" t="s">
        <v>47</v>
      </c>
      <c r="I2434" s="1" t="s">
        <v>26</v>
      </c>
      <c r="J2434">
        <v>30</v>
      </c>
      <c r="K2434">
        <v>20</v>
      </c>
      <c r="L2434" s="1" t="s">
        <v>19</v>
      </c>
    </row>
    <row r="2435" spans="1:12" x14ac:dyDescent="0.3">
      <c r="A2435" s="1" t="s">
        <v>2709</v>
      </c>
      <c r="B2435" s="2">
        <v>45835</v>
      </c>
      <c r="C2435" s="2">
        <v>45877</v>
      </c>
      <c r="D2435" s="1" t="s">
        <v>28</v>
      </c>
      <c r="E2435" s="1" t="s">
        <v>14</v>
      </c>
      <c r="F2435" s="1" t="s">
        <v>15</v>
      </c>
      <c r="G2435" s="1" t="s">
        <v>16</v>
      </c>
      <c r="H2435" s="1" t="s">
        <v>54</v>
      </c>
      <c r="I2435" s="1" t="s">
        <v>26</v>
      </c>
      <c r="J2435">
        <v>15</v>
      </c>
      <c r="K2435">
        <v>42</v>
      </c>
      <c r="L2435" s="1" t="s">
        <v>21</v>
      </c>
    </row>
    <row r="2436" spans="1:12" x14ac:dyDescent="0.3">
      <c r="A2436" s="1" t="s">
        <v>3009</v>
      </c>
      <c r="B2436" s="2">
        <v>45835</v>
      </c>
      <c r="C2436" s="2">
        <v>45865</v>
      </c>
      <c r="D2436" s="1" t="s">
        <v>23</v>
      </c>
      <c r="E2436" s="1" t="s">
        <v>14</v>
      </c>
      <c r="F2436" s="1" t="s">
        <v>15</v>
      </c>
      <c r="G2436" s="1" t="s">
        <v>33</v>
      </c>
      <c r="H2436" s="1" t="s">
        <v>25</v>
      </c>
      <c r="I2436" s="1" t="s">
        <v>41</v>
      </c>
      <c r="J2436">
        <v>15</v>
      </c>
      <c r="K2436">
        <v>30</v>
      </c>
      <c r="L2436" s="1" t="s">
        <v>21</v>
      </c>
    </row>
    <row r="2437" spans="1:12" x14ac:dyDescent="0.3">
      <c r="A2437" s="1" t="s">
        <v>3115</v>
      </c>
      <c r="B2437" s="2">
        <v>45835</v>
      </c>
      <c r="C2437" s="2">
        <v>45853</v>
      </c>
      <c r="D2437" s="1" t="s">
        <v>32</v>
      </c>
      <c r="E2437" s="1" t="s">
        <v>24</v>
      </c>
      <c r="F2437" s="1" t="s">
        <v>15</v>
      </c>
      <c r="G2437" s="1" t="s">
        <v>16</v>
      </c>
      <c r="H2437" s="1" t="s">
        <v>71</v>
      </c>
      <c r="I2437" s="1" t="s">
        <v>26</v>
      </c>
      <c r="J2437">
        <v>30</v>
      </c>
      <c r="K2437">
        <v>18</v>
      </c>
      <c r="L2437" s="1" t="s">
        <v>19</v>
      </c>
    </row>
    <row r="2438" spans="1:12" x14ac:dyDescent="0.3">
      <c r="A2438" s="1" t="s">
        <v>3126</v>
      </c>
      <c r="B2438" s="2">
        <v>45835</v>
      </c>
      <c r="C2438" s="2">
        <v>45869</v>
      </c>
      <c r="D2438" s="1" t="s">
        <v>13</v>
      </c>
      <c r="E2438" s="1" t="s">
        <v>14</v>
      </c>
      <c r="F2438" s="1" t="s">
        <v>15</v>
      </c>
      <c r="G2438" s="1" t="s">
        <v>33</v>
      </c>
      <c r="H2438" s="1" t="s">
        <v>47</v>
      </c>
      <c r="I2438" s="1" t="s">
        <v>41</v>
      </c>
      <c r="J2438">
        <v>15</v>
      </c>
      <c r="K2438">
        <v>34</v>
      </c>
      <c r="L2438" s="1" t="s">
        <v>21</v>
      </c>
    </row>
    <row r="2439" spans="1:12" x14ac:dyDescent="0.3">
      <c r="A2439" s="1" t="s">
        <v>3136</v>
      </c>
      <c r="B2439" s="2">
        <v>45835</v>
      </c>
      <c r="C2439" s="2">
        <v>45861</v>
      </c>
      <c r="D2439" s="1" t="s">
        <v>23</v>
      </c>
      <c r="E2439" s="1" t="s">
        <v>14</v>
      </c>
      <c r="F2439" s="1" t="s">
        <v>15</v>
      </c>
      <c r="G2439" s="1" t="s">
        <v>16</v>
      </c>
      <c r="H2439" s="1" t="s">
        <v>25</v>
      </c>
      <c r="I2439" s="1" t="s">
        <v>26</v>
      </c>
      <c r="J2439">
        <v>30</v>
      </c>
      <c r="K2439">
        <v>26</v>
      </c>
      <c r="L2439" s="1" t="s">
        <v>19</v>
      </c>
    </row>
    <row r="2440" spans="1:12" x14ac:dyDescent="0.3">
      <c r="A2440" s="1" t="s">
        <v>230</v>
      </c>
      <c r="B2440" s="2">
        <v>45834</v>
      </c>
      <c r="C2440" s="2">
        <v>45860</v>
      </c>
      <c r="D2440" s="1" t="s">
        <v>32</v>
      </c>
      <c r="E2440" s="1" t="s">
        <v>14</v>
      </c>
      <c r="F2440" s="1" t="s">
        <v>15</v>
      </c>
      <c r="G2440" s="1" t="s">
        <v>16</v>
      </c>
      <c r="H2440" s="1" t="s">
        <v>71</v>
      </c>
      <c r="I2440" s="1" t="s">
        <v>26</v>
      </c>
      <c r="J2440">
        <v>15</v>
      </c>
      <c r="K2440">
        <v>26</v>
      </c>
      <c r="L2440" s="1" t="s">
        <v>19</v>
      </c>
    </row>
    <row r="2441" spans="1:12" x14ac:dyDescent="0.3">
      <c r="A2441" s="1" t="s">
        <v>368</v>
      </c>
      <c r="B2441" s="2">
        <v>45834</v>
      </c>
      <c r="C2441" s="2">
        <v>45849</v>
      </c>
      <c r="D2441" s="1" t="s">
        <v>23</v>
      </c>
      <c r="E2441" s="1" t="s">
        <v>14</v>
      </c>
      <c r="F2441" s="1" t="s">
        <v>15</v>
      </c>
      <c r="G2441" s="1" t="s">
        <v>16</v>
      </c>
      <c r="H2441" s="1" t="s">
        <v>25</v>
      </c>
      <c r="I2441" s="1" t="s">
        <v>26</v>
      </c>
      <c r="J2441">
        <v>15</v>
      </c>
      <c r="K2441">
        <v>15</v>
      </c>
      <c r="L2441" s="1" t="s">
        <v>19</v>
      </c>
    </row>
    <row r="2442" spans="1:12" x14ac:dyDescent="0.3">
      <c r="A2442" s="1" t="s">
        <v>552</v>
      </c>
      <c r="B2442" s="2">
        <v>45834</v>
      </c>
      <c r="C2442" s="2">
        <v>45865</v>
      </c>
      <c r="D2442" s="1" t="s">
        <v>23</v>
      </c>
      <c r="E2442" s="1" t="s">
        <v>14</v>
      </c>
      <c r="F2442" s="1" t="s">
        <v>15</v>
      </c>
      <c r="G2442" s="1" t="s">
        <v>16</v>
      </c>
      <c r="H2442" s="1" t="s">
        <v>25</v>
      </c>
      <c r="I2442" s="1" t="s">
        <v>41</v>
      </c>
      <c r="J2442">
        <v>15</v>
      </c>
      <c r="K2442">
        <v>31</v>
      </c>
      <c r="L2442" s="1" t="s">
        <v>21</v>
      </c>
    </row>
    <row r="2443" spans="1:12" x14ac:dyDescent="0.3">
      <c r="A2443" s="1" t="s">
        <v>608</v>
      </c>
      <c r="B2443" s="2">
        <v>45834</v>
      </c>
      <c r="C2443" s="2">
        <v>45872</v>
      </c>
      <c r="D2443" s="1" t="s">
        <v>32</v>
      </c>
      <c r="E2443" s="1" t="s">
        <v>24</v>
      </c>
      <c r="F2443" s="1" t="s">
        <v>15</v>
      </c>
      <c r="G2443" s="1" t="s">
        <v>16</v>
      </c>
      <c r="H2443" s="1" t="s">
        <v>71</v>
      </c>
      <c r="I2443" s="1" t="s">
        <v>18</v>
      </c>
      <c r="J2443">
        <v>45</v>
      </c>
      <c r="K2443">
        <v>38</v>
      </c>
      <c r="L2443" s="1" t="s">
        <v>21</v>
      </c>
    </row>
    <row r="2444" spans="1:12" x14ac:dyDescent="0.3">
      <c r="A2444" s="1" t="s">
        <v>1307</v>
      </c>
      <c r="B2444" s="2">
        <v>45834</v>
      </c>
      <c r="C2444" s="2">
        <v>45869</v>
      </c>
      <c r="D2444" s="1" t="s">
        <v>23</v>
      </c>
      <c r="E2444" s="1" t="s">
        <v>14</v>
      </c>
      <c r="F2444" s="1" t="s">
        <v>15</v>
      </c>
      <c r="G2444" s="1" t="s">
        <v>16</v>
      </c>
      <c r="H2444" s="1" t="s">
        <v>43</v>
      </c>
      <c r="I2444" s="1" t="s">
        <v>41</v>
      </c>
      <c r="J2444">
        <v>15</v>
      </c>
      <c r="K2444">
        <v>35</v>
      </c>
      <c r="L2444" s="1" t="s">
        <v>21</v>
      </c>
    </row>
    <row r="2445" spans="1:12" x14ac:dyDescent="0.3">
      <c r="A2445" s="1" t="s">
        <v>1350</v>
      </c>
      <c r="B2445" s="2">
        <v>45834</v>
      </c>
      <c r="C2445" s="2">
        <v>45896</v>
      </c>
      <c r="D2445" s="1" t="s">
        <v>32</v>
      </c>
      <c r="E2445" s="1" t="s">
        <v>14</v>
      </c>
      <c r="F2445" s="1" t="s">
        <v>15</v>
      </c>
      <c r="G2445" s="1" t="s">
        <v>16</v>
      </c>
      <c r="H2445" s="1" t="s">
        <v>71</v>
      </c>
      <c r="I2445" s="1" t="s">
        <v>26</v>
      </c>
      <c r="J2445">
        <v>15</v>
      </c>
      <c r="K2445">
        <v>62</v>
      </c>
      <c r="L2445" s="1" t="s">
        <v>80</v>
      </c>
    </row>
    <row r="2446" spans="1:12" x14ac:dyDescent="0.3">
      <c r="A2446" s="1" t="s">
        <v>1651</v>
      </c>
      <c r="B2446" s="2">
        <v>45834</v>
      </c>
      <c r="C2446" s="2">
        <v>45852</v>
      </c>
      <c r="D2446" s="1" t="s">
        <v>13</v>
      </c>
      <c r="E2446" s="1" t="s">
        <v>14</v>
      </c>
      <c r="F2446" s="1" t="s">
        <v>15</v>
      </c>
      <c r="G2446" s="1" t="s">
        <v>16</v>
      </c>
      <c r="H2446" s="1" t="s">
        <v>17</v>
      </c>
      <c r="I2446" s="1" t="s">
        <v>26</v>
      </c>
      <c r="J2446">
        <v>15</v>
      </c>
      <c r="K2446">
        <v>18</v>
      </c>
      <c r="L2446" s="1" t="s">
        <v>19</v>
      </c>
    </row>
    <row r="2447" spans="1:12" x14ac:dyDescent="0.3">
      <c r="A2447" s="1" t="s">
        <v>896</v>
      </c>
      <c r="B2447" s="2">
        <v>45834</v>
      </c>
      <c r="C2447" s="2">
        <v>45843</v>
      </c>
      <c r="D2447" s="1" t="s">
        <v>37</v>
      </c>
      <c r="E2447" s="1" t="s">
        <v>24</v>
      </c>
      <c r="F2447" s="1" t="s">
        <v>15</v>
      </c>
      <c r="G2447" s="1" t="s">
        <v>16</v>
      </c>
      <c r="H2447" s="1" t="s">
        <v>39</v>
      </c>
      <c r="I2447" s="1" t="s">
        <v>18</v>
      </c>
      <c r="J2447">
        <v>45</v>
      </c>
      <c r="K2447">
        <v>9</v>
      </c>
      <c r="L2447" s="1" t="s">
        <v>30</v>
      </c>
    </row>
    <row r="2448" spans="1:12" x14ac:dyDescent="0.3">
      <c r="A2448" s="1" t="s">
        <v>2924</v>
      </c>
      <c r="B2448" s="2">
        <v>45834</v>
      </c>
      <c r="C2448" s="2">
        <v>45836</v>
      </c>
      <c r="D2448" s="1" t="s">
        <v>28</v>
      </c>
      <c r="E2448" s="1" t="s">
        <v>14</v>
      </c>
      <c r="F2448" s="1" t="s">
        <v>38</v>
      </c>
      <c r="G2448" s="1" t="s">
        <v>33</v>
      </c>
      <c r="H2448" s="1" t="s">
        <v>29</v>
      </c>
      <c r="I2448" s="1" t="s">
        <v>18</v>
      </c>
      <c r="J2448">
        <v>30</v>
      </c>
      <c r="K2448">
        <v>2</v>
      </c>
      <c r="L2448" s="1" t="s">
        <v>30</v>
      </c>
    </row>
    <row r="2449" spans="1:12" x14ac:dyDescent="0.3">
      <c r="A2449" s="1" t="s">
        <v>189</v>
      </c>
      <c r="B2449" s="2">
        <v>45833</v>
      </c>
      <c r="C2449" s="2">
        <v>45872</v>
      </c>
      <c r="D2449" s="1" t="s">
        <v>32</v>
      </c>
      <c r="E2449" s="1" t="s">
        <v>24</v>
      </c>
      <c r="F2449" s="1" t="s">
        <v>15</v>
      </c>
      <c r="G2449" s="1" t="s">
        <v>16</v>
      </c>
      <c r="H2449" s="1" t="s">
        <v>34</v>
      </c>
      <c r="I2449" s="1" t="s">
        <v>26</v>
      </c>
      <c r="J2449">
        <v>30</v>
      </c>
      <c r="K2449">
        <v>39</v>
      </c>
      <c r="L2449" s="1" t="s">
        <v>21</v>
      </c>
    </row>
    <row r="2450" spans="1:12" x14ac:dyDescent="0.3">
      <c r="A2450" s="1" t="s">
        <v>679</v>
      </c>
      <c r="B2450" s="2">
        <v>45833</v>
      </c>
      <c r="C2450" s="2">
        <v>45864</v>
      </c>
      <c r="D2450" s="1" t="s">
        <v>23</v>
      </c>
      <c r="E2450" s="1" t="s">
        <v>24</v>
      </c>
      <c r="F2450" s="1" t="s">
        <v>38</v>
      </c>
      <c r="G2450" s="1" t="s">
        <v>16</v>
      </c>
      <c r="H2450" s="1" t="s">
        <v>25</v>
      </c>
      <c r="I2450" s="1" t="s">
        <v>26</v>
      </c>
      <c r="J2450">
        <v>30</v>
      </c>
      <c r="K2450">
        <v>31</v>
      </c>
      <c r="L2450" s="1" t="s">
        <v>21</v>
      </c>
    </row>
    <row r="2451" spans="1:12" x14ac:dyDescent="0.3">
      <c r="A2451" s="1" t="s">
        <v>1330</v>
      </c>
      <c r="B2451" s="2">
        <v>45833</v>
      </c>
      <c r="C2451" s="2">
        <v>45856</v>
      </c>
      <c r="D2451" s="1" t="s">
        <v>32</v>
      </c>
      <c r="E2451" s="1" t="s">
        <v>24</v>
      </c>
      <c r="F2451" s="1" t="s">
        <v>15</v>
      </c>
      <c r="G2451" s="1" t="s">
        <v>16</v>
      </c>
      <c r="H2451" s="1" t="s">
        <v>71</v>
      </c>
      <c r="I2451" s="1" t="s">
        <v>26</v>
      </c>
      <c r="J2451">
        <v>45</v>
      </c>
      <c r="K2451">
        <v>23</v>
      </c>
      <c r="L2451" s="1" t="s">
        <v>19</v>
      </c>
    </row>
    <row r="2452" spans="1:12" x14ac:dyDescent="0.3">
      <c r="A2452" s="1" t="s">
        <v>1333</v>
      </c>
      <c r="B2452" s="2">
        <v>45833</v>
      </c>
      <c r="C2452" s="2">
        <v>45865</v>
      </c>
      <c r="D2452" s="1" t="s">
        <v>13</v>
      </c>
      <c r="E2452" s="1" t="s">
        <v>14</v>
      </c>
      <c r="F2452" s="1" t="s">
        <v>38</v>
      </c>
      <c r="G2452" s="1" t="s">
        <v>16</v>
      </c>
      <c r="H2452" s="1" t="s">
        <v>17</v>
      </c>
      <c r="I2452" s="1" t="s">
        <v>18</v>
      </c>
      <c r="J2452">
        <v>15</v>
      </c>
      <c r="K2452">
        <v>32</v>
      </c>
      <c r="L2452" s="1" t="s">
        <v>21</v>
      </c>
    </row>
    <row r="2453" spans="1:12" x14ac:dyDescent="0.3">
      <c r="A2453" s="1" t="s">
        <v>1428</v>
      </c>
      <c r="B2453" s="2">
        <v>45833</v>
      </c>
      <c r="C2453" s="2">
        <v>45872</v>
      </c>
      <c r="D2453" s="1" t="s">
        <v>32</v>
      </c>
      <c r="E2453" s="1" t="s">
        <v>24</v>
      </c>
      <c r="F2453" s="1" t="s">
        <v>15</v>
      </c>
      <c r="G2453" s="1" t="s">
        <v>53</v>
      </c>
      <c r="H2453" s="1" t="s">
        <v>71</v>
      </c>
      <c r="I2453" s="1" t="s">
        <v>26</v>
      </c>
      <c r="J2453">
        <v>30</v>
      </c>
      <c r="K2453">
        <v>39</v>
      </c>
      <c r="L2453" s="1" t="s">
        <v>21</v>
      </c>
    </row>
    <row r="2454" spans="1:12" x14ac:dyDescent="0.3">
      <c r="A2454" s="1" t="s">
        <v>1859</v>
      </c>
      <c r="B2454" s="2">
        <v>45833</v>
      </c>
      <c r="C2454" s="2">
        <v>45879</v>
      </c>
      <c r="D2454" s="1" t="s">
        <v>28</v>
      </c>
      <c r="E2454" s="1" t="s">
        <v>14</v>
      </c>
      <c r="F2454" s="1" t="s">
        <v>15</v>
      </c>
      <c r="G2454" s="1" t="s">
        <v>16</v>
      </c>
      <c r="H2454" s="1" t="s">
        <v>54</v>
      </c>
      <c r="I2454" s="1" t="s">
        <v>18</v>
      </c>
      <c r="J2454">
        <v>15</v>
      </c>
      <c r="K2454">
        <v>46</v>
      </c>
      <c r="L2454" s="1" t="s">
        <v>44</v>
      </c>
    </row>
    <row r="2455" spans="1:12" x14ac:dyDescent="0.3">
      <c r="A2455" s="1" t="s">
        <v>2251</v>
      </c>
      <c r="B2455" s="2">
        <v>45833</v>
      </c>
      <c r="C2455" s="2">
        <v>45884</v>
      </c>
      <c r="D2455" s="1" t="s">
        <v>32</v>
      </c>
      <c r="E2455" s="1" t="s">
        <v>14</v>
      </c>
      <c r="F2455" s="1" t="s">
        <v>15</v>
      </c>
      <c r="G2455" s="1" t="s">
        <v>53</v>
      </c>
      <c r="H2455" s="1" t="s">
        <v>71</v>
      </c>
      <c r="I2455" s="1" t="s">
        <v>18</v>
      </c>
      <c r="J2455">
        <v>15</v>
      </c>
      <c r="K2455">
        <v>51</v>
      </c>
      <c r="L2455" s="1" t="s">
        <v>44</v>
      </c>
    </row>
    <row r="2456" spans="1:12" x14ac:dyDescent="0.3">
      <c r="A2456" s="1" t="s">
        <v>2335</v>
      </c>
      <c r="B2456" s="2">
        <v>45833</v>
      </c>
      <c r="C2456" s="2">
        <v>45843</v>
      </c>
      <c r="D2456" s="1" t="s">
        <v>28</v>
      </c>
      <c r="E2456" s="1" t="s">
        <v>24</v>
      </c>
      <c r="F2456" s="1" t="s">
        <v>15</v>
      </c>
      <c r="G2456" s="1" t="s">
        <v>53</v>
      </c>
      <c r="H2456" s="1" t="s">
        <v>29</v>
      </c>
      <c r="I2456" s="1" t="s">
        <v>18</v>
      </c>
      <c r="J2456">
        <v>45</v>
      </c>
      <c r="K2456">
        <v>10</v>
      </c>
      <c r="L2456" s="1" t="s">
        <v>30</v>
      </c>
    </row>
    <row r="2457" spans="1:12" x14ac:dyDescent="0.3">
      <c r="A2457" s="1" t="s">
        <v>761</v>
      </c>
      <c r="B2457" s="2">
        <v>45833</v>
      </c>
      <c r="C2457" s="2">
        <v>45858</v>
      </c>
      <c r="D2457" s="1" t="s">
        <v>37</v>
      </c>
      <c r="E2457" s="1" t="s">
        <v>14</v>
      </c>
      <c r="F2457" s="1" t="s">
        <v>15</v>
      </c>
      <c r="G2457" s="1" t="s">
        <v>53</v>
      </c>
      <c r="H2457" s="1" t="s">
        <v>49</v>
      </c>
      <c r="I2457" s="1" t="s">
        <v>18</v>
      </c>
      <c r="J2457">
        <v>30</v>
      </c>
      <c r="K2457">
        <v>25</v>
      </c>
      <c r="L2457" s="1" t="s">
        <v>19</v>
      </c>
    </row>
    <row r="2458" spans="1:12" x14ac:dyDescent="0.3">
      <c r="A2458" s="1" t="s">
        <v>3152</v>
      </c>
      <c r="B2458" s="2">
        <v>45833</v>
      </c>
      <c r="C2458" s="2">
        <v>45853</v>
      </c>
      <c r="D2458" s="1" t="s">
        <v>37</v>
      </c>
      <c r="E2458" s="1" t="s">
        <v>14</v>
      </c>
      <c r="F2458" s="1" t="s">
        <v>15</v>
      </c>
      <c r="G2458" s="1" t="s">
        <v>16</v>
      </c>
      <c r="H2458" s="1" t="s">
        <v>49</v>
      </c>
      <c r="I2458" s="1" t="s">
        <v>18</v>
      </c>
      <c r="J2458">
        <v>15</v>
      </c>
      <c r="K2458">
        <v>20</v>
      </c>
      <c r="L2458" s="1" t="s">
        <v>19</v>
      </c>
    </row>
    <row r="2459" spans="1:12" x14ac:dyDescent="0.3">
      <c r="A2459" s="1" t="s">
        <v>668</v>
      </c>
      <c r="B2459" s="2">
        <v>45832</v>
      </c>
      <c r="C2459" s="2">
        <v>45867</v>
      </c>
      <c r="D2459" s="1" t="s">
        <v>32</v>
      </c>
      <c r="E2459" s="1" t="s">
        <v>24</v>
      </c>
      <c r="F2459" s="1" t="s">
        <v>15</v>
      </c>
      <c r="G2459" s="1" t="s">
        <v>16</v>
      </c>
      <c r="H2459" s="1" t="s">
        <v>34</v>
      </c>
      <c r="I2459" s="1" t="s">
        <v>26</v>
      </c>
      <c r="J2459">
        <v>45</v>
      </c>
      <c r="K2459">
        <v>35</v>
      </c>
      <c r="L2459" s="1" t="s">
        <v>21</v>
      </c>
    </row>
    <row r="2460" spans="1:12" x14ac:dyDescent="0.3">
      <c r="A2460" s="1" t="s">
        <v>1154</v>
      </c>
      <c r="B2460" s="2">
        <v>45832</v>
      </c>
      <c r="C2460" s="2">
        <v>45892</v>
      </c>
      <c r="D2460" s="1" t="s">
        <v>28</v>
      </c>
      <c r="E2460" s="1" t="s">
        <v>14</v>
      </c>
      <c r="F2460" s="1" t="s">
        <v>15</v>
      </c>
      <c r="G2460" s="1" t="s">
        <v>33</v>
      </c>
      <c r="H2460" s="1" t="s">
        <v>29</v>
      </c>
      <c r="I2460" s="1" t="s">
        <v>18</v>
      </c>
      <c r="J2460">
        <v>15</v>
      </c>
      <c r="K2460">
        <v>60</v>
      </c>
      <c r="L2460" s="1" t="s">
        <v>80</v>
      </c>
    </row>
    <row r="2461" spans="1:12" x14ac:dyDescent="0.3">
      <c r="A2461" s="1" t="s">
        <v>1698</v>
      </c>
      <c r="B2461" s="2">
        <v>45832</v>
      </c>
      <c r="C2461" s="2">
        <v>45875</v>
      </c>
      <c r="D2461" s="1" t="s">
        <v>23</v>
      </c>
      <c r="E2461" s="1" t="s">
        <v>24</v>
      </c>
      <c r="F2461" s="1" t="s">
        <v>15</v>
      </c>
      <c r="G2461" s="1" t="s">
        <v>16</v>
      </c>
      <c r="H2461" s="1" t="s">
        <v>43</v>
      </c>
      <c r="I2461" s="1" t="s">
        <v>41</v>
      </c>
      <c r="J2461">
        <v>30</v>
      </c>
      <c r="K2461">
        <v>43</v>
      </c>
      <c r="L2461" s="1" t="s">
        <v>44</v>
      </c>
    </row>
    <row r="2462" spans="1:12" x14ac:dyDescent="0.3">
      <c r="A2462" s="1" t="s">
        <v>1919</v>
      </c>
      <c r="B2462" s="2">
        <v>45832</v>
      </c>
      <c r="C2462" s="2">
        <v>45855</v>
      </c>
      <c r="D2462" s="1" t="s">
        <v>28</v>
      </c>
      <c r="E2462" s="1" t="s">
        <v>14</v>
      </c>
      <c r="F2462" s="1" t="s">
        <v>38</v>
      </c>
      <c r="G2462" s="1" t="s">
        <v>16</v>
      </c>
      <c r="H2462" s="1" t="s">
        <v>54</v>
      </c>
      <c r="I2462" s="1" t="s">
        <v>18</v>
      </c>
      <c r="J2462">
        <v>15</v>
      </c>
      <c r="K2462">
        <v>23</v>
      </c>
      <c r="L2462" s="1" t="s">
        <v>19</v>
      </c>
    </row>
    <row r="2463" spans="1:12" x14ac:dyDescent="0.3">
      <c r="A2463" s="1" t="s">
        <v>2217</v>
      </c>
      <c r="B2463" s="2">
        <v>45832</v>
      </c>
      <c r="C2463" s="2">
        <v>45868</v>
      </c>
      <c r="D2463" s="1" t="s">
        <v>13</v>
      </c>
      <c r="E2463" s="1" t="s">
        <v>14</v>
      </c>
      <c r="F2463" s="1" t="s">
        <v>15</v>
      </c>
      <c r="G2463" s="1" t="s">
        <v>33</v>
      </c>
      <c r="H2463" s="1" t="s">
        <v>47</v>
      </c>
      <c r="I2463" s="1" t="s">
        <v>18</v>
      </c>
      <c r="J2463">
        <v>15</v>
      </c>
      <c r="K2463">
        <v>36</v>
      </c>
      <c r="L2463" s="1" t="s">
        <v>21</v>
      </c>
    </row>
    <row r="2464" spans="1:12" x14ac:dyDescent="0.3">
      <c r="A2464" s="1" t="s">
        <v>528</v>
      </c>
      <c r="B2464" s="2">
        <v>45832</v>
      </c>
      <c r="C2464" s="2">
        <v>45849</v>
      </c>
      <c r="D2464" s="1" t="s">
        <v>37</v>
      </c>
      <c r="E2464" s="1" t="s">
        <v>24</v>
      </c>
      <c r="F2464" s="1" t="s">
        <v>15</v>
      </c>
      <c r="G2464" s="1" t="s">
        <v>53</v>
      </c>
      <c r="H2464" s="1" t="s">
        <v>39</v>
      </c>
      <c r="I2464" s="1" t="s">
        <v>41</v>
      </c>
      <c r="J2464">
        <v>30</v>
      </c>
      <c r="K2464">
        <v>17</v>
      </c>
      <c r="L2464" s="1" t="s">
        <v>19</v>
      </c>
    </row>
    <row r="2465" spans="1:12" x14ac:dyDescent="0.3">
      <c r="A2465" s="1" t="s">
        <v>3131</v>
      </c>
      <c r="B2465" s="2">
        <v>45832</v>
      </c>
      <c r="C2465" s="2">
        <v>45870</v>
      </c>
      <c r="D2465" s="1" t="s">
        <v>28</v>
      </c>
      <c r="E2465" s="1" t="s">
        <v>24</v>
      </c>
      <c r="F2465" s="1" t="s">
        <v>38</v>
      </c>
      <c r="G2465" s="1" t="s">
        <v>16</v>
      </c>
      <c r="H2465" s="1" t="s">
        <v>29</v>
      </c>
      <c r="I2465" s="1" t="s">
        <v>26</v>
      </c>
      <c r="J2465">
        <v>30</v>
      </c>
      <c r="K2465">
        <v>38</v>
      </c>
      <c r="L2465" s="1" t="s">
        <v>21</v>
      </c>
    </row>
    <row r="2466" spans="1:12" x14ac:dyDescent="0.3">
      <c r="A2466" s="1" t="s">
        <v>367</v>
      </c>
      <c r="B2466" s="2">
        <v>45831</v>
      </c>
      <c r="C2466" s="2">
        <v>45870</v>
      </c>
      <c r="D2466" s="1" t="s">
        <v>28</v>
      </c>
      <c r="E2466" s="1" t="s">
        <v>14</v>
      </c>
      <c r="F2466" s="1" t="s">
        <v>38</v>
      </c>
      <c r="G2466" s="1" t="s">
        <v>16</v>
      </c>
      <c r="H2466" s="1" t="s">
        <v>54</v>
      </c>
      <c r="I2466" s="1" t="s">
        <v>18</v>
      </c>
      <c r="J2466">
        <v>30</v>
      </c>
      <c r="K2466">
        <v>39</v>
      </c>
      <c r="L2466" s="1" t="s">
        <v>21</v>
      </c>
    </row>
    <row r="2467" spans="1:12" x14ac:dyDescent="0.3">
      <c r="A2467" s="1" t="s">
        <v>454</v>
      </c>
      <c r="B2467" s="2">
        <v>45831</v>
      </c>
      <c r="C2467" s="2">
        <v>45860</v>
      </c>
      <c r="D2467" s="1" t="s">
        <v>32</v>
      </c>
      <c r="E2467" s="1" t="s">
        <v>14</v>
      </c>
      <c r="F2467" s="1" t="s">
        <v>15</v>
      </c>
      <c r="G2467" s="1" t="s">
        <v>16</v>
      </c>
      <c r="H2467" s="1" t="s">
        <v>34</v>
      </c>
      <c r="I2467" s="1" t="s">
        <v>26</v>
      </c>
      <c r="J2467">
        <v>15</v>
      </c>
      <c r="K2467">
        <v>29</v>
      </c>
      <c r="L2467" s="1" t="s">
        <v>21</v>
      </c>
    </row>
    <row r="2468" spans="1:12" x14ac:dyDescent="0.3">
      <c r="A2468" s="1" t="s">
        <v>1521</v>
      </c>
      <c r="B2468" s="2">
        <v>45831</v>
      </c>
      <c r="C2468" s="2">
        <v>45850</v>
      </c>
      <c r="D2468" s="1" t="s">
        <v>13</v>
      </c>
      <c r="E2468" s="1" t="s">
        <v>24</v>
      </c>
      <c r="F2468" s="1" t="s">
        <v>15</v>
      </c>
      <c r="G2468" s="1" t="s">
        <v>16</v>
      </c>
      <c r="H2468" s="1" t="s">
        <v>47</v>
      </c>
      <c r="I2468" s="1" t="s">
        <v>41</v>
      </c>
      <c r="J2468">
        <v>30</v>
      </c>
      <c r="K2468">
        <v>19</v>
      </c>
      <c r="L2468" s="1" t="s">
        <v>19</v>
      </c>
    </row>
    <row r="2469" spans="1:12" x14ac:dyDescent="0.3">
      <c r="A2469" s="1" t="s">
        <v>1545</v>
      </c>
      <c r="B2469" s="2">
        <v>45831</v>
      </c>
      <c r="C2469" s="2">
        <v>45910</v>
      </c>
      <c r="D2469" s="1" t="s">
        <v>32</v>
      </c>
      <c r="E2469" s="1" t="s">
        <v>14</v>
      </c>
      <c r="F2469" s="1" t="s">
        <v>15</v>
      </c>
      <c r="G2469" s="1" t="s">
        <v>16</v>
      </c>
      <c r="H2469" s="1" t="s">
        <v>34</v>
      </c>
      <c r="I2469" s="1" t="s">
        <v>18</v>
      </c>
      <c r="J2469">
        <v>15</v>
      </c>
      <c r="K2469">
        <v>79</v>
      </c>
      <c r="L2469" s="1" t="s">
        <v>80</v>
      </c>
    </row>
    <row r="2470" spans="1:12" x14ac:dyDescent="0.3">
      <c r="A2470" s="1" t="s">
        <v>1554</v>
      </c>
      <c r="B2470" s="2">
        <v>45831</v>
      </c>
      <c r="C2470" s="2">
        <v>45869</v>
      </c>
      <c r="D2470" s="1" t="s">
        <v>23</v>
      </c>
      <c r="E2470" s="1" t="s">
        <v>24</v>
      </c>
      <c r="F2470" s="1" t="s">
        <v>15</v>
      </c>
      <c r="G2470" s="1" t="s">
        <v>16</v>
      </c>
      <c r="H2470" s="1" t="s">
        <v>43</v>
      </c>
      <c r="I2470" s="1" t="s">
        <v>26</v>
      </c>
      <c r="J2470">
        <v>45</v>
      </c>
      <c r="K2470">
        <v>38</v>
      </c>
      <c r="L2470" s="1" t="s">
        <v>21</v>
      </c>
    </row>
    <row r="2471" spans="1:12" x14ac:dyDescent="0.3">
      <c r="A2471" s="1" t="s">
        <v>1587</v>
      </c>
      <c r="B2471" s="2">
        <v>45831</v>
      </c>
      <c r="C2471" s="2">
        <v>45864</v>
      </c>
      <c r="D2471" s="1" t="s">
        <v>32</v>
      </c>
      <c r="E2471" s="1" t="s">
        <v>14</v>
      </c>
      <c r="F2471" s="1" t="s">
        <v>15</v>
      </c>
      <c r="G2471" s="1" t="s">
        <v>53</v>
      </c>
      <c r="H2471" s="1" t="s">
        <v>34</v>
      </c>
      <c r="I2471" s="1" t="s">
        <v>18</v>
      </c>
      <c r="J2471">
        <v>15</v>
      </c>
      <c r="K2471">
        <v>33</v>
      </c>
      <c r="L2471" s="1" t="s">
        <v>21</v>
      </c>
    </row>
    <row r="2472" spans="1:12" x14ac:dyDescent="0.3">
      <c r="A2472" s="1" t="s">
        <v>609</v>
      </c>
      <c r="B2472" s="2">
        <v>45831</v>
      </c>
      <c r="C2472" s="2">
        <v>45905</v>
      </c>
      <c r="D2472" s="1" t="s">
        <v>37</v>
      </c>
      <c r="E2472" s="1" t="s">
        <v>24</v>
      </c>
      <c r="F2472" s="1" t="s">
        <v>15</v>
      </c>
      <c r="G2472" s="1" t="s">
        <v>16</v>
      </c>
      <c r="H2472" s="1" t="s">
        <v>39</v>
      </c>
      <c r="I2472" s="1" t="s">
        <v>41</v>
      </c>
      <c r="J2472">
        <v>30</v>
      </c>
      <c r="K2472">
        <v>74</v>
      </c>
      <c r="L2472" s="1" t="s">
        <v>80</v>
      </c>
    </row>
    <row r="2473" spans="1:12" x14ac:dyDescent="0.3">
      <c r="A2473" s="1" t="s">
        <v>2978</v>
      </c>
      <c r="B2473" s="2">
        <v>45831</v>
      </c>
      <c r="C2473" s="2">
        <v>45841</v>
      </c>
      <c r="D2473" s="1" t="s">
        <v>13</v>
      </c>
      <c r="E2473" s="1" t="s">
        <v>24</v>
      </c>
      <c r="F2473" s="1" t="s">
        <v>15</v>
      </c>
      <c r="G2473" s="1" t="s">
        <v>16</v>
      </c>
      <c r="H2473" s="1" t="s">
        <v>17</v>
      </c>
      <c r="I2473" s="1" t="s">
        <v>41</v>
      </c>
      <c r="J2473">
        <v>45</v>
      </c>
      <c r="K2473">
        <v>10</v>
      </c>
      <c r="L2473" s="1" t="s">
        <v>30</v>
      </c>
    </row>
    <row r="2474" spans="1:12" x14ac:dyDescent="0.3">
      <c r="A2474" s="1" t="s">
        <v>72</v>
      </c>
      <c r="B2474" s="2">
        <v>45830</v>
      </c>
      <c r="C2474" s="2">
        <v>45839</v>
      </c>
      <c r="D2474" s="1" t="s">
        <v>23</v>
      </c>
      <c r="E2474" s="1" t="s">
        <v>14</v>
      </c>
      <c r="F2474" s="1" t="s">
        <v>15</v>
      </c>
      <c r="G2474" s="1" t="s">
        <v>53</v>
      </c>
      <c r="H2474" s="1" t="s">
        <v>43</v>
      </c>
      <c r="I2474" s="1" t="s">
        <v>18</v>
      </c>
      <c r="J2474">
        <v>30</v>
      </c>
      <c r="K2474">
        <v>9</v>
      </c>
      <c r="L2474" s="1" t="s">
        <v>30</v>
      </c>
    </row>
    <row r="2475" spans="1:12" x14ac:dyDescent="0.3">
      <c r="A2475" s="1" t="s">
        <v>119</v>
      </c>
      <c r="B2475" s="2">
        <v>45830</v>
      </c>
      <c r="C2475" s="2">
        <v>45882</v>
      </c>
      <c r="D2475" s="1" t="s">
        <v>13</v>
      </c>
      <c r="E2475" s="1" t="s">
        <v>14</v>
      </c>
      <c r="F2475" s="1" t="s">
        <v>15</v>
      </c>
      <c r="G2475" s="1" t="s">
        <v>16</v>
      </c>
      <c r="H2475" s="1" t="s">
        <v>47</v>
      </c>
      <c r="I2475" s="1" t="s">
        <v>26</v>
      </c>
      <c r="J2475">
        <v>30</v>
      </c>
      <c r="K2475">
        <v>52</v>
      </c>
      <c r="L2475" s="1" t="s">
        <v>44</v>
      </c>
    </row>
    <row r="2476" spans="1:12" x14ac:dyDescent="0.3">
      <c r="A2476" s="1" t="s">
        <v>1018</v>
      </c>
      <c r="B2476" s="2">
        <v>45830</v>
      </c>
      <c r="C2476" s="2">
        <v>45883</v>
      </c>
      <c r="D2476" s="1" t="s">
        <v>13</v>
      </c>
      <c r="E2476" s="1" t="s">
        <v>14</v>
      </c>
      <c r="F2476" s="1" t="s">
        <v>15</v>
      </c>
      <c r="G2476" s="1" t="s">
        <v>16</v>
      </c>
      <c r="H2476" s="1" t="s">
        <v>47</v>
      </c>
      <c r="I2476" s="1" t="s">
        <v>26</v>
      </c>
      <c r="J2476">
        <v>15</v>
      </c>
      <c r="K2476">
        <v>53</v>
      </c>
      <c r="L2476" s="1" t="s">
        <v>44</v>
      </c>
    </row>
    <row r="2477" spans="1:12" x14ac:dyDescent="0.3">
      <c r="A2477" s="1" t="s">
        <v>2357</v>
      </c>
      <c r="B2477" s="2">
        <v>45830</v>
      </c>
      <c r="C2477" s="2">
        <v>45841</v>
      </c>
      <c r="D2477" s="1" t="s">
        <v>28</v>
      </c>
      <c r="E2477" s="1" t="s">
        <v>14</v>
      </c>
      <c r="F2477" s="1" t="s">
        <v>15</v>
      </c>
      <c r="G2477" s="1" t="s">
        <v>16</v>
      </c>
      <c r="H2477" s="1" t="s">
        <v>29</v>
      </c>
      <c r="I2477" s="1" t="s">
        <v>26</v>
      </c>
      <c r="J2477">
        <v>15</v>
      </c>
      <c r="K2477">
        <v>11</v>
      </c>
      <c r="L2477" s="1" t="s">
        <v>30</v>
      </c>
    </row>
    <row r="2478" spans="1:12" x14ac:dyDescent="0.3">
      <c r="A2478" s="1" t="s">
        <v>3239</v>
      </c>
      <c r="B2478" s="2">
        <v>45830</v>
      </c>
      <c r="C2478" s="2">
        <v>45868</v>
      </c>
      <c r="D2478" s="1" t="s">
        <v>37</v>
      </c>
      <c r="E2478" s="1" t="s">
        <v>24</v>
      </c>
      <c r="F2478" s="1" t="s">
        <v>15</v>
      </c>
      <c r="G2478" s="1" t="s">
        <v>16</v>
      </c>
      <c r="H2478" s="1" t="s">
        <v>49</v>
      </c>
      <c r="I2478" s="1" t="s">
        <v>18</v>
      </c>
      <c r="J2478">
        <v>30</v>
      </c>
      <c r="K2478">
        <v>38</v>
      </c>
      <c r="L2478" s="1" t="s">
        <v>21</v>
      </c>
    </row>
    <row r="2479" spans="1:12" x14ac:dyDescent="0.3">
      <c r="A2479" s="1" t="s">
        <v>2956</v>
      </c>
      <c r="B2479" s="2">
        <v>45830</v>
      </c>
      <c r="C2479" s="2">
        <v>45880</v>
      </c>
      <c r="D2479" s="1" t="s">
        <v>28</v>
      </c>
      <c r="E2479" s="1" t="s">
        <v>14</v>
      </c>
      <c r="F2479" s="1" t="s">
        <v>15</v>
      </c>
      <c r="G2479" s="1" t="s">
        <v>16</v>
      </c>
      <c r="H2479" s="1" t="s">
        <v>54</v>
      </c>
      <c r="I2479" s="1" t="s">
        <v>26</v>
      </c>
      <c r="J2479">
        <v>15</v>
      </c>
      <c r="K2479">
        <v>50</v>
      </c>
      <c r="L2479" s="1" t="s">
        <v>44</v>
      </c>
    </row>
    <row r="2480" spans="1:12" x14ac:dyDescent="0.3">
      <c r="A2480" s="1" t="s">
        <v>3010</v>
      </c>
      <c r="B2480" s="2">
        <v>45830</v>
      </c>
      <c r="C2480" s="2">
        <v>45868</v>
      </c>
      <c r="D2480" s="1" t="s">
        <v>13</v>
      </c>
      <c r="E2480" s="1" t="s">
        <v>14</v>
      </c>
      <c r="F2480" s="1" t="s">
        <v>15</v>
      </c>
      <c r="G2480" s="1" t="s">
        <v>16</v>
      </c>
      <c r="H2480" s="1" t="s">
        <v>17</v>
      </c>
      <c r="I2480" s="1" t="s">
        <v>26</v>
      </c>
      <c r="J2480">
        <v>15</v>
      </c>
      <c r="K2480">
        <v>38</v>
      </c>
      <c r="L2480" s="1" t="s">
        <v>21</v>
      </c>
    </row>
    <row r="2481" spans="1:12" x14ac:dyDescent="0.3">
      <c r="A2481" s="1" t="s">
        <v>404</v>
      </c>
      <c r="B2481" s="2">
        <v>45829</v>
      </c>
      <c r="C2481" s="2">
        <v>45831</v>
      </c>
      <c r="D2481" s="1" t="s">
        <v>23</v>
      </c>
      <c r="E2481" s="1" t="s">
        <v>14</v>
      </c>
      <c r="F2481" s="1" t="s">
        <v>15</v>
      </c>
      <c r="G2481" s="1" t="s">
        <v>16</v>
      </c>
      <c r="H2481" s="1" t="s">
        <v>43</v>
      </c>
      <c r="I2481" s="1" t="s">
        <v>26</v>
      </c>
      <c r="J2481">
        <v>15</v>
      </c>
      <c r="K2481">
        <v>2</v>
      </c>
      <c r="L2481" s="1" t="s">
        <v>30</v>
      </c>
    </row>
    <row r="2482" spans="1:12" x14ac:dyDescent="0.3">
      <c r="A2482" s="1" t="s">
        <v>2283</v>
      </c>
      <c r="B2482" s="2">
        <v>45829</v>
      </c>
      <c r="C2482" s="2">
        <v>45858</v>
      </c>
      <c r="D2482" s="1" t="s">
        <v>13</v>
      </c>
      <c r="E2482" s="1" t="s">
        <v>14</v>
      </c>
      <c r="F2482" s="1" t="s">
        <v>15</v>
      </c>
      <c r="G2482" s="1" t="s">
        <v>16</v>
      </c>
      <c r="H2482" s="1" t="s">
        <v>47</v>
      </c>
      <c r="I2482" s="1" t="s">
        <v>26</v>
      </c>
      <c r="J2482">
        <v>15</v>
      </c>
      <c r="K2482">
        <v>29</v>
      </c>
      <c r="L2482" s="1" t="s">
        <v>21</v>
      </c>
    </row>
    <row r="2483" spans="1:12" x14ac:dyDescent="0.3">
      <c r="A2483" s="1" t="s">
        <v>2789</v>
      </c>
      <c r="B2483" s="2">
        <v>45829</v>
      </c>
      <c r="C2483" s="2">
        <v>45868</v>
      </c>
      <c r="D2483" s="1" t="s">
        <v>28</v>
      </c>
      <c r="E2483" s="1" t="s">
        <v>24</v>
      </c>
      <c r="F2483" s="1" t="s">
        <v>15</v>
      </c>
      <c r="G2483" s="1" t="s">
        <v>16</v>
      </c>
      <c r="H2483" s="1" t="s">
        <v>29</v>
      </c>
      <c r="I2483" s="1" t="s">
        <v>18</v>
      </c>
      <c r="J2483">
        <v>45</v>
      </c>
      <c r="K2483">
        <v>39</v>
      </c>
      <c r="L2483" s="1" t="s">
        <v>21</v>
      </c>
    </row>
    <row r="2484" spans="1:12" x14ac:dyDescent="0.3">
      <c r="A2484" s="1" t="s">
        <v>3071</v>
      </c>
      <c r="B2484" s="2">
        <v>45829</v>
      </c>
      <c r="C2484" s="2">
        <v>45833</v>
      </c>
      <c r="D2484" s="1" t="s">
        <v>32</v>
      </c>
      <c r="E2484" s="1" t="s">
        <v>14</v>
      </c>
      <c r="F2484" s="1" t="s">
        <v>15</v>
      </c>
      <c r="G2484" s="1" t="s">
        <v>16</v>
      </c>
      <c r="H2484" s="1" t="s">
        <v>71</v>
      </c>
      <c r="I2484" s="1" t="s">
        <v>26</v>
      </c>
      <c r="J2484">
        <v>30</v>
      </c>
      <c r="K2484">
        <v>4</v>
      </c>
      <c r="L2484" s="1" t="s">
        <v>30</v>
      </c>
    </row>
    <row r="2485" spans="1:12" x14ac:dyDescent="0.3">
      <c r="A2485" s="1" t="s">
        <v>3194</v>
      </c>
      <c r="B2485" s="2">
        <v>45829</v>
      </c>
      <c r="C2485" s="2">
        <v>45853</v>
      </c>
      <c r="D2485" s="1" t="s">
        <v>28</v>
      </c>
      <c r="E2485" s="1" t="s">
        <v>14</v>
      </c>
      <c r="F2485" s="1" t="s">
        <v>15</v>
      </c>
      <c r="G2485" s="1" t="s">
        <v>33</v>
      </c>
      <c r="H2485" s="1" t="s">
        <v>54</v>
      </c>
      <c r="I2485" s="1" t="s">
        <v>41</v>
      </c>
      <c r="J2485">
        <v>15</v>
      </c>
      <c r="K2485">
        <v>24</v>
      </c>
      <c r="L2485" s="1" t="s">
        <v>19</v>
      </c>
    </row>
    <row r="2486" spans="1:12" x14ac:dyDescent="0.3">
      <c r="A2486" s="1" t="s">
        <v>3223</v>
      </c>
      <c r="B2486" s="2">
        <v>45829</v>
      </c>
      <c r="C2486" s="2">
        <v>45859</v>
      </c>
      <c r="D2486" s="1" t="s">
        <v>32</v>
      </c>
      <c r="E2486" s="1" t="s">
        <v>14</v>
      </c>
      <c r="F2486" s="1" t="s">
        <v>15</v>
      </c>
      <c r="G2486" s="1" t="s">
        <v>16</v>
      </c>
      <c r="H2486" s="1" t="s">
        <v>34</v>
      </c>
      <c r="I2486" s="1" t="s">
        <v>26</v>
      </c>
      <c r="J2486">
        <v>15</v>
      </c>
      <c r="K2486">
        <v>30</v>
      </c>
      <c r="L2486" s="1" t="s">
        <v>21</v>
      </c>
    </row>
    <row r="2487" spans="1:12" x14ac:dyDescent="0.3">
      <c r="A2487" s="1" t="s">
        <v>1299</v>
      </c>
      <c r="B2487" s="2">
        <v>45828</v>
      </c>
      <c r="C2487" s="2">
        <v>45836</v>
      </c>
      <c r="D2487" s="1" t="s">
        <v>13</v>
      </c>
      <c r="E2487" s="1" t="s">
        <v>14</v>
      </c>
      <c r="F2487" s="1" t="s">
        <v>15</v>
      </c>
      <c r="G2487" s="1" t="s">
        <v>33</v>
      </c>
      <c r="H2487" s="1" t="s">
        <v>47</v>
      </c>
      <c r="I2487" s="1" t="s">
        <v>26</v>
      </c>
      <c r="J2487">
        <v>15</v>
      </c>
      <c r="K2487">
        <v>8</v>
      </c>
      <c r="L2487" s="1" t="s">
        <v>30</v>
      </c>
    </row>
    <row r="2488" spans="1:12" x14ac:dyDescent="0.3">
      <c r="A2488" s="1" t="s">
        <v>1881</v>
      </c>
      <c r="B2488" s="2">
        <v>45828</v>
      </c>
      <c r="C2488" s="2">
        <v>45830</v>
      </c>
      <c r="D2488" s="1" t="s">
        <v>32</v>
      </c>
      <c r="E2488" s="1" t="s">
        <v>14</v>
      </c>
      <c r="F2488" s="1" t="s">
        <v>15</v>
      </c>
      <c r="G2488" s="1" t="s">
        <v>16</v>
      </c>
      <c r="H2488" s="1" t="s">
        <v>34</v>
      </c>
      <c r="I2488" s="1" t="s">
        <v>26</v>
      </c>
      <c r="J2488">
        <v>15</v>
      </c>
      <c r="K2488">
        <v>2</v>
      </c>
      <c r="L2488" s="1" t="s">
        <v>30</v>
      </c>
    </row>
    <row r="2489" spans="1:12" x14ac:dyDescent="0.3">
      <c r="A2489" s="1" t="s">
        <v>2341</v>
      </c>
      <c r="B2489" s="2">
        <v>45828</v>
      </c>
      <c r="C2489" s="2">
        <v>45855</v>
      </c>
      <c r="D2489" s="1" t="s">
        <v>23</v>
      </c>
      <c r="E2489" s="1" t="s">
        <v>14</v>
      </c>
      <c r="F2489" s="1" t="s">
        <v>15</v>
      </c>
      <c r="G2489" s="1" t="s">
        <v>16</v>
      </c>
      <c r="H2489" s="1" t="s">
        <v>43</v>
      </c>
      <c r="I2489" s="1" t="s">
        <v>26</v>
      </c>
      <c r="J2489">
        <v>15</v>
      </c>
      <c r="K2489">
        <v>27</v>
      </c>
      <c r="L2489" s="1" t="s">
        <v>19</v>
      </c>
    </row>
    <row r="2490" spans="1:12" x14ac:dyDescent="0.3">
      <c r="A2490" s="1" t="s">
        <v>2436</v>
      </c>
      <c r="B2490" s="2">
        <v>45828</v>
      </c>
      <c r="C2490" s="2">
        <v>45855</v>
      </c>
      <c r="D2490" s="1" t="s">
        <v>37</v>
      </c>
      <c r="E2490" s="1" t="s">
        <v>14</v>
      </c>
      <c r="F2490" s="1" t="s">
        <v>38</v>
      </c>
      <c r="G2490" s="1" t="s">
        <v>16</v>
      </c>
      <c r="H2490" s="1" t="s">
        <v>39</v>
      </c>
      <c r="I2490" s="1" t="s">
        <v>26</v>
      </c>
      <c r="J2490">
        <v>15</v>
      </c>
      <c r="K2490">
        <v>27</v>
      </c>
      <c r="L2490" s="1" t="s">
        <v>19</v>
      </c>
    </row>
    <row r="2491" spans="1:12" x14ac:dyDescent="0.3">
      <c r="A2491" s="1" t="s">
        <v>2745</v>
      </c>
      <c r="B2491" s="2">
        <v>45828</v>
      </c>
      <c r="C2491" s="2">
        <v>45854</v>
      </c>
      <c r="D2491" s="1" t="s">
        <v>13</v>
      </c>
      <c r="E2491" s="1" t="s">
        <v>14</v>
      </c>
      <c r="F2491" s="1" t="s">
        <v>15</v>
      </c>
      <c r="G2491" s="1" t="s">
        <v>16</v>
      </c>
      <c r="H2491" s="1" t="s">
        <v>17</v>
      </c>
      <c r="I2491" s="1" t="s">
        <v>26</v>
      </c>
      <c r="J2491">
        <v>15</v>
      </c>
      <c r="K2491">
        <v>26</v>
      </c>
      <c r="L2491" s="1" t="s">
        <v>19</v>
      </c>
    </row>
    <row r="2492" spans="1:12" x14ac:dyDescent="0.3">
      <c r="A2492" s="1" t="s">
        <v>1006</v>
      </c>
      <c r="B2492" s="2">
        <v>45827</v>
      </c>
      <c r="C2492" s="2">
        <v>45829</v>
      </c>
      <c r="D2492" s="1" t="s">
        <v>13</v>
      </c>
      <c r="E2492" s="1" t="s">
        <v>24</v>
      </c>
      <c r="F2492" s="1" t="s">
        <v>15</v>
      </c>
      <c r="G2492" s="1" t="s">
        <v>53</v>
      </c>
      <c r="H2492" s="1" t="s">
        <v>47</v>
      </c>
      <c r="I2492" s="1" t="s">
        <v>26</v>
      </c>
      <c r="J2492">
        <v>30</v>
      </c>
      <c r="K2492">
        <v>2</v>
      </c>
      <c r="L2492" s="1" t="s">
        <v>30</v>
      </c>
    </row>
    <row r="2493" spans="1:12" x14ac:dyDescent="0.3">
      <c r="A2493" s="1" t="s">
        <v>2236</v>
      </c>
      <c r="B2493" s="2">
        <v>45827</v>
      </c>
      <c r="C2493" s="2">
        <v>45875</v>
      </c>
      <c r="D2493" s="1" t="s">
        <v>23</v>
      </c>
      <c r="E2493" s="1" t="s">
        <v>14</v>
      </c>
      <c r="F2493" s="1" t="s">
        <v>15</v>
      </c>
      <c r="G2493" s="1" t="s">
        <v>53</v>
      </c>
      <c r="H2493" s="1" t="s">
        <v>43</v>
      </c>
      <c r="I2493" s="1" t="s">
        <v>18</v>
      </c>
      <c r="J2493">
        <v>15</v>
      </c>
      <c r="K2493">
        <v>48</v>
      </c>
      <c r="L2493" s="1" t="s">
        <v>44</v>
      </c>
    </row>
    <row r="2494" spans="1:12" x14ac:dyDescent="0.3">
      <c r="A2494" s="1" t="s">
        <v>1397</v>
      </c>
      <c r="B2494" s="2">
        <v>45827</v>
      </c>
      <c r="C2494" s="2">
        <v>45868</v>
      </c>
      <c r="D2494" s="1" t="s">
        <v>37</v>
      </c>
      <c r="E2494" s="1" t="s">
        <v>14</v>
      </c>
      <c r="F2494" s="1" t="s">
        <v>38</v>
      </c>
      <c r="G2494" s="1" t="s">
        <v>53</v>
      </c>
      <c r="H2494" s="1" t="s">
        <v>39</v>
      </c>
      <c r="I2494" s="1" t="s">
        <v>26</v>
      </c>
      <c r="J2494">
        <v>15</v>
      </c>
      <c r="K2494">
        <v>41</v>
      </c>
      <c r="L2494" s="1" t="s">
        <v>21</v>
      </c>
    </row>
    <row r="2495" spans="1:12" x14ac:dyDescent="0.3">
      <c r="A2495" s="1" t="s">
        <v>945</v>
      </c>
      <c r="B2495" s="2">
        <v>45827</v>
      </c>
      <c r="C2495" s="2">
        <v>45859</v>
      </c>
      <c r="D2495" s="1" t="s">
        <v>37</v>
      </c>
      <c r="E2495" s="1" t="s">
        <v>14</v>
      </c>
      <c r="F2495" s="1" t="s">
        <v>15</v>
      </c>
      <c r="G2495" s="1" t="s">
        <v>16</v>
      </c>
      <c r="H2495" s="1" t="s">
        <v>39</v>
      </c>
      <c r="I2495" s="1" t="s">
        <v>26</v>
      </c>
      <c r="J2495">
        <v>30</v>
      </c>
      <c r="K2495">
        <v>32</v>
      </c>
      <c r="L2495" s="1" t="s">
        <v>21</v>
      </c>
    </row>
    <row r="2496" spans="1:12" x14ac:dyDescent="0.3">
      <c r="A2496" s="1" t="s">
        <v>2400</v>
      </c>
      <c r="B2496" s="2">
        <v>45827</v>
      </c>
      <c r="C2496" s="2">
        <v>45850</v>
      </c>
      <c r="D2496" s="1" t="s">
        <v>37</v>
      </c>
      <c r="E2496" s="1" t="s">
        <v>14</v>
      </c>
      <c r="F2496" s="1" t="s">
        <v>15</v>
      </c>
      <c r="G2496" s="1" t="s">
        <v>16</v>
      </c>
      <c r="H2496" s="1" t="s">
        <v>49</v>
      </c>
      <c r="I2496" s="1" t="s">
        <v>26</v>
      </c>
      <c r="J2496">
        <v>15</v>
      </c>
      <c r="K2496">
        <v>23</v>
      </c>
      <c r="L2496" s="1" t="s">
        <v>19</v>
      </c>
    </row>
    <row r="2497" spans="1:12" x14ac:dyDescent="0.3">
      <c r="A2497" s="1" t="s">
        <v>2916</v>
      </c>
      <c r="B2497" s="2">
        <v>45827</v>
      </c>
      <c r="C2497" s="2">
        <v>45868</v>
      </c>
      <c r="D2497" s="1" t="s">
        <v>13</v>
      </c>
      <c r="E2497" s="1" t="s">
        <v>14</v>
      </c>
      <c r="F2497" s="1" t="s">
        <v>15</v>
      </c>
      <c r="G2497" s="1" t="s">
        <v>16</v>
      </c>
      <c r="H2497" s="1" t="s">
        <v>47</v>
      </c>
      <c r="I2497" s="1" t="s">
        <v>41</v>
      </c>
      <c r="J2497">
        <v>15</v>
      </c>
      <c r="K2497">
        <v>41</v>
      </c>
      <c r="L2497" s="1" t="s">
        <v>21</v>
      </c>
    </row>
    <row r="2498" spans="1:12" x14ac:dyDescent="0.3">
      <c r="A2498" s="1" t="s">
        <v>183</v>
      </c>
      <c r="B2498" s="2">
        <v>45826</v>
      </c>
      <c r="C2498" s="2">
        <v>45852</v>
      </c>
      <c r="D2498" s="1" t="s">
        <v>28</v>
      </c>
      <c r="E2498" s="1" t="s">
        <v>14</v>
      </c>
      <c r="F2498" s="1" t="s">
        <v>38</v>
      </c>
      <c r="G2498" s="1" t="s">
        <v>16</v>
      </c>
      <c r="H2498" s="1" t="s">
        <v>29</v>
      </c>
      <c r="I2498" s="1" t="s">
        <v>41</v>
      </c>
      <c r="J2498">
        <v>15</v>
      </c>
      <c r="K2498">
        <v>26</v>
      </c>
      <c r="L2498" s="1" t="s">
        <v>19</v>
      </c>
    </row>
    <row r="2499" spans="1:12" x14ac:dyDescent="0.3">
      <c r="A2499" s="1" t="s">
        <v>1437</v>
      </c>
      <c r="B2499" s="2">
        <v>45826</v>
      </c>
      <c r="C2499" s="2">
        <v>45828</v>
      </c>
      <c r="D2499" s="1" t="s">
        <v>28</v>
      </c>
      <c r="E2499" s="1" t="s">
        <v>24</v>
      </c>
      <c r="F2499" s="1" t="s">
        <v>15</v>
      </c>
      <c r="G2499" s="1" t="s">
        <v>16</v>
      </c>
      <c r="H2499" s="1" t="s">
        <v>54</v>
      </c>
      <c r="I2499" s="1" t="s">
        <v>41</v>
      </c>
      <c r="J2499">
        <v>45</v>
      </c>
      <c r="K2499">
        <v>2</v>
      </c>
      <c r="L2499" s="1" t="s">
        <v>30</v>
      </c>
    </row>
    <row r="2500" spans="1:12" x14ac:dyDescent="0.3">
      <c r="A2500" s="1" t="s">
        <v>1624</v>
      </c>
      <c r="B2500" s="2">
        <v>45826</v>
      </c>
      <c r="C2500" s="2">
        <v>45915</v>
      </c>
      <c r="D2500" s="1" t="s">
        <v>32</v>
      </c>
      <c r="E2500" s="1" t="s">
        <v>24</v>
      </c>
      <c r="F2500" s="1" t="s">
        <v>15</v>
      </c>
      <c r="G2500" s="1" t="s">
        <v>16</v>
      </c>
      <c r="H2500" s="1" t="s">
        <v>71</v>
      </c>
      <c r="I2500" s="1" t="s">
        <v>26</v>
      </c>
      <c r="J2500">
        <v>45</v>
      </c>
      <c r="K2500">
        <v>89</v>
      </c>
      <c r="L2500" s="1" t="s">
        <v>80</v>
      </c>
    </row>
    <row r="2501" spans="1:12" x14ac:dyDescent="0.3">
      <c r="A2501" s="1" t="s">
        <v>2504</v>
      </c>
      <c r="B2501" s="2">
        <v>45826</v>
      </c>
      <c r="C2501" s="2">
        <v>45867</v>
      </c>
      <c r="D2501" s="1" t="s">
        <v>37</v>
      </c>
      <c r="E2501" s="1" t="s">
        <v>14</v>
      </c>
      <c r="F2501" s="1" t="s">
        <v>15</v>
      </c>
      <c r="G2501" s="1" t="s">
        <v>16</v>
      </c>
      <c r="H2501" s="1" t="s">
        <v>39</v>
      </c>
      <c r="I2501" s="1" t="s">
        <v>41</v>
      </c>
      <c r="J2501">
        <v>30</v>
      </c>
      <c r="K2501">
        <v>41</v>
      </c>
      <c r="L2501" s="1" t="s">
        <v>21</v>
      </c>
    </row>
    <row r="2502" spans="1:12" x14ac:dyDescent="0.3">
      <c r="A2502" s="1" t="s">
        <v>2595</v>
      </c>
      <c r="B2502" s="2">
        <v>45826</v>
      </c>
      <c r="C2502" s="2">
        <v>45849</v>
      </c>
      <c r="D2502" s="1" t="s">
        <v>37</v>
      </c>
      <c r="E2502" s="1" t="s">
        <v>24</v>
      </c>
      <c r="F2502" s="1" t="s">
        <v>15</v>
      </c>
      <c r="G2502" s="1" t="s">
        <v>16</v>
      </c>
      <c r="H2502" s="1" t="s">
        <v>49</v>
      </c>
      <c r="I2502" s="1" t="s">
        <v>26</v>
      </c>
      <c r="J2502">
        <v>45</v>
      </c>
      <c r="K2502">
        <v>23</v>
      </c>
      <c r="L2502" s="1" t="s">
        <v>19</v>
      </c>
    </row>
    <row r="2503" spans="1:12" x14ac:dyDescent="0.3">
      <c r="A2503" s="1" t="s">
        <v>2644</v>
      </c>
      <c r="B2503" s="2">
        <v>45826</v>
      </c>
      <c r="C2503" s="2">
        <v>45837</v>
      </c>
      <c r="D2503" s="1" t="s">
        <v>37</v>
      </c>
      <c r="E2503" s="1" t="s">
        <v>14</v>
      </c>
      <c r="F2503" s="1" t="s">
        <v>15</v>
      </c>
      <c r="G2503" s="1" t="s">
        <v>16</v>
      </c>
      <c r="H2503" s="1" t="s">
        <v>39</v>
      </c>
      <c r="I2503" s="1" t="s">
        <v>18</v>
      </c>
      <c r="J2503">
        <v>30</v>
      </c>
      <c r="K2503">
        <v>11</v>
      </c>
      <c r="L2503" s="1" t="s">
        <v>30</v>
      </c>
    </row>
    <row r="2504" spans="1:12" x14ac:dyDescent="0.3">
      <c r="A2504" s="1" t="s">
        <v>2707</v>
      </c>
      <c r="B2504" s="2">
        <v>45826</v>
      </c>
      <c r="C2504" s="2">
        <v>45848</v>
      </c>
      <c r="D2504" s="1" t="s">
        <v>32</v>
      </c>
      <c r="E2504" s="1" t="s">
        <v>24</v>
      </c>
      <c r="F2504" s="1" t="s">
        <v>15</v>
      </c>
      <c r="G2504" s="1" t="s">
        <v>16</v>
      </c>
      <c r="H2504" s="1" t="s">
        <v>71</v>
      </c>
      <c r="I2504" s="1" t="s">
        <v>26</v>
      </c>
      <c r="J2504">
        <v>45</v>
      </c>
      <c r="K2504">
        <v>22</v>
      </c>
      <c r="L2504" s="1" t="s">
        <v>19</v>
      </c>
    </row>
    <row r="2505" spans="1:12" x14ac:dyDescent="0.3">
      <c r="A2505" s="1" t="s">
        <v>2776</v>
      </c>
      <c r="B2505" s="2">
        <v>45826</v>
      </c>
      <c r="C2505" s="2">
        <v>45884</v>
      </c>
      <c r="D2505" s="1" t="s">
        <v>32</v>
      </c>
      <c r="E2505" s="1" t="s">
        <v>14</v>
      </c>
      <c r="F2505" s="1" t="s">
        <v>15</v>
      </c>
      <c r="G2505" s="1" t="s">
        <v>33</v>
      </c>
      <c r="H2505" s="1" t="s">
        <v>34</v>
      </c>
      <c r="I2505" s="1" t="s">
        <v>26</v>
      </c>
      <c r="J2505">
        <v>15</v>
      </c>
      <c r="K2505">
        <v>58</v>
      </c>
      <c r="L2505" s="1" t="s">
        <v>80</v>
      </c>
    </row>
    <row r="2506" spans="1:12" x14ac:dyDescent="0.3">
      <c r="A2506" s="1" t="s">
        <v>2881</v>
      </c>
      <c r="B2506" s="2">
        <v>45826</v>
      </c>
      <c r="C2506" s="2">
        <v>45842</v>
      </c>
      <c r="D2506" s="1" t="s">
        <v>28</v>
      </c>
      <c r="E2506" s="1" t="s">
        <v>14</v>
      </c>
      <c r="F2506" s="1" t="s">
        <v>38</v>
      </c>
      <c r="G2506" s="1" t="s">
        <v>16</v>
      </c>
      <c r="H2506" s="1" t="s">
        <v>54</v>
      </c>
      <c r="I2506" s="1" t="s">
        <v>26</v>
      </c>
      <c r="J2506">
        <v>30</v>
      </c>
      <c r="K2506">
        <v>16</v>
      </c>
      <c r="L2506" s="1" t="s">
        <v>19</v>
      </c>
    </row>
    <row r="2507" spans="1:12" x14ac:dyDescent="0.3">
      <c r="A2507" s="1" t="s">
        <v>3060</v>
      </c>
      <c r="B2507" s="2">
        <v>45826</v>
      </c>
      <c r="C2507" s="2">
        <v>45828</v>
      </c>
      <c r="D2507" s="1" t="s">
        <v>32</v>
      </c>
      <c r="E2507" s="1" t="s">
        <v>14</v>
      </c>
      <c r="F2507" s="1" t="s">
        <v>38</v>
      </c>
      <c r="G2507" s="1" t="s">
        <v>16</v>
      </c>
      <c r="H2507" s="1" t="s">
        <v>71</v>
      </c>
      <c r="I2507" s="1" t="s">
        <v>26</v>
      </c>
      <c r="J2507">
        <v>15</v>
      </c>
      <c r="K2507">
        <v>2</v>
      </c>
      <c r="L2507" s="1" t="s">
        <v>30</v>
      </c>
    </row>
    <row r="2508" spans="1:12" x14ac:dyDescent="0.3">
      <c r="A2508" s="1" t="s">
        <v>3221</v>
      </c>
      <c r="B2508" s="2">
        <v>45826</v>
      </c>
      <c r="C2508" s="2">
        <v>45875</v>
      </c>
      <c r="D2508" s="1" t="s">
        <v>28</v>
      </c>
      <c r="E2508" s="1" t="s">
        <v>24</v>
      </c>
      <c r="F2508" s="1" t="s">
        <v>15</v>
      </c>
      <c r="G2508" s="1" t="s">
        <v>16</v>
      </c>
      <c r="H2508" s="1" t="s">
        <v>29</v>
      </c>
      <c r="I2508" s="1" t="s">
        <v>26</v>
      </c>
      <c r="J2508">
        <v>30</v>
      </c>
      <c r="K2508">
        <v>49</v>
      </c>
      <c r="L2508" s="1" t="s">
        <v>44</v>
      </c>
    </row>
    <row r="2509" spans="1:12" x14ac:dyDescent="0.3">
      <c r="A2509" s="1" t="s">
        <v>2030</v>
      </c>
      <c r="B2509" s="2">
        <v>45825</v>
      </c>
      <c r="C2509" s="2">
        <v>45878</v>
      </c>
      <c r="D2509" s="1" t="s">
        <v>13</v>
      </c>
      <c r="E2509" s="1" t="s">
        <v>14</v>
      </c>
      <c r="F2509" s="1" t="s">
        <v>15</v>
      </c>
      <c r="G2509" s="1" t="s">
        <v>16</v>
      </c>
      <c r="H2509" s="1" t="s">
        <v>17</v>
      </c>
      <c r="I2509" s="1" t="s">
        <v>26</v>
      </c>
      <c r="J2509">
        <v>30</v>
      </c>
      <c r="K2509">
        <v>53</v>
      </c>
      <c r="L2509" s="1" t="s">
        <v>44</v>
      </c>
    </row>
    <row r="2510" spans="1:12" x14ac:dyDescent="0.3">
      <c r="A2510" s="1" t="s">
        <v>2486</v>
      </c>
      <c r="B2510" s="2">
        <v>45825</v>
      </c>
      <c r="C2510" s="2">
        <v>45900</v>
      </c>
      <c r="D2510" s="1" t="s">
        <v>23</v>
      </c>
      <c r="E2510" s="1" t="s">
        <v>14</v>
      </c>
      <c r="F2510" s="1" t="s">
        <v>15</v>
      </c>
      <c r="G2510" s="1" t="s">
        <v>16</v>
      </c>
      <c r="H2510" s="1" t="s">
        <v>43</v>
      </c>
      <c r="I2510" s="1" t="s">
        <v>26</v>
      </c>
      <c r="J2510">
        <v>15</v>
      </c>
      <c r="K2510">
        <v>75</v>
      </c>
      <c r="L2510" s="1" t="s">
        <v>80</v>
      </c>
    </row>
    <row r="2511" spans="1:12" x14ac:dyDescent="0.3">
      <c r="A2511" s="1" t="s">
        <v>2512</v>
      </c>
      <c r="B2511" s="2">
        <v>45825</v>
      </c>
      <c r="C2511" s="2">
        <v>45863</v>
      </c>
      <c r="D2511" s="1" t="s">
        <v>28</v>
      </c>
      <c r="E2511" s="1" t="s">
        <v>24</v>
      </c>
      <c r="F2511" s="1" t="s">
        <v>15</v>
      </c>
      <c r="G2511" s="1" t="s">
        <v>16</v>
      </c>
      <c r="H2511" s="1" t="s">
        <v>29</v>
      </c>
      <c r="I2511" s="1" t="s">
        <v>41</v>
      </c>
      <c r="J2511">
        <v>30</v>
      </c>
      <c r="K2511">
        <v>38</v>
      </c>
      <c r="L2511" s="1" t="s">
        <v>21</v>
      </c>
    </row>
    <row r="2512" spans="1:12" x14ac:dyDescent="0.3">
      <c r="A2512" s="1" t="s">
        <v>1752</v>
      </c>
      <c r="B2512" s="2">
        <v>45825</v>
      </c>
      <c r="C2512" s="2">
        <v>45845</v>
      </c>
      <c r="D2512" s="1" t="s">
        <v>37</v>
      </c>
      <c r="E2512" s="1" t="s">
        <v>24</v>
      </c>
      <c r="F2512" s="1" t="s">
        <v>15</v>
      </c>
      <c r="G2512" s="1" t="s">
        <v>33</v>
      </c>
      <c r="H2512" s="1" t="s">
        <v>39</v>
      </c>
      <c r="I2512" s="1" t="s">
        <v>26</v>
      </c>
      <c r="J2512">
        <v>30</v>
      </c>
      <c r="K2512">
        <v>20</v>
      </c>
      <c r="L2512" s="1" t="s">
        <v>19</v>
      </c>
    </row>
    <row r="2513" spans="1:12" x14ac:dyDescent="0.3">
      <c r="A2513" s="1" t="s">
        <v>1114</v>
      </c>
      <c r="B2513" s="2">
        <v>45824</v>
      </c>
      <c r="C2513" s="2">
        <v>45841</v>
      </c>
      <c r="D2513" s="1" t="s">
        <v>32</v>
      </c>
      <c r="E2513" s="1" t="s">
        <v>24</v>
      </c>
      <c r="F2513" s="1" t="s">
        <v>15</v>
      </c>
      <c r="G2513" s="1" t="s">
        <v>16</v>
      </c>
      <c r="H2513" s="1" t="s">
        <v>34</v>
      </c>
      <c r="I2513" s="1" t="s">
        <v>26</v>
      </c>
      <c r="J2513">
        <v>30</v>
      </c>
      <c r="K2513">
        <v>17</v>
      </c>
      <c r="L2513" s="1" t="s">
        <v>19</v>
      </c>
    </row>
    <row r="2514" spans="1:12" x14ac:dyDescent="0.3">
      <c r="A2514" s="1" t="s">
        <v>1787</v>
      </c>
      <c r="B2514" s="2">
        <v>45824</v>
      </c>
      <c r="C2514" s="2">
        <v>45914</v>
      </c>
      <c r="D2514" s="1" t="s">
        <v>23</v>
      </c>
      <c r="E2514" s="1" t="s">
        <v>14</v>
      </c>
      <c r="F2514" s="1" t="s">
        <v>15</v>
      </c>
      <c r="G2514" s="1" t="s">
        <v>16</v>
      </c>
      <c r="H2514" s="1" t="s">
        <v>25</v>
      </c>
      <c r="I2514" s="1" t="s">
        <v>26</v>
      </c>
      <c r="J2514">
        <v>15</v>
      </c>
      <c r="K2514">
        <v>90</v>
      </c>
      <c r="L2514" s="1" t="s">
        <v>80</v>
      </c>
    </row>
    <row r="2515" spans="1:12" x14ac:dyDescent="0.3">
      <c r="A2515" s="1" t="s">
        <v>2031</v>
      </c>
      <c r="B2515" s="2">
        <v>45824</v>
      </c>
      <c r="C2515" s="2">
        <v>45845</v>
      </c>
      <c r="D2515" s="1" t="s">
        <v>28</v>
      </c>
      <c r="E2515" s="1" t="s">
        <v>24</v>
      </c>
      <c r="F2515" s="1" t="s">
        <v>15</v>
      </c>
      <c r="G2515" s="1" t="s">
        <v>16</v>
      </c>
      <c r="H2515" s="1" t="s">
        <v>54</v>
      </c>
      <c r="I2515" s="1" t="s">
        <v>41</v>
      </c>
      <c r="J2515">
        <v>30</v>
      </c>
      <c r="K2515">
        <v>21</v>
      </c>
      <c r="L2515" s="1" t="s">
        <v>19</v>
      </c>
    </row>
    <row r="2516" spans="1:12" x14ac:dyDescent="0.3">
      <c r="A2516" s="1" t="s">
        <v>2565</v>
      </c>
      <c r="B2516" s="2">
        <v>45824</v>
      </c>
      <c r="C2516" s="2">
        <v>45860</v>
      </c>
      <c r="D2516" s="1" t="s">
        <v>28</v>
      </c>
      <c r="E2516" s="1" t="s">
        <v>14</v>
      </c>
      <c r="F2516" s="1" t="s">
        <v>15</v>
      </c>
      <c r="G2516" s="1" t="s">
        <v>16</v>
      </c>
      <c r="H2516" s="1" t="s">
        <v>29</v>
      </c>
      <c r="I2516" s="1" t="s">
        <v>18</v>
      </c>
      <c r="J2516">
        <v>15</v>
      </c>
      <c r="K2516">
        <v>36</v>
      </c>
      <c r="L2516" s="1" t="s">
        <v>21</v>
      </c>
    </row>
    <row r="2517" spans="1:12" x14ac:dyDescent="0.3">
      <c r="A2517" s="1" t="s">
        <v>2319</v>
      </c>
      <c r="B2517" s="2">
        <v>45824</v>
      </c>
      <c r="C2517" s="2">
        <v>45869</v>
      </c>
      <c r="D2517" s="1" t="s">
        <v>37</v>
      </c>
      <c r="E2517" s="1" t="s">
        <v>14</v>
      </c>
      <c r="F2517" s="1" t="s">
        <v>38</v>
      </c>
      <c r="G2517" s="1" t="s">
        <v>16</v>
      </c>
      <c r="H2517" s="1" t="s">
        <v>49</v>
      </c>
      <c r="I2517" s="1" t="s">
        <v>26</v>
      </c>
      <c r="J2517">
        <v>15</v>
      </c>
      <c r="K2517">
        <v>45</v>
      </c>
      <c r="L2517" s="1" t="s">
        <v>44</v>
      </c>
    </row>
    <row r="2518" spans="1:12" x14ac:dyDescent="0.3">
      <c r="A2518" s="1" t="s">
        <v>777</v>
      </c>
      <c r="B2518" s="2">
        <v>45823</v>
      </c>
      <c r="C2518" s="2">
        <v>45878</v>
      </c>
      <c r="D2518" s="1" t="s">
        <v>13</v>
      </c>
      <c r="E2518" s="1" t="s">
        <v>14</v>
      </c>
      <c r="F2518" s="1" t="s">
        <v>38</v>
      </c>
      <c r="G2518" s="1" t="s">
        <v>16</v>
      </c>
      <c r="H2518" s="1" t="s">
        <v>47</v>
      </c>
      <c r="I2518" s="1" t="s">
        <v>26</v>
      </c>
      <c r="J2518">
        <v>30</v>
      </c>
      <c r="K2518">
        <v>55</v>
      </c>
      <c r="L2518" s="1" t="s">
        <v>44</v>
      </c>
    </row>
    <row r="2519" spans="1:12" x14ac:dyDescent="0.3">
      <c r="A2519" s="1" t="s">
        <v>1914</v>
      </c>
      <c r="B2519" s="2">
        <v>45823</v>
      </c>
      <c r="C2519" s="2">
        <v>45883</v>
      </c>
      <c r="D2519" s="1" t="s">
        <v>32</v>
      </c>
      <c r="E2519" s="1" t="s">
        <v>14</v>
      </c>
      <c r="F2519" s="1" t="s">
        <v>15</v>
      </c>
      <c r="G2519" s="1" t="s">
        <v>16</v>
      </c>
      <c r="H2519" s="1" t="s">
        <v>71</v>
      </c>
      <c r="I2519" s="1" t="s">
        <v>26</v>
      </c>
      <c r="J2519">
        <v>15</v>
      </c>
      <c r="K2519">
        <v>60</v>
      </c>
      <c r="L2519" s="1" t="s">
        <v>80</v>
      </c>
    </row>
    <row r="2520" spans="1:12" x14ac:dyDescent="0.3">
      <c r="A2520" s="1" t="s">
        <v>1982</v>
      </c>
      <c r="B2520" s="2">
        <v>45823</v>
      </c>
      <c r="C2520" s="2">
        <v>45868</v>
      </c>
      <c r="D2520" s="1" t="s">
        <v>23</v>
      </c>
      <c r="E2520" s="1" t="s">
        <v>14</v>
      </c>
      <c r="F2520" s="1" t="s">
        <v>15</v>
      </c>
      <c r="G2520" s="1" t="s">
        <v>16</v>
      </c>
      <c r="H2520" s="1" t="s">
        <v>43</v>
      </c>
      <c r="I2520" s="1" t="s">
        <v>41</v>
      </c>
      <c r="J2520">
        <v>15</v>
      </c>
      <c r="K2520">
        <v>45</v>
      </c>
      <c r="L2520" s="1" t="s">
        <v>44</v>
      </c>
    </row>
    <row r="2521" spans="1:12" x14ac:dyDescent="0.3">
      <c r="A2521" s="1" t="s">
        <v>2402</v>
      </c>
      <c r="B2521" s="2">
        <v>45823</v>
      </c>
      <c r="C2521" s="2">
        <v>45865</v>
      </c>
      <c r="D2521" s="1" t="s">
        <v>32</v>
      </c>
      <c r="E2521" s="1" t="s">
        <v>14</v>
      </c>
      <c r="F2521" s="1" t="s">
        <v>15</v>
      </c>
      <c r="G2521" s="1" t="s">
        <v>16</v>
      </c>
      <c r="H2521" s="1" t="s">
        <v>71</v>
      </c>
      <c r="I2521" s="1" t="s">
        <v>18</v>
      </c>
      <c r="J2521">
        <v>15</v>
      </c>
      <c r="K2521">
        <v>42</v>
      </c>
      <c r="L2521" s="1" t="s">
        <v>21</v>
      </c>
    </row>
    <row r="2522" spans="1:12" x14ac:dyDescent="0.3">
      <c r="A2522" s="1" t="s">
        <v>2516</v>
      </c>
      <c r="B2522" s="2">
        <v>45823</v>
      </c>
      <c r="C2522" s="2">
        <v>45868</v>
      </c>
      <c r="D2522" s="1" t="s">
        <v>23</v>
      </c>
      <c r="E2522" s="1" t="s">
        <v>24</v>
      </c>
      <c r="F2522" s="1" t="s">
        <v>15</v>
      </c>
      <c r="G2522" s="1" t="s">
        <v>33</v>
      </c>
      <c r="H2522" s="1" t="s">
        <v>43</v>
      </c>
      <c r="I2522" s="1" t="s">
        <v>26</v>
      </c>
      <c r="J2522">
        <v>45</v>
      </c>
      <c r="K2522">
        <v>45</v>
      </c>
      <c r="L2522" s="1" t="s">
        <v>44</v>
      </c>
    </row>
    <row r="2523" spans="1:12" x14ac:dyDescent="0.3">
      <c r="A2523" s="1" t="s">
        <v>1516</v>
      </c>
      <c r="B2523" s="2">
        <v>45823</v>
      </c>
      <c r="C2523" s="2">
        <v>45864</v>
      </c>
      <c r="D2523" s="1" t="s">
        <v>37</v>
      </c>
      <c r="E2523" s="1" t="s">
        <v>24</v>
      </c>
      <c r="F2523" s="1" t="s">
        <v>15</v>
      </c>
      <c r="G2523" s="1" t="s">
        <v>16</v>
      </c>
      <c r="H2523" s="1" t="s">
        <v>39</v>
      </c>
      <c r="I2523" s="1" t="s">
        <v>41</v>
      </c>
      <c r="J2523">
        <v>30</v>
      </c>
      <c r="K2523">
        <v>41</v>
      </c>
      <c r="L2523" s="1" t="s">
        <v>21</v>
      </c>
    </row>
    <row r="2524" spans="1:12" x14ac:dyDescent="0.3">
      <c r="A2524" s="1" t="s">
        <v>3121</v>
      </c>
      <c r="B2524" s="2">
        <v>45823</v>
      </c>
      <c r="C2524" s="2">
        <v>45849</v>
      </c>
      <c r="D2524" s="1" t="s">
        <v>13</v>
      </c>
      <c r="E2524" s="1" t="s">
        <v>14</v>
      </c>
      <c r="F2524" s="1" t="s">
        <v>15</v>
      </c>
      <c r="G2524" s="1" t="s">
        <v>53</v>
      </c>
      <c r="H2524" s="1" t="s">
        <v>17</v>
      </c>
      <c r="I2524" s="1" t="s">
        <v>18</v>
      </c>
      <c r="J2524">
        <v>30</v>
      </c>
      <c r="K2524">
        <v>26</v>
      </c>
      <c r="L2524" s="1" t="s">
        <v>19</v>
      </c>
    </row>
    <row r="2525" spans="1:12" x14ac:dyDescent="0.3">
      <c r="A2525" s="1" t="s">
        <v>2815</v>
      </c>
      <c r="B2525" s="2">
        <v>45822</v>
      </c>
      <c r="C2525" s="2">
        <v>45884</v>
      </c>
      <c r="D2525" s="1" t="s">
        <v>37</v>
      </c>
      <c r="E2525" s="1" t="s">
        <v>14</v>
      </c>
      <c r="F2525" s="1" t="s">
        <v>15</v>
      </c>
      <c r="G2525" s="1" t="s">
        <v>16</v>
      </c>
      <c r="H2525" s="1" t="s">
        <v>39</v>
      </c>
      <c r="I2525" s="1" t="s">
        <v>41</v>
      </c>
      <c r="J2525">
        <v>15</v>
      </c>
      <c r="K2525">
        <v>62</v>
      </c>
      <c r="L2525" s="1" t="s">
        <v>80</v>
      </c>
    </row>
    <row r="2526" spans="1:12" x14ac:dyDescent="0.3">
      <c r="A2526" s="1" t="s">
        <v>2538</v>
      </c>
      <c r="B2526" s="2">
        <v>45822</v>
      </c>
      <c r="C2526" s="2">
        <v>45863</v>
      </c>
      <c r="D2526" s="1" t="s">
        <v>37</v>
      </c>
      <c r="E2526" s="1" t="s">
        <v>24</v>
      </c>
      <c r="F2526" s="1" t="s">
        <v>15</v>
      </c>
      <c r="G2526" s="1" t="s">
        <v>16</v>
      </c>
      <c r="H2526" s="1" t="s">
        <v>39</v>
      </c>
      <c r="I2526" s="1" t="s">
        <v>26</v>
      </c>
      <c r="J2526">
        <v>30</v>
      </c>
      <c r="K2526">
        <v>41</v>
      </c>
      <c r="L2526" s="1" t="s">
        <v>21</v>
      </c>
    </row>
    <row r="2527" spans="1:12" x14ac:dyDescent="0.3">
      <c r="A2527" s="1" t="s">
        <v>1782</v>
      </c>
      <c r="B2527" s="2">
        <v>45822</v>
      </c>
      <c r="C2527" s="2">
        <v>45859</v>
      </c>
      <c r="D2527" s="1" t="s">
        <v>37</v>
      </c>
      <c r="E2527" s="1" t="s">
        <v>24</v>
      </c>
      <c r="F2527" s="1" t="s">
        <v>15</v>
      </c>
      <c r="G2527" s="1" t="s">
        <v>16</v>
      </c>
      <c r="H2527" s="1" t="s">
        <v>49</v>
      </c>
      <c r="I2527" s="1" t="s">
        <v>41</v>
      </c>
      <c r="J2527">
        <v>30</v>
      </c>
      <c r="K2527">
        <v>37</v>
      </c>
      <c r="L2527" s="1" t="s">
        <v>21</v>
      </c>
    </row>
    <row r="2528" spans="1:12" x14ac:dyDescent="0.3">
      <c r="A2528" s="1" t="s">
        <v>2807</v>
      </c>
      <c r="B2528" s="2">
        <v>45822</v>
      </c>
      <c r="C2528" s="2">
        <v>45840</v>
      </c>
      <c r="D2528" s="1" t="s">
        <v>13</v>
      </c>
      <c r="E2528" s="1" t="s">
        <v>24</v>
      </c>
      <c r="F2528" s="1" t="s">
        <v>15</v>
      </c>
      <c r="G2528" s="1" t="s">
        <v>16</v>
      </c>
      <c r="H2528" s="1" t="s">
        <v>47</v>
      </c>
      <c r="I2528" s="1" t="s">
        <v>26</v>
      </c>
      <c r="J2528">
        <v>30</v>
      </c>
      <c r="K2528">
        <v>18</v>
      </c>
      <c r="L2528" s="1" t="s">
        <v>19</v>
      </c>
    </row>
    <row r="2529" spans="1:12" x14ac:dyDescent="0.3">
      <c r="A2529" s="1" t="s">
        <v>2912</v>
      </c>
      <c r="B2529" s="2">
        <v>45822</v>
      </c>
      <c r="C2529" s="2">
        <v>45830</v>
      </c>
      <c r="D2529" s="1" t="s">
        <v>32</v>
      </c>
      <c r="E2529" s="1" t="s">
        <v>14</v>
      </c>
      <c r="F2529" s="1" t="s">
        <v>38</v>
      </c>
      <c r="G2529" s="1" t="s">
        <v>16</v>
      </c>
      <c r="H2529" s="1" t="s">
        <v>71</v>
      </c>
      <c r="I2529" s="1" t="s">
        <v>26</v>
      </c>
      <c r="J2529">
        <v>15</v>
      </c>
      <c r="K2529">
        <v>8</v>
      </c>
      <c r="L2529" s="1" t="s">
        <v>30</v>
      </c>
    </row>
    <row r="2530" spans="1:12" x14ac:dyDescent="0.3">
      <c r="A2530" s="1" t="s">
        <v>42</v>
      </c>
      <c r="B2530" s="2">
        <v>45821</v>
      </c>
      <c r="C2530" s="2">
        <v>45869</v>
      </c>
      <c r="D2530" s="1" t="s">
        <v>23</v>
      </c>
      <c r="E2530" s="1" t="s">
        <v>14</v>
      </c>
      <c r="F2530" s="1" t="s">
        <v>38</v>
      </c>
      <c r="G2530" s="1" t="s">
        <v>16</v>
      </c>
      <c r="H2530" s="1" t="s">
        <v>43</v>
      </c>
      <c r="I2530" s="1" t="s">
        <v>18</v>
      </c>
      <c r="J2530">
        <v>30</v>
      </c>
      <c r="K2530">
        <v>48</v>
      </c>
      <c r="L2530" s="1" t="s">
        <v>44</v>
      </c>
    </row>
    <row r="2531" spans="1:12" x14ac:dyDescent="0.3">
      <c r="A2531" s="1" t="s">
        <v>265</v>
      </c>
      <c r="B2531" s="2">
        <v>45821</v>
      </c>
      <c r="C2531" s="2">
        <v>45838</v>
      </c>
      <c r="D2531" s="1" t="s">
        <v>13</v>
      </c>
      <c r="E2531" s="1" t="s">
        <v>24</v>
      </c>
      <c r="F2531" s="1" t="s">
        <v>15</v>
      </c>
      <c r="G2531" s="1" t="s">
        <v>16</v>
      </c>
      <c r="H2531" s="1" t="s">
        <v>47</v>
      </c>
      <c r="I2531" s="1" t="s">
        <v>26</v>
      </c>
      <c r="J2531">
        <v>30</v>
      </c>
      <c r="K2531">
        <v>17</v>
      </c>
      <c r="L2531" s="1" t="s">
        <v>19</v>
      </c>
    </row>
    <row r="2532" spans="1:12" x14ac:dyDescent="0.3">
      <c r="A2532" s="1" t="s">
        <v>380</v>
      </c>
      <c r="B2532" s="2">
        <v>45821</v>
      </c>
      <c r="C2532" s="2">
        <v>45847</v>
      </c>
      <c r="D2532" s="1" t="s">
        <v>13</v>
      </c>
      <c r="E2532" s="1" t="s">
        <v>14</v>
      </c>
      <c r="F2532" s="1" t="s">
        <v>15</v>
      </c>
      <c r="G2532" s="1" t="s">
        <v>16</v>
      </c>
      <c r="H2532" s="1" t="s">
        <v>17</v>
      </c>
      <c r="I2532" s="1" t="s">
        <v>41</v>
      </c>
      <c r="J2532">
        <v>15</v>
      </c>
      <c r="K2532">
        <v>26</v>
      </c>
      <c r="L2532" s="1" t="s">
        <v>19</v>
      </c>
    </row>
    <row r="2533" spans="1:12" x14ac:dyDescent="0.3">
      <c r="A2533" s="1" t="s">
        <v>695</v>
      </c>
      <c r="B2533" s="2">
        <v>45821</v>
      </c>
      <c r="C2533" s="2">
        <v>45879</v>
      </c>
      <c r="D2533" s="1" t="s">
        <v>13</v>
      </c>
      <c r="E2533" s="1" t="s">
        <v>24</v>
      </c>
      <c r="F2533" s="1" t="s">
        <v>15</v>
      </c>
      <c r="G2533" s="1" t="s">
        <v>16</v>
      </c>
      <c r="H2533" s="1" t="s">
        <v>17</v>
      </c>
      <c r="I2533" s="1" t="s">
        <v>41</v>
      </c>
      <c r="J2533">
        <v>45</v>
      </c>
      <c r="K2533">
        <v>58</v>
      </c>
      <c r="L2533" s="1" t="s">
        <v>80</v>
      </c>
    </row>
    <row r="2534" spans="1:12" x14ac:dyDescent="0.3">
      <c r="A2534" s="1" t="s">
        <v>706</v>
      </c>
      <c r="B2534" s="2">
        <v>45821</v>
      </c>
      <c r="C2534" s="2">
        <v>45841</v>
      </c>
      <c r="D2534" s="1" t="s">
        <v>28</v>
      </c>
      <c r="E2534" s="1" t="s">
        <v>14</v>
      </c>
      <c r="F2534" s="1" t="s">
        <v>15</v>
      </c>
      <c r="G2534" s="1" t="s">
        <v>53</v>
      </c>
      <c r="H2534" s="1" t="s">
        <v>54</v>
      </c>
      <c r="I2534" s="1" t="s">
        <v>18</v>
      </c>
      <c r="J2534">
        <v>30</v>
      </c>
      <c r="K2534">
        <v>20</v>
      </c>
      <c r="L2534" s="1" t="s">
        <v>19</v>
      </c>
    </row>
    <row r="2535" spans="1:12" x14ac:dyDescent="0.3">
      <c r="A2535" s="1" t="s">
        <v>1406</v>
      </c>
      <c r="B2535" s="2">
        <v>45821</v>
      </c>
      <c r="C2535" s="2">
        <v>45844</v>
      </c>
      <c r="D2535" s="1" t="s">
        <v>23</v>
      </c>
      <c r="E2535" s="1" t="s">
        <v>14</v>
      </c>
      <c r="F2535" s="1" t="s">
        <v>15</v>
      </c>
      <c r="G2535" s="1" t="s">
        <v>16</v>
      </c>
      <c r="H2535" s="1" t="s">
        <v>25</v>
      </c>
      <c r="I2535" s="1" t="s">
        <v>41</v>
      </c>
      <c r="J2535">
        <v>15</v>
      </c>
      <c r="K2535">
        <v>23</v>
      </c>
      <c r="L2535" s="1" t="s">
        <v>19</v>
      </c>
    </row>
    <row r="2536" spans="1:12" x14ac:dyDescent="0.3">
      <c r="A2536" s="1" t="s">
        <v>1838</v>
      </c>
      <c r="B2536" s="2">
        <v>45821</v>
      </c>
      <c r="C2536" s="2">
        <v>45823</v>
      </c>
      <c r="D2536" s="1" t="s">
        <v>28</v>
      </c>
      <c r="E2536" s="1" t="s">
        <v>24</v>
      </c>
      <c r="F2536" s="1" t="s">
        <v>15</v>
      </c>
      <c r="G2536" s="1" t="s">
        <v>16</v>
      </c>
      <c r="H2536" s="1" t="s">
        <v>29</v>
      </c>
      <c r="I2536" s="1" t="s">
        <v>41</v>
      </c>
      <c r="J2536">
        <v>30</v>
      </c>
      <c r="K2536">
        <v>2</v>
      </c>
      <c r="L2536" s="1" t="s">
        <v>30</v>
      </c>
    </row>
    <row r="2537" spans="1:12" x14ac:dyDescent="0.3">
      <c r="A2537" s="1" t="s">
        <v>2158</v>
      </c>
      <c r="B2537" s="2">
        <v>45821</v>
      </c>
      <c r="C2537" s="2">
        <v>45891</v>
      </c>
      <c r="D2537" s="1" t="s">
        <v>28</v>
      </c>
      <c r="E2537" s="1" t="s">
        <v>14</v>
      </c>
      <c r="F2537" s="1" t="s">
        <v>15</v>
      </c>
      <c r="G2537" s="1" t="s">
        <v>16</v>
      </c>
      <c r="H2537" s="1" t="s">
        <v>54</v>
      </c>
      <c r="I2537" s="1" t="s">
        <v>26</v>
      </c>
      <c r="J2537">
        <v>15</v>
      </c>
      <c r="K2537">
        <v>70</v>
      </c>
      <c r="L2537" s="1" t="s">
        <v>80</v>
      </c>
    </row>
    <row r="2538" spans="1:12" x14ac:dyDescent="0.3">
      <c r="A2538" s="1" t="s">
        <v>2391</v>
      </c>
      <c r="B2538" s="2">
        <v>45821</v>
      </c>
      <c r="C2538" s="2">
        <v>45837</v>
      </c>
      <c r="D2538" s="1" t="s">
        <v>23</v>
      </c>
      <c r="E2538" s="1" t="s">
        <v>24</v>
      </c>
      <c r="F2538" s="1" t="s">
        <v>15</v>
      </c>
      <c r="G2538" s="1" t="s">
        <v>16</v>
      </c>
      <c r="H2538" s="1" t="s">
        <v>25</v>
      </c>
      <c r="I2538" s="1" t="s">
        <v>26</v>
      </c>
      <c r="J2538">
        <v>30</v>
      </c>
      <c r="K2538">
        <v>16</v>
      </c>
      <c r="L2538" s="1" t="s">
        <v>19</v>
      </c>
    </row>
    <row r="2539" spans="1:12" x14ac:dyDescent="0.3">
      <c r="A2539" s="1" t="s">
        <v>914</v>
      </c>
      <c r="B2539" s="2">
        <v>45821</v>
      </c>
      <c r="C2539" s="2">
        <v>45874</v>
      </c>
      <c r="D2539" s="1" t="s">
        <v>37</v>
      </c>
      <c r="E2539" s="1" t="s">
        <v>24</v>
      </c>
      <c r="F2539" s="1" t="s">
        <v>15</v>
      </c>
      <c r="G2539" s="1" t="s">
        <v>16</v>
      </c>
      <c r="H2539" s="1" t="s">
        <v>39</v>
      </c>
      <c r="I2539" s="1" t="s">
        <v>41</v>
      </c>
      <c r="J2539">
        <v>30</v>
      </c>
      <c r="K2539">
        <v>53</v>
      </c>
      <c r="L2539" s="1" t="s">
        <v>44</v>
      </c>
    </row>
    <row r="2540" spans="1:12" x14ac:dyDescent="0.3">
      <c r="A2540" s="1" t="s">
        <v>2942</v>
      </c>
      <c r="B2540" s="2">
        <v>45821</v>
      </c>
      <c r="C2540" s="2">
        <v>45859</v>
      </c>
      <c r="D2540" s="1" t="s">
        <v>37</v>
      </c>
      <c r="E2540" s="1" t="s">
        <v>24</v>
      </c>
      <c r="F2540" s="1" t="s">
        <v>15</v>
      </c>
      <c r="G2540" s="1" t="s">
        <v>33</v>
      </c>
      <c r="H2540" s="1" t="s">
        <v>39</v>
      </c>
      <c r="I2540" s="1" t="s">
        <v>26</v>
      </c>
      <c r="J2540">
        <v>45</v>
      </c>
      <c r="K2540">
        <v>38</v>
      </c>
      <c r="L2540" s="1" t="s">
        <v>21</v>
      </c>
    </row>
    <row r="2541" spans="1:12" x14ac:dyDescent="0.3">
      <c r="A2541" s="1" t="s">
        <v>2685</v>
      </c>
      <c r="B2541" s="2">
        <v>45821</v>
      </c>
      <c r="C2541" s="2">
        <v>45865</v>
      </c>
      <c r="D2541" s="1" t="s">
        <v>23</v>
      </c>
      <c r="E2541" s="1" t="s">
        <v>24</v>
      </c>
      <c r="F2541" s="1" t="s">
        <v>15</v>
      </c>
      <c r="G2541" s="1" t="s">
        <v>16</v>
      </c>
      <c r="H2541" s="1" t="s">
        <v>25</v>
      </c>
      <c r="I2541" s="1" t="s">
        <v>26</v>
      </c>
      <c r="J2541">
        <v>30</v>
      </c>
      <c r="K2541">
        <v>44</v>
      </c>
      <c r="L2541" s="1" t="s">
        <v>44</v>
      </c>
    </row>
    <row r="2542" spans="1:12" x14ac:dyDescent="0.3">
      <c r="A2542" s="1" t="s">
        <v>468</v>
      </c>
      <c r="B2542" s="2">
        <v>45820</v>
      </c>
      <c r="C2542" s="2">
        <v>45849</v>
      </c>
      <c r="D2542" s="1" t="s">
        <v>13</v>
      </c>
      <c r="E2542" s="1" t="s">
        <v>14</v>
      </c>
      <c r="F2542" s="1" t="s">
        <v>15</v>
      </c>
      <c r="G2542" s="1" t="s">
        <v>16</v>
      </c>
      <c r="H2542" s="1" t="s">
        <v>47</v>
      </c>
      <c r="I2542" s="1" t="s">
        <v>26</v>
      </c>
      <c r="J2542">
        <v>15</v>
      </c>
      <c r="K2542">
        <v>29</v>
      </c>
      <c r="L2542" s="1" t="s">
        <v>21</v>
      </c>
    </row>
    <row r="2543" spans="1:12" x14ac:dyDescent="0.3">
      <c r="A2543" s="1" t="s">
        <v>880</v>
      </c>
      <c r="B2543" s="2">
        <v>45820</v>
      </c>
      <c r="C2543" s="2">
        <v>45851</v>
      </c>
      <c r="D2543" s="1" t="s">
        <v>23</v>
      </c>
      <c r="E2543" s="1" t="s">
        <v>24</v>
      </c>
      <c r="F2543" s="1" t="s">
        <v>15</v>
      </c>
      <c r="G2543" s="1" t="s">
        <v>16</v>
      </c>
      <c r="H2543" s="1" t="s">
        <v>25</v>
      </c>
      <c r="I2543" s="1" t="s">
        <v>26</v>
      </c>
      <c r="J2543">
        <v>30</v>
      </c>
      <c r="K2543">
        <v>31</v>
      </c>
      <c r="L2543" s="1" t="s">
        <v>21</v>
      </c>
    </row>
    <row r="2544" spans="1:12" x14ac:dyDescent="0.3">
      <c r="A2544" s="1" t="s">
        <v>1127</v>
      </c>
      <c r="B2544" s="2">
        <v>45820</v>
      </c>
      <c r="C2544" s="2">
        <v>45881</v>
      </c>
      <c r="D2544" s="1" t="s">
        <v>28</v>
      </c>
      <c r="E2544" s="1" t="s">
        <v>14</v>
      </c>
      <c r="F2544" s="1" t="s">
        <v>15</v>
      </c>
      <c r="G2544" s="1" t="s">
        <v>16</v>
      </c>
      <c r="H2544" s="1" t="s">
        <v>29</v>
      </c>
      <c r="I2544" s="1" t="s">
        <v>41</v>
      </c>
      <c r="J2544">
        <v>30</v>
      </c>
      <c r="K2544">
        <v>61</v>
      </c>
      <c r="L2544" s="1" t="s">
        <v>80</v>
      </c>
    </row>
    <row r="2545" spans="1:12" x14ac:dyDescent="0.3">
      <c r="A2545" s="1" t="s">
        <v>1746</v>
      </c>
      <c r="B2545" s="2">
        <v>45820</v>
      </c>
      <c r="C2545" s="2">
        <v>45884</v>
      </c>
      <c r="D2545" s="1" t="s">
        <v>32</v>
      </c>
      <c r="E2545" s="1" t="s">
        <v>14</v>
      </c>
      <c r="F2545" s="1" t="s">
        <v>15</v>
      </c>
      <c r="G2545" s="1" t="s">
        <v>16</v>
      </c>
      <c r="H2545" s="1" t="s">
        <v>34</v>
      </c>
      <c r="I2545" s="1" t="s">
        <v>18</v>
      </c>
      <c r="J2545">
        <v>30</v>
      </c>
      <c r="K2545">
        <v>64</v>
      </c>
      <c r="L2545" s="1" t="s">
        <v>80</v>
      </c>
    </row>
    <row r="2546" spans="1:12" x14ac:dyDescent="0.3">
      <c r="A2546" s="1" t="s">
        <v>1829</v>
      </c>
      <c r="B2546" s="2">
        <v>45820</v>
      </c>
      <c r="C2546" s="2">
        <v>45859</v>
      </c>
      <c r="D2546" s="1" t="s">
        <v>13</v>
      </c>
      <c r="E2546" s="1" t="s">
        <v>24</v>
      </c>
      <c r="F2546" s="1" t="s">
        <v>15</v>
      </c>
      <c r="G2546" s="1" t="s">
        <v>53</v>
      </c>
      <c r="H2546" s="1" t="s">
        <v>47</v>
      </c>
      <c r="I2546" s="1" t="s">
        <v>26</v>
      </c>
      <c r="J2546">
        <v>45</v>
      </c>
      <c r="K2546">
        <v>39</v>
      </c>
      <c r="L2546" s="1" t="s">
        <v>21</v>
      </c>
    </row>
    <row r="2547" spans="1:12" x14ac:dyDescent="0.3">
      <c r="A2547" s="1" t="s">
        <v>2136</v>
      </c>
      <c r="B2547" s="2">
        <v>45820</v>
      </c>
      <c r="C2547" s="2">
        <v>45867</v>
      </c>
      <c r="D2547" s="1" t="s">
        <v>13</v>
      </c>
      <c r="E2547" s="1" t="s">
        <v>24</v>
      </c>
      <c r="F2547" s="1" t="s">
        <v>15</v>
      </c>
      <c r="G2547" s="1" t="s">
        <v>16</v>
      </c>
      <c r="H2547" s="1" t="s">
        <v>47</v>
      </c>
      <c r="I2547" s="1" t="s">
        <v>18</v>
      </c>
      <c r="J2547">
        <v>30</v>
      </c>
      <c r="K2547">
        <v>47</v>
      </c>
      <c r="L2547" s="1" t="s">
        <v>44</v>
      </c>
    </row>
    <row r="2548" spans="1:12" x14ac:dyDescent="0.3">
      <c r="A2548" s="1" t="s">
        <v>2553</v>
      </c>
      <c r="B2548" s="2">
        <v>45820</v>
      </c>
      <c r="C2548" s="2">
        <v>45851</v>
      </c>
      <c r="D2548" s="1" t="s">
        <v>23</v>
      </c>
      <c r="E2548" s="1" t="s">
        <v>24</v>
      </c>
      <c r="F2548" s="1" t="s">
        <v>15</v>
      </c>
      <c r="G2548" s="1" t="s">
        <v>16</v>
      </c>
      <c r="H2548" s="1" t="s">
        <v>43</v>
      </c>
      <c r="I2548" s="1" t="s">
        <v>41</v>
      </c>
      <c r="J2548">
        <v>30</v>
      </c>
      <c r="K2548">
        <v>31</v>
      </c>
      <c r="L2548" s="1" t="s">
        <v>21</v>
      </c>
    </row>
    <row r="2549" spans="1:12" x14ac:dyDescent="0.3">
      <c r="A2549" s="1" t="s">
        <v>143</v>
      </c>
      <c r="B2549" s="2">
        <v>45820</v>
      </c>
      <c r="C2549" s="2">
        <v>45835</v>
      </c>
      <c r="D2549" s="1" t="s">
        <v>37</v>
      </c>
      <c r="E2549" s="1" t="s">
        <v>24</v>
      </c>
      <c r="F2549" s="1" t="s">
        <v>15</v>
      </c>
      <c r="G2549" s="1" t="s">
        <v>16</v>
      </c>
      <c r="H2549" s="1" t="s">
        <v>49</v>
      </c>
      <c r="I2549" s="1" t="s">
        <v>41</v>
      </c>
      <c r="J2549">
        <v>45</v>
      </c>
      <c r="K2549">
        <v>15</v>
      </c>
      <c r="L2549" s="1" t="s">
        <v>19</v>
      </c>
    </row>
    <row r="2550" spans="1:12" x14ac:dyDescent="0.3">
      <c r="A2550" s="1" t="s">
        <v>2787</v>
      </c>
      <c r="B2550" s="2">
        <v>45820</v>
      </c>
      <c r="C2550" s="2">
        <v>45855</v>
      </c>
      <c r="D2550" s="1" t="s">
        <v>23</v>
      </c>
      <c r="E2550" s="1" t="s">
        <v>24</v>
      </c>
      <c r="F2550" s="1" t="s">
        <v>15</v>
      </c>
      <c r="G2550" s="1" t="s">
        <v>16</v>
      </c>
      <c r="H2550" s="1" t="s">
        <v>43</v>
      </c>
      <c r="I2550" s="1" t="s">
        <v>41</v>
      </c>
      <c r="J2550">
        <v>30</v>
      </c>
      <c r="K2550">
        <v>35</v>
      </c>
      <c r="L2550" s="1" t="s">
        <v>21</v>
      </c>
    </row>
    <row r="2551" spans="1:12" x14ac:dyDescent="0.3">
      <c r="A2551" s="1" t="s">
        <v>2855</v>
      </c>
      <c r="B2551" s="2">
        <v>45820</v>
      </c>
      <c r="C2551" s="2">
        <v>45834</v>
      </c>
      <c r="D2551" s="1" t="s">
        <v>23</v>
      </c>
      <c r="E2551" s="1" t="s">
        <v>24</v>
      </c>
      <c r="F2551" s="1" t="s">
        <v>15</v>
      </c>
      <c r="G2551" s="1" t="s">
        <v>16</v>
      </c>
      <c r="H2551" s="1" t="s">
        <v>25</v>
      </c>
      <c r="I2551" s="1" t="s">
        <v>18</v>
      </c>
      <c r="J2551">
        <v>30</v>
      </c>
      <c r="K2551">
        <v>14</v>
      </c>
      <c r="L2551" s="1" t="s">
        <v>30</v>
      </c>
    </row>
    <row r="2552" spans="1:12" x14ac:dyDescent="0.3">
      <c r="A2552" s="1" t="s">
        <v>2857</v>
      </c>
      <c r="B2552" s="2">
        <v>45820</v>
      </c>
      <c r="C2552" s="2">
        <v>45870</v>
      </c>
      <c r="D2552" s="1" t="s">
        <v>28</v>
      </c>
      <c r="E2552" s="1" t="s">
        <v>14</v>
      </c>
      <c r="F2552" s="1" t="s">
        <v>38</v>
      </c>
      <c r="G2552" s="1" t="s">
        <v>53</v>
      </c>
      <c r="H2552" s="1" t="s">
        <v>54</v>
      </c>
      <c r="I2552" s="1" t="s">
        <v>41</v>
      </c>
      <c r="J2552">
        <v>15</v>
      </c>
      <c r="K2552">
        <v>50</v>
      </c>
      <c r="L2552" s="1" t="s">
        <v>44</v>
      </c>
    </row>
    <row r="2553" spans="1:12" x14ac:dyDescent="0.3">
      <c r="A2553" s="1" t="s">
        <v>3066</v>
      </c>
      <c r="B2553" s="2">
        <v>45820</v>
      </c>
      <c r="C2553" s="2">
        <v>45878</v>
      </c>
      <c r="D2553" s="1" t="s">
        <v>32</v>
      </c>
      <c r="E2553" s="1" t="s">
        <v>24</v>
      </c>
      <c r="F2553" s="1" t="s">
        <v>15</v>
      </c>
      <c r="G2553" s="1" t="s">
        <v>53</v>
      </c>
      <c r="H2553" s="1" t="s">
        <v>71</v>
      </c>
      <c r="I2553" s="1" t="s">
        <v>26</v>
      </c>
      <c r="J2553">
        <v>45</v>
      </c>
      <c r="K2553">
        <v>58</v>
      </c>
      <c r="L2553" s="1" t="s">
        <v>80</v>
      </c>
    </row>
    <row r="2554" spans="1:12" x14ac:dyDescent="0.3">
      <c r="A2554" s="1" t="s">
        <v>1035</v>
      </c>
      <c r="B2554" s="2">
        <v>45819</v>
      </c>
      <c r="C2554" s="2">
        <v>45846</v>
      </c>
      <c r="D2554" s="1" t="s">
        <v>32</v>
      </c>
      <c r="E2554" s="1" t="s">
        <v>24</v>
      </c>
      <c r="F2554" s="1" t="s">
        <v>38</v>
      </c>
      <c r="G2554" s="1" t="s">
        <v>16</v>
      </c>
      <c r="H2554" s="1" t="s">
        <v>34</v>
      </c>
      <c r="I2554" s="1" t="s">
        <v>18</v>
      </c>
      <c r="J2554">
        <v>30</v>
      </c>
      <c r="K2554">
        <v>27</v>
      </c>
      <c r="L2554" s="1" t="s">
        <v>19</v>
      </c>
    </row>
    <row r="2555" spans="1:12" x14ac:dyDescent="0.3">
      <c r="A2555" s="1" t="s">
        <v>1812</v>
      </c>
      <c r="B2555" s="2">
        <v>45819</v>
      </c>
      <c r="C2555" s="2">
        <v>45849</v>
      </c>
      <c r="D2555" s="1" t="s">
        <v>23</v>
      </c>
      <c r="E2555" s="1" t="s">
        <v>24</v>
      </c>
      <c r="F2555" s="1" t="s">
        <v>15</v>
      </c>
      <c r="G2555" s="1" t="s">
        <v>16</v>
      </c>
      <c r="H2555" s="1" t="s">
        <v>25</v>
      </c>
      <c r="I2555" s="1" t="s">
        <v>18</v>
      </c>
      <c r="J2555">
        <v>45</v>
      </c>
      <c r="K2555">
        <v>30</v>
      </c>
      <c r="L2555" s="1" t="s">
        <v>21</v>
      </c>
    </row>
    <row r="2556" spans="1:12" x14ac:dyDescent="0.3">
      <c r="A2556" s="1" t="s">
        <v>2508</v>
      </c>
      <c r="B2556" s="2">
        <v>45819</v>
      </c>
      <c r="C2556" s="2">
        <v>45836</v>
      </c>
      <c r="D2556" s="1" t="s">
        <v>23</v>
      </c>
      <c r="E2556" s="1" t="s">
        <v>14</v>
      </c>
      <c r="F2556" s="1" t="s">
        <v>15</v>
      </c>
      <c r="G2556" s="1" t="s">
        <v>53</v>
      </c>
      <c r="H2556" s="1" t="s">
        <v>25</v>
      </c>
      <c r="I2556" s="1" t="s">
        <v>41</v>
      </c>
      <c r="J2556">
        <v>15</v>
      </c>
      <c r="K2556">
        <v>17</v>
      </c>
      <c r="L2556" s="1" t="s">
        <v>19</v>
      </c>
    </row>
    <row r="2557" spans="1:12" x14ac:dyDescent="0.3">
      <c r="A2557" s="1" t="s">
        <v>3224</v>
      </c>
      <c r="B2557" s="2">
        <v>45819</v>
      </c>
      <c r="C2557" s="2">
        <v>45851</v>
      </c>
      <c r="D2557" s="1" t="s">
        <v>37</v>
      </c>
      <c r="E2557" s="1" t="s">
        <v>24</v>
      </c>
      <c r="F2557" s="1" t="s">
        <v>15</v>
      </c>
      <c r="G2557" s="1" t="s">
        <v>16</v>
      </c>
      <c r="H2557" s="1" t="s">
        <v>49</v>
      </c>
      <c r="I2557" s="1" t="s">
        <v>41</v>
      </c>
      <c r="J2557">
        <v>45</v>
      </c>
      <c r="K2557">
        <v>32</v>
      </c>
      <c r="L2557" s="1" t="s">
        <v>21</v>
      </c>
    </row>
    <row r="2558" spans="1:12" x14ac:dyDescent="0.3">
      <c r="A2558" s="1" t="s">
        <v>440</v>
      </c>
      <c r="B2558" s="2">
        <v>45819</v>
      </c>
      <c r="C2558" s="2">
        <v>45832</v>
      </c>
      <c r="D2558" s="1" t="s">
        <v>37</v>
      </c>
      <c r="E2558" s="1" t="s">
        <v>24</v>
      </c>
      <c r="F2558" s="1" t="s">
        <v>15</v>
      </c>
      <c r="G2558" s="1" t="s">
        <v>16</v>
      </c>
      <c r="H2558" s="1" t="s">
        <v>39</v>
      </c>
      <c r="I2558" s="1" t="s">
        <v>26</v>
      </c>
      <c r="J2558">
        <v>45</v>
      </c>
      <c r="K2558">
        <v>13</v>
      </c>
      <c r="L2558" s="1" t="s">
        <v>30</v>
      </c>
    </row>
    <row r="2559" spans="1:12" x14ac:dyDescent="0.3">
      <c r="A2559" s="1" t="s">
        <v>2932</v>
      </c>
      <c r="B2559" s="2">
        <v>45819</v>
      </c>
      <c r="C2559" s="2">
        <v>45854</v>
      </c>
      <c r="D2559" s="1" t="s">
        <v>13</v>
      </c>
      <c r="E2559" s="1" t="s">
        <v>14</v>
      </c>
      <c r="F2559" s="1" t="s">
        <v>15</v>
      </c>
      <c r="G2559" s="1" t="s">
        <v>16</v>
      </c>
      <c r="H2559" s="1" t="s">
        <v>17</v>
      </c>
      <c r="I2559" s="1" t="s">
        <v>41</v>
      </c>
      <c r="J2559">
        <v>30</v>
      </c>
      <c r="K2559">
        <v>35</v>
      </c>
      <c r="L2559" s="1" t="s">
        <v>21</v>
      </c>
    </row>
    <row r="2560" spans="1:12" x14ac:dyDescent="0.3">
      <c r="A2560" s="1" t="s">
        <v>3082</v>
      </c>
      <c r="B2560" s="2">
        <v>45819</v>
      </c>
      <c r="C2560" s="2">
        <v>45888</v>
      </c>
      <c r="D2560" s="1" t="s">
        <v>23</v>
      </c>
      <c r="E2560" s="1" t="s">
        <v>24</v>
      </c>
      <c r="F2560" s="1" t="s">
        <v>15</v>
      </c>
      <c r="G2560" s="1" t="s">
        <v>16</v>
      </c>
      <c r="H2560" s="1" t="s">
        <v>43</v>
      </c>
      <c r="I2560" s="1" t="s">
        <v>18</v>
      </c>
      <c r="J2560">
        <v>45</v>
      </c>
      <c r="K2560">
        <v>69</v>
      </c>
      <c r="L2560" s="1" t="s">
        <v>80</v>
      </c>
    </row>
    <row r="2561" spans="1:12" x14ac:dyDescent="0.3">
      <c r="A2561" s="1" t="s">
        <v>3195</v>
      </c>
      <c r="B2561" s="2">
        <v>45819</v>
      </c>
      <c r="C2561" s="2">
        <v>45873</v>
      </c>
      <c r="D2561" s="1" t="s">
        <v>28</v>
      </c>
      <c r="E2561" s="1" t="s">
        <v>24</v>
      </c>
      <c r="F2561" s="1" t="s">
        <v>15</v>
      </c>
      <c r="G2561" s="1" t="s">
        <v>16</v>
      </c>
      <c r="H2561" s="1" t="s">
        <v>29</v>
      </c>
      <c r="I2561" s="1" t="s">
        <v>26</v>
      </c>
      <c r="J2561">
        <v>30</v>
      </c>
      <c r="K2561">
        <v>54</v>
      </c>
      <c r="L2561" s="1" t="s">
        <v>44</v>
      </c>
    </row>
    <row r="2562" spans="1:12" x14ac:dyDescent="0.3">
      <c r="A2562" s="1" t="s">
        <v>93</v>
      </c>
      <c r="B2562" s="2">
        <v>45818</v>
      </c>
      <c r="C2562" s="2">
        <v>45848</v>
      </c>
      <c r="D2562" s="1" t="s">
        <v>13</v>
      </c>
      <c r="E2562" s="1" t="s">
        <v>14</v>
      </c>
      <c r="F2562" s="1" t="s">
        <v>38</v>
      </c>
      <c r="G2562" s="1" t="s">
        <v>16</v>
      </c>
      <c r="H2562" s="1" t="s">
        <v>47</v>
      </c>
      <c r="I2562" s="1" t="s">
        <v>41</v>
      </c>
      <c r="J2562">
        <v>30</v>
      </c>
      <c r="K2562">
        <v>30</v>
      </c>
      <c r="L2562" s="1" t="s">
        <v>21</v>
      </c>
    </row>
    <row r="2563" spans="1:12" x14ac:dyDescent="0.3">
      <c r="A2563" s="1" t="s">
        <v>585</v>
      </c>
      <c r="B2563" s="2">
        <v>45818</v>
      </c>
      <c r="C2563" s="2">
        <v>45840</v>
      </c>
      <c r="D2563" s="1" t="s">
        <v>13</v>
      </c>
      <c r="E2563" s="1" t="s">
        <v>14</v>
      </c>
      <c r="F2563" s="1" t="s">
        <v>15</v>
      </c>
      <c r="G2563" s="1" t="s">
        <v>33</v>
      </c>
      <c r="H2563" s="1" t="s">
        <v>17</v>
      </c>
      <c r="I2563" s="1" t="s">
        <v>41</v>
      </c>
      <c r="J2563">
        <v>30</v>
      </c>
      <c r="K2563">
        <v>22</v>
      </c>
      <c r="L2563" s="1" t="s">
        <v>19</v>
      </c>
    </row>
    <row r="2564" spans="1:12" x14ac:dyDescent="0.3">
      <c r="A2564" s="1" t="s">
        <v>930</v>
      </c>
      <c r="B2564" s="2">
        <v>45818</v>
      </c>
      <c r="C2564" s="2">
        <v>45844</v>
      </c>
      <c r="D2564" s="1" t="s">
        <v>28</v>
      </c>
      <c r="E2564" s="1" t="s">
        <v>24</v>
      </c>
      <c r="F2564" s="1" t="s">
        <v>15</v>
      </c>
      <c r="G2564" s="1" t="s">
        <v>53</v>
      </c>
      <c r="H2564" s="1" t="s">
        <v>54</v>
      </c>
      <c r="I2564" s="1" t="s">
        <v>18</v>
      </c>
      <c r="J2564">
        <v>45</v>
      </c>
      <c r="K2564">
        <v>26</v>
      </c>
      <c r="L2564" s="1" t="s">
        <v>19</v>
      </c>
    </row>
    <row r="2565" spans="1:12" x14ac:dyDescent="0.3">
      <c r="A2565" s="1" t="s">
        <v>1155</v>
      </c>
      <c r="B2565" s="2">
        <v>45818</v>
      </c>
      <c r="C2565" s="2">
        <v>45844</v>
      </c>
      <c r="D2565" s="1" t="s">
        <v>23</v>
      </c>
      <c r="E2565" s="1" t="s">
        <v>14</v>
      </c>
      <c r="F2565" s="1" t="s">
        <v>15</v>
      </c>
      <c r="G2565" s="1" t="s">
        <v>16</v>
      </c>
      <c r="H2565" s="1" t="s">
        <v>25</v>
      </c>
      <c r="I2565" s="1" t="s">
        <v>18</v>
      </c>
      <c r="J2565">
        <v>15</v>
      </c>
      <c r="K2565">
        <v>26</v>
      </c>
      <c r="L2565" s="1" t="s">
        <v>19</v>
      </c>
    </row>
    <row r="2566" spans="1:12" x14ac:dyDescent="0.3">
      <c r="A2566" s="1" t="s">
        <v>2262</v>
      </c>
      <c r="B2566" s="2">
        <v>45818</v>
      </c>
      <c r="C2566" s="2">
        <v>45820</v>
      </c>
      <c r="D2566" s="1" t="s">
        <v>13</v>
      </c>
      <c r="E2566" s="1" t="s">
        <v>14</v>
      </c>
      <c r="F2566" s="1" t="s">
        <v>15</v>
      </c>
      <c r="G2566" s="1" t="s">
        <v>16</v>
      </c>
      <c r="H2566" s="1" t="s">
        <v>47</v>
      </c>
      <c r="I2566" s="1" t="s">
        <v>26</v>
      </c>
      <c r="J2566">
        <v>15</v>
      </c>
      <c r="K2566">
        <v>2</v>
      </c>
      <c r="L2566" s="1" t="s">
        <v>30</v>
      </c>
    </row>
    <row r="2567" spans="1:12" x14ac:dyDescent="0.3">
      <c r="A2567" s="1" t="s">
        <v>2596</v>
      </c>
      <c r="B2567" s="2">
        <v>45818</v>
      </c>
      <c r="C2567" s="2">
        <v>45862</v>
      </c>
      <c r="D2567" s="1" t="s">
        <v>32</v>
      </c>
      <c r="E2567" s="1" t="s">
        <v>24</v>
      </c>
      <c r="F2567" s="1" t="s">
        <v>15</v>
      </c>
      <c r="G2567" s="1" t="s">
        <v>16</v>
      </c>
      <c r="H2567" s="1" t="s">
        <v>71</v>
      </c>
      <c r="I2567" s="1" t="s">
        <v>41</v>
      </c>
      <c r="J2567">
        <v>30</v>
      </c>
      <c r="K2567">
        <v>44</v>
      </c>
      <c r="L2567" s="1" t="s">
        <v>44</v>
      </c>
    </row>
    <row r="2568" spans="1:12" x14ac:dyDescent="0.3">
      <c r="A2568" s="1" t="s">
        <v>1157</v>
      </c>
      <c r="B2568" s="2">
        <v>45818</v>
      </c>
      <c r="C2568" s="2">
        <v>45848</v>
      </c>
      <c r="D2568" s="1" t="s">
        <v>37</v>
      </c>
      <c r="E2568" s="1" t="s">
        <v>14</v>
      </c>
      <c r="F2568" s="1" t="s">
        <v>15</v>
      </c>
      <c r="G2568" s="1" t="s">
        <v>16</v>
      </c>
      <c r="H2568" s="1" t="s">
        <v>49</v>
      </c>
      <c r="I2568" s="1" t="s">
        <v>26</v>
      </c>
      <c r="J2568">
        <v>15</v>
      </c>
      <c r="K2568">
        <v>30</v>
      </c>
      <c r="L2568" s="1" t="s">
        <v>21</v>
      </c>
    </row>
    <row r="2569" spans="1:12" x14ac:dyDescent="0.3">
      <c r="A2569" s="1" t="s">
        <v>2893</v>
      </c>
      <c r="B2569" s="2">
        <v>45818</v>
      </c>
      <c r="C2569" s="2">
        <v>45878</v>
      </c>
      <c r="D2569" s="1" t="s">
        <v>32</v>
      </c>
      <c r="E2569" s="1" t="s">
        <v>14</v>
      </c>
      <c r="F2569" s="1" t="s">
        <v>38</v>
      </c>
      <c r="G2569" s="1" t="s">
        <v>16</v>
      </c>
      <c r="H2569" s="1" t="s">
        <v>34</v>
      </c>
      <c r="I2569" s="1" t="s">
        <v>18</v>
      </c>
      <c r="J2569">
        <v>15</v>
      </c>
      <c r="K2569">
        <v>60</v>
      </c>
      <c r="L2569" s="1" t="s">
        <v>80</v>
      </c>
    </row>
    <row r="2570" spans="1:12" x14ac:dyDescent="0.3">
      <c r="A2570" s="1" t="s">
        <v>2903</v>
      </c>
      <c r="B2570" s="2">
        <v>45818</v>
      </c>
      <c r="C2570" s="2">
        <v>45873</v>
      </c>
      <c r="D2570" s="1" t="s">
        <v>23</v>
      </c>
      <c r="E2570" s="1" t="s">
        <v>24</v>
      </c>
      <c r="F2570" s="1" t="s">
        <v>15</v>
      </c>
      <c r="G2570" s="1" t="s">
        <v>16</v>
      </c>
      <c r="H2570" s="1" t="s">
        <v>25</v>
      </c>
      <c r="I2570" s="1" t="s">
        <v>18</v>
      </c>
      <c r="J2570">
        <v>45</v>
      </c>
      <c r="K2570">
        <v>55</v>
      </c>
      <c r="L2570" s="1" t="s">
        <v>44</v>
      </c>
    </row>
    <row r="2571" spans="1:12" x14ac:dyDescent="0.3">
      <c r="A2571" s="1" t="s">
        <v>3035</v>
      </c>
      <c r="B2571" s="2">
        <v>45818</v>
      </c>
      <c r="C2571" s="2">
        <v>45840</v>
      </c>
      <c r="D2571" s="1" t="s">
        <v>23</v>
      </c>
      <c r="E2571" s="1" t="s">
        <v>14</v>
      </c>
      <c r="F2571" s="1" t="s">
        <v>38</v>
      </c>
      <c r="G2571" s="1" t="s">
        <v>53</v>
      </c>
      <c r="H2571" s="1" t="s">
        <v>43</v>
      </c>
      <c r="I2571" s="1" t="s">
        <v>26</v>
      </c>
      <c r="J2571">
        <v>15</v>
      </c>
      <c r="K2571">
        <v>22</v>
      </c>
      <c r="L2571" s="1" t="s">
        <v>19</v>
      </c>
    </row>
    <row r="2572" spans="1:12" x14ac:dyDescent="0.3">
      <c r="A2572" s="1" t="s">
        <v>565</v>
      </c>
      <c r="B2572" s="2">
        <v>45817</v>
      </c>
      <c r="C2572" s="2">
        <v>45831</v>
      </c>
      <c r="D2572" s="1" t="s">
        <v>32</v>
      </c>
      <c r="E2572" s="1" t="s">
        <v>14</v>
      </c>
      <c r="F2572" s="1" t="s">
        <v>15</v>
      </c>
      <c r="G2572" s="1" t="s">
        <v>16</v>
      </c>
      <c r="H2572" s="1" t="s">
        <v>71</v>
      </c>
      <c r="I2572" s="1" t="s">
        <v>18</v>
      </c>
      <c r="J2572">
        <v>30</v>
      </c>
      <c r="K2572">
        <v>14</v>
      </c>
      <c r="L2572" s="1" t="s">
        <v>30</v>
      </c>
    </row>
    <row r="2573" spans="1:12" x14ac:dyDescent="0.3">
      <c r="A2573" s="1" t="s">
        <v>1220</v>
      </c>
      <c r="B2573" s="2">
        <v>45817</v>
      </c>
      <c r="C2573" s="2">
        <v>45847</v>
      </c>
      <c r="D2573" s="1" t="s">
        <v>23</v>
      </c>
      <c r="E2573" s="1" t="s">
        <v>24</v>
      </c>
      <c r="F2573" s="1" t="s">
        <v>38</v>
      </c>
      <c r="G2573" s="1" t="s">
        <v>16</v>
      </c>
      <c r="H2573" s="1" t="s">
        <v>25</v>
      </c>
      <c r="I2573" s="1" t="s">
        <v>18</v>
      </c>
      <c r="J2573">
        <v>30</v>
      </c>
      <c r="K2573">
        <v>30</v>
      </c>
      <c r="L2573" s="1" t="s">
        <v>21</v>
      </c>
    </row>
    <row r="2574" spans="1:12" x14ac:dyDescent="0.3">
      <c r="A2574" s="1" t="s">
        <v>1565</v>
      </c>
      <c r="B2574" s="2">
        <v>45817</v>
      </c>
      <c r="C2574" s="2">
        <v>45856</v>
      </c>
      <c r="D2574" s="1" t="s">
        <v>23</v>
      </c>
      <c r="E2574" s="1" t="s">
        <v>14</v>
      </c>
      <c r="F2574" s="1" t="s">
        <v>38</v>
      </c>
      <c r="G2574" s="1" t="s">
        <v>16</v>
      </c>
      <c r="H2574" s="1" t="s">
        <v>43</v>
      </c>
      <c r="I2574" s="1" t="s">
        <v>26</v>
      </c>
      <c r="J2574">
        <v>15</v>
      </c>
      <c r="K2574">
        <v>39</v>
      </c>
      <c r="L2574" s="1" t="s">
        <v>21</v>
      </c>
    </row>
    <row r="2575" spans="1:12" x14ac:dyDescent="0.3">
      <c r="A2575" s="1" t="s">
        <v>1693</v>
      </c>
      <c r="B2575" s="2">
        <v>45817</v>
      </c>
      <c r="C2575" s="2">
        <v>45852</v>
      </c>
      <c r="D2575" s="1" t="s">
        <v>28</v>
      </c>
      <c r="E2575" s="1" t="s">
        <v>14</v>
      </c>
      <c r="F2575" s="1" t="s">
        <v>15</v>
      </c>
      <c r="G2575" s="1" t="s">
        <v>16</v>
      </c>
      <c r="H2575" s="1" t="s">
        <v>54</v>
      </c>
      <c r="I2575" s="1" t="s">
        <v>26</v>
      </c>
      <c r="J2575">
        <v>15</v>
      </c>
      <c r="K2575">
        <v>35</v>
      </c>
      <c r="L2575" s="1" t="s">
        <v>21</v>
      </c>
    </row>
    <row r="2576" spans="1:12" x14ac:dyDescent="0.3">
      <c r="A2576" s="1" t="s">
        <v>2434</v>
      </c>
      <c r="B2576" s="2">
        <v>45817</v>
      </c>
      <c r="C2576" s="2">
        <v>45894</v>
      </c>
      <c r="D2576" s="1" t="s">
        <v>13</v>
      </c>
      <c r="E2576" s="1" t="s">
        <v>24</v>
      </c>
      <c r="F2576" s="1" t="s">
        <v>15</v>
      </c>
      <c r="G2576" s="1" t="s">
        <v>16</v>
      </c>
      <c r="H2576" s="1" t="s">
        <v>17</v>
      </c>
      <c r="I2576" s="1" t="s">
        <v>26</v>
      </c>
      <c r="J2576">
        <v>30</v>
      </c>
      <c r="K2576">
        <v>77</v>
      </c>
      <c r="L2576" s="1" t="s">
        <v>80</v>
      </c>
    </row>
    <row r="2577" spans="1:12" x14ac:dyDescent="0.3">
      <c r="A2577" s="1" t="s">
        <v>3236</v>
      </c>
      <c r="B2577" s="2">
        <v>45817</v>
      </c>
      <c r="C2577" s="2">
        <v>45826</v>
      </c>
      <c r="D2577" s="1" t="s">
        <v>28</v>
      </c>
      <c r="E2577" s="1" t="s">
        <v>24</v>
      </c>
      <c r="F2577" s="1" t="s">
        <v>15</v>
      </c>
      <c r="G2577" s="1" t="s">
        <v>16</v>
      </c>
      <c r="H2577" s="1" t="s">
        <v>54</v>
      </c>
      <c r="I2577" s="1" t="s">
        <v>26</v>
      </c>
      <c r="J2577">
        <v>45</v>
      </c>
      <c r="K2577">
        <v>9</v>
      </c>
      <c r="L2577" s="1" t="s">
        <v>30</v>
      </c>
    </row>
    <row r="2578" spans="1:12" x14ac:dyDescent="0.3">
      <c r="A2578" s="1" t="s">
        <v>113</v>
      </c>
      <c r="B2578" s="2">
        <v>45816</v>
      </c>
      <c r="C2578" s="2">
        <v>45836</v>
      </c>
      <c r="D2578" s="1" t="s">
        <v>32</v>
      </c>
      <c r="E2578" s="1" t="s">
        <v>24</v>
      </c>
      <c r="F2578" s="1" t="s">
        <v>38</v>
      </c>
      <c r="G2578" s="1" t="s">
        <v>16</v>
      </c>
      <c r="H2578" s="1" t="s">
        <v>71</v>
      </c>
      <c r="I2578" s="1" t="s">
        <v>41</v>
      </c>
      <c r="J2578">
        <v>30</v>
      </c>
      <c r="K2578">
        <v>20</v>
      </c>
      <c r="L2578" s="1" t="s">
        <v>19</v>
      </c>
    </row>
    <row r="2579" spans="1:12" x14ac:dyDescent="0.3">
      <c r="A2579" s="1" t="s">
        <v>294</v>
      </c>
      <c r="B2579" s="2">
        <v>45816</v>
      </c>
      <c r="C2579" s="2">
        <v>45855</v>
      </c>
      <c r="D2579" s="1" t="s">
        <v>13</v>
      </c>
      <c r="E2579" s="1" t="s">
        <v>24</v>
      </c>
      <c r="F2579" s="1" t="s">
        <v>15</v>
      </c>
      <c r="G2579" s="1" t="s">
        <v>16</v>
      </c>
      <c r="H2579" s="1" t="s">
        <v>47</v>
      </c>
      <c r="I2579" s="1" t="s">
        <v>26</v>
      </c>
      <c r="J2579">
        <v>30</v>
      </c>
      <c r="K2579">
        <v>39</v>
      </c>
      <c r="L2579" s="1" t="s">
        <v>21</v>
      </c>
    </row>
    <row r="2580" spans="1:12" x14ac:dyDescent="0.3">
      <c r="A2580" s="1" t="s">
        <v>1368</v>
      </c>
      <c r="B2580" s="2">
        <v>45816</v>
      </c>
      <c r="C2580" s="2">
        <v>45856</v>
      </c>
      <c r="D2580" s="1" t="s">
        <v>23</v>
      </c>
      <c r="E2580" s="1" t="s">
        <v>14</v>
      </c>
      <c r="F2580" s="1" t="s">
        <v>15</v>
      </c>
      <c r="G2580" s="1" t="s">
        <v>53</v>
      </c>
      <c r="H2580" s="1" t="s">
        <v>25</v>
      </c>
      <c r="I2580" s="1" t="s">
        <v>41</v>
      </c>
      <c r="J2580">
        <v>15</v>
      </c>
      <c r="K2580">
        <v>40</v>
      </c>
      <c r="L2580" s="1" t="s">
        <v>21</v>
      </c>
    </row>
    <row r="2581" spans="1:12" x14ac:dyDescent="0.3">
      <c r="A2581" s="1" t="s">
        <v>2002</v>
      </c>
      <c r="B2581" s="2">
        <v>45816</v>
      </c>
      <c r="C2581" s="2">
        <v>45862</v>
      </c>
      <c r="D2581" s="1" t="s">
        <v>32</v>
      </c>
      <c r="E2581" s="1" t="s">
        <v>14</v>
      </c>
      <c r="F2581" s="1" t="s">
        <v>15</v>
      </c>
      <c r="G2581" s="1" t="s">
        <v>53</v>
      </c>
      <c r="H2581" s="1" t="s">
        <v>34</v>
      </c>
      <c r="I2581" s="1" t="s">
        <v>26</v>
      </c>
      <c r="J2581">
        <v>15</v>
      </c>
      <c r="K2581">
        <v>46</v>
      </c>
      <c r="L2581" s="1" t="s">
        <v>44</v>
      </c>
    </row>
    <row r="2582" spans="1:12" x14ac:dyDescent="0.3">
      <c r="A2582" s="1" t="s">
        <v>2113</v>
      </c>
      <c r="B2582" s="2">
        <v>45816</v>
      </c>
      <c r="C2582" s="2">
        <v>45864</v>
      </c>
      <c r="D2582" s="1" t="s">
        <v>32</v>
      </c>
      <c r="E2582" s="1" t="s">
        <v>24</v>
      </c>
      <c r="F2582" s="1" t="s">
        <v>15</v>
      </c>
      <c r="G2582" s="1" t="s">
        <v>16</v>
      </c>
      <c r="H2582" s="1" t="s">
        <v>71</v>
      </c>
      <c r="I2582" s="1" t="s">
        <v>26</v>
      </c>
      <c r="J2582">
        <v>45</v>
      </c>
      <c r="K2582">
        <v>48</v>
      </c>
      <c r="L2582" s="1" t="s">
        <v>44</v>
      </c>
    </row>
    <row r="2583" spans="1:12" x14ac:dyDescent="0.3">
      <c r="A2583" s="1" t="s">
        <v>3087</v>
      </c>
      <c r="B2583" s="2">
        <v>45816</v>
      </c>
      <c r="C2583" s="2">
        <v>45848</v>
      </c>
      <c r="D2583" s="1" t="s">
        <v>37</v>
      </c>
      <c r="E2583" s="1" t="s">
        <v>14</v>
      </c>
      <c r="F2583" s="1" t="s">
        <v>38</v>
      </c>
      <c r="G2583" s="1" t="s">
        <v>16</v>
      </c>
      <c r="H2583" s="1" t="s">
        <v>49</v>
      </c>
      <c r="I2583" s="1" t="s">
        <v>18</v>
      </c>
      <c r="J2583">
        <v>15</v>
      </c>
      <c r="K2583">
        <v>32</v>
      </c>
      <c r="L2583" s="1" t="s">
        <v>21</v>
      </c>
    </row>
    <row r="2584" spans="1:12" x14ac:dyDescent="0.3">
      <c r="A2584" s="1" t="s">
        <v>2780</v>
      </c>
      <c r="B2584" s="2">
        <v>45816</v>
      </c>
      <c r="C2584" s="2">
        <v>45839</v>
      </c>
      <c r="D2584" s="1" t="s">
        <v>37</v>
      </c>
      <c r="E2584" s="1" t="s">
        <v>24</v>
      </c>
      <c r="F2584" s="1" t="s">
        <v>15</v>
      </c>
      <c r="G2584" s="1" t="s">
        <v>16</v>
      </c>
      <c r="H2584" s="1" t="s">
        <v>49</v>
      </c>
      <c r="I2584" s="1" t="s">
        <v>18</v>
      </c>
      <c r="J2584">
        <v>30</v>
      </c>
      <c r="K2584">
        <v>23</v>
      </c>
      <c r="L2584" s="1" t="s">
        <v>19</v>
      </c>
    </row>
    <row r="2585" spans="1:12" x14ac:dyDescent="0.3">
      <c r="A2585" s="1" t="s">
        <v>1576</v>
      </c>
      <c r="B2585" s="2">
        <v>45816</v>
      </c>
      <c r="C2585" s="2">
        <v>45836</v>
      </c>
      <c r="D2585" s="1" t="s">
        <v>37</v>
      </c>
      <c r="E2585" s="1" t="s">
        <v>14</v>
      </c>
      <c r="F2585" s="1" t="s">
        <v>15</v>
      </c>
      <c r="G2585" s="1" t="s">
        <v>16</v>
      </c>
      <c r="H2585" s="1" t="s">
        <v>49</v>
      </c>
      <c r="I2585" s="1" t="s">
        <v>41</v>
      </c>
      <c r="J2585">
        <v>15</v>
      </c>
      <c r="K2585">
        <v>20</v>
      </c>
      <c r="L2585" s="1" t="s">
        <v>19</v>
      </c>
    </row>
    <row r="2586" spans="1:12" x14ac:dyDescent="0.3">
      <c r="A2586" s="1" t="s">
        <v>2716</v>
      </c>
      <c r="B2586" s="2">
        <v>45816</v>
      </c>
      <c r="C2586" s="2">
        <v>45876</v>
      </c>
      <c r="D2586" s="1" t="s">
        <v>32</v>
      </c>
      <c r="E2586" s="1" t="s">
        <v>24</v>
      </c>
      <c r="F2586" s="1" t="s">
        <v>15</v>
      </c>
      <c r="G2586" s="1" t="s">
        <v>16</v>
      </c>
      <c r="H2586" s="1" t="s">
        <v>34</v>
      </c>
      <c r="I2586" s="1" t="s">
        <v>26</v>
      </c>
      <c r="J2586">
        <v>30</v>
      </c>
      <c r="K2586">
        <v>60</v>
      </c>
      <c r="L2586" s="1" t="s">
        <v>80</v>
      </c>
    </row>
    <row r="2587" spans="1:12" x14ac:dyDescent="0.3">
      <c r="A2587" s="1" t="s">
        <v>2852</v>
      </c>
      <c r="B2587" s="2">
        <v>45816</v>
      </c>
      <c r="C2587" s="2">
        <v>45864</v>
      </c>
      <c r="D2587" s="1" t="s">
        <v>32</v>
      </c>
      <c r="E2587" s="1" t="s">
        <v>14</v>
      </c>
      <c r="F2587" s="1" t="s">
        <v>15</v>
      </c>
      <c r="G2587" s="1" t="s">
        <v>16</v>
      </c>
      <c r="H2587" s="1" t="s">
        <v>71</v>
      </c>
      <c r="I2587" s="1" t="s">
        <v>26</v>
      </c>
      <c r="J2587">
        <v>30</v>
      </c>
      <c r="K2587">
        <v>48</v>
      </c>
      <c r="L2587" s="1" t="s">
        <v>44</v>
      </c>
    </row>
    <row r="2588" spans="1:12" x14ac:dyDescent="0.3">
      <c r="A2588" s="1" t="s">
        <v>2986</v>
      </c>
      <c r="B2588" s="2">
        <v>45816</v>
      </c>
      <c r="C2588" s="2">
        <v>45865</v>
      </c>
      <c r="D2588" s="1" t="s">
        <v>28</v>
      </c>
      <c r="E2588" s="1" t="s">
        <v>14</v>
      </c>
      <c r="F2588" s="1" t="s">
        <v>15</v>
      </c>
      <c r="G2588" s="1" t="s">
        <v>16</v>
      </c>
      <c r="H2588" s="1" t="s">
        <v>54</v>
      </c>
      <c r="I2588" s="1" t="s">
        <v>18</v>
      </c>
      <c r="J2588">
        <v>15</v>
      </c>
      <c r="K2588">
        <v>49</v>
      </c>
      <c r="L2588" s="1" t="s">
        <v>44</v>
      </c>
    </row>
    <row r="2589" spans="1:12" x14ac:dyDescent="0.3">
      <c r="A2589" s="1" t="s">
        <v>1387</v>
      </c>
      <c r="B2589" s="2">
        <v>45815</v>
      </c>
      <c r="C2589" s="2">
        <v>45842</v>
      </c>
      <c r="D2589" s="1" t="s">
        <v>28</v>
      </c>
      <c r="E2589" s="1" t="s">
        <v>14</v>
      </c>
      <c r="F2589" s="1" t="s">
        <v>15</v>
      </c>
      <c r="G2589" s="1" t="s">
        <v>16</v>
      </c>
      <c r="H2589" s="1" t="s">
        <v>54</v>
      </c>
      <c r="I2589" s="1" t="s">
        <v>18</v>
      </c>
      <c r="J2589">
        <v>30</v>
      </c>
      <c r="K2589">
        <v>27</v>
      </c>
      <c r="L2589" s="1" t="s">
        <v>19</v>
      </c>
    </row>
    <row r="2590" spans="1:12" x14ac:dyDescent="0.3">
      <c r="A2590" s="1" t="s">
        <v>1474</v>
      </c>
      <c r="B2590" s="2">
        <v>45815</v>
      </c>
      <c r="C2590" s="2">
        <v>45879</v>
      </c>
      <c r="D2590" s="1" t="s">
        <v>32</v>
      </c>
      <c r="E2590" s="1" t="s">
        <v>24</v>
      </c>
      <c r="F2590" s="1" t="s">
        <v>15</v>
      </c>
      <c r="G2590" s="1" t="s">
        <v>16</v>
      </c>
      <c r="H2590" s="1" t="s">
        <v>71</v>
      </c>
      <c r="I2590" s="1" t="s">
        <v>18</v>
      </c>
      <c r="J2590">
        <v>45</v>
      </c>
      <c r="K2590">
        <v>64</v>
      </c>
      <c r="L2590" s="1" t="s">
        <v>80</v>
      </c>
    </row>
    <row r="2591" spans="1:12" x14ac:dyDescent="0.3">
      <c r="A2591" s="1" t="s">
        <v>1840</v>
      </c>
      <c r="B2591" s="2">
        <v>45815</v>
      </c>
      <c r="C2591" s="2">
        <v>45840</v>
      </c>
      <c r="D2591" s="1" t="s">
        <v>23</v>
      </c>
      <c r="E2591" s="1" t="s">
        <v>24</v>
      </c>
      <c r="F2591" s="1" t="s">
        <v>38</v>
      </c>
      <c r="G2591" s="1" t="s">
        <v>16</v>
      </c>
      <c r="H2591" s="1" t="s">
        <v>43</v>
      </c>
      <c r="I2591" s="1" t="s">
        <v>26</v>
      </c>
      <c r="J2591">
        <v>30</v>
      </c>
      <c r="K2591">
        <v>25</v>
      </c>
      <c r="L2591" s="1" t="s">
        <v>19</v>
      </c>
    </row>
    <row r="2592" spans="1:12" x14ac:dyDescent="0.3">
      <c r="A2592" s="1" t="s">
        <v>2971</v>
      </c>
      <c r="B2592" s="2">
        <v>45815</v>
      </c>
      <c r="C2592" s="2">
        <v>45857</v>
      </c>
      <c r="D2592" s="1" t="s">
        <v>37</v>
      </c>
      <c r="E2592" s="1" t="s">
        <v>14</v>
      </c>
      <c r="F2592" s="1" t="s">
        <v>15</v>
      </c>
      <c r="G2592" s="1" t="s">
        <v>16</v>
      </c>
      <c r="H2592" s="1" t="s">
        <v>39</v>
      </c>
      <c r="I2592" s="1" t="s">
        <v>26</v>
      </c>
      <c r="J2592">
        <v>15</v>
      </c>
      <c r="K2592">
        <v>42</v>
      </c>
      <c r="L2592" s="1" t="s">
        <v>21</v>
      </c>
    </row>
    <row r="2593" spans="1:12" x14ac:dyDescent="0.3">
      <c r="A2593" s="1" t="s">
        <v>1933</v>
      </c>
      <c r="B2593" s="2">
        <v>45815</v>
      </c>
      <c r="C2593" s="2">
        <v>45821</v>
      </c>
      <c r="D2593" s="1" t="s">
        <v>37</v>
      </c>
      <c r="E2593" s="1" t="s">
        <v>24</v>
      </c>
      <c r="F2593" s="1" t="s">
        <v>15</v>
      </c>
      <c r="G2593" s="1" t="s">
        <v>16</v>
      </c>
      <c r="H2593" s="1" t="s">
        <v>49</v>
      </c>
      <c r="I2593" s="1" t="s">
        <v>18</v>
      </c>
      <c r="J2593">
        <v>45</v>
      </c>
      <c r="K2593">
        <v>6</v>
      </c>
      <c r="L2593" s="1" t="s">
        <v>30</v>
      </c>
    </row>
    <row r="2594" spans="1:12" x14ac:dyDescent="0.3">
      <c r="A2594" s="1" t="s">
        <v>1705</v>
      </c>
      <c r="B2594" s="2">
        <v>45815</v>
      </c>
      <c r="C2594" s="2">
        <v>45820</v>
      </c>
      <c r="D2594" s="1" t="s">
        <v>37</v>
      </c>
      <c r="E2594" s="1" t="s">
        <v>14</v>
      </c>
      <c r="F2594" s="1" t="s">
        <v>15</v>
      </c>
      <c r="G2594" s="1" t="s">
        <v>16</v>
      </c>
      <c r="H2594" s="1" t="s">
        <v>49</v>
      </c>
      <c r="I2594" s="1" t="s">
        <v>41</v>
      </c>
      <c r="J2594">
        <v>30</v>
      </c>
      <c r="K2594">
        <v>5</v>
      </c>
      <c r="L2594" s="1" t="s">
        <v>30</v>
      </c>
    </row>
    <row r="2595" spans="1:12" x14ac:dyDescent="0.3">
      <c r="A2595" s="1" t="s">
        <v>2783</v>
      </c>
      <c r="B2595" s="2">
        <v>45815</v>
      </c>
      <c r="C2595" s="2">
        <v>45842</v>
      </c>
      <c r="D2595" s="1" t="s">
        <v>32</v>
      </c>
      <c r="E2595" s="1" t="s">
        <v>24</v>
      </c>
      <c r="F2595" s="1" t="s">
        <v>15</v>
      </c>
      <c r="G2595" s="1" t="s">
        <v>16</v>
      </c>
      <c r="H2595" s="1" t="s">
        <v>34</v>
      </c>
      <c r="I2595" s="1" t="s">
        <v>41</v>
      </c>
      <c r="J2595">
        <v>30</v>
      </c>
      <c r="K2595">
        <v>27</v>
      </c>
      <c r="L2595" s="1" t="s">
        <v>19</v>
      </c>
    </row>
    <row r="2596" spans="1:12" x14ac:dyDescent="0.3">
      <c r="A2596" s="1" t="s">
        <v>62</v>
      </c>
      <c r="B2596" s="2">
        <v>45814</v>
      </c>
      <c r="C2596" s="2">
        <v>45858</v>
      </c>
      <c r="D2596" s="1" t="s">
        <v>28</v>
      </c>
      <c r="E2596" s="1" t="s">
        <v>24</v>
      </c>
      <c r="F2596" s="1" t="s">
        <v>15</v>
      </c>
      <c r="G2596" s="1" t="s">
        <v>16</v>
      </c>
      <c r="H2596" s="1" t="s">
        <v>29</v>
      </c>
      <c r="I2596" s="1" t="s">
        <v>18</v>
      </c>
      <c r="J2596">
        <v>30</v>
      </c>
      <c r="K2596">
        <v>44</v>
      </c>
      <c r="L2596" s="1" t="s">
        <v>44</v>
      </c>
    </row>
    <row r="2597" spans="1:12" x14ac:dyDescent="0.3">
      <c r="A2597" s="1" t="s">
        <v>511</v>
      </c>
      <c r="B2597" s="2">
        <v>45814</v>
      </c>
      <c r="C2597" s="2">
        <v>45852</v>
      </c>
      <c r="D2597" s="1" t="s">
        <v>32</v>
      </c>
      <c r="E2597" s="1" t="s">
        <v>14</v>
      </c>
      <c r="F2597" s="1" t="s">
        <v>15</v>
      </c>
      <c r="G2597" s="1" t="s">
        <v>16</v>
      </c>
      <c r="H2597" s="1" t="s">
        <v>71</v>
      </c>
      <c r="I2597" s="1" t="s">
        <v>18</v>
      </c>
      <c r="J2597">
        <v>15</v>
      </c>
      <c r="K2597">
        <v>38</v>
      </c>
      <c r="L2597" s="1" t="s">
        <v>21</v>
      </c>
    </row>
    <row r="2598" spans="1:12" x14ac:dyDescent="0.3">
      <c r="A2598" s="1" t="s">
        <v>677</v>
      </c>
      <c r="B2598" s="2">
        <v>45814</v>
      </c>
      <c r="C2598" s="2">
        <v>45852</v>
      </c>
      <c r="D2598" s="1" t="s">
        <v>28</v>
      </c>
      <c r="E2598" s="1" t="s">
        <v>14</v>
      </c>
      <c r="F2598" s="1" t="s">
        <v>38</v>
      </c>
      <c r="G2598" s="1" t="s">
        <v>53</v>
      </c>
      <c r="H2598" s="1" t="s">
        <v>54</v>
      </c>
      <c r="I2598" s="1" t="s">
        <v>26</v>
      </c>
      <c r="J2598">
        <v>15</v>
      </c>
      <c r="K2598">
        <v>38</v>
      </c>
      <c r="L2598" s="1" t="s">
        <v>21</v>
      </c>
    </row>
    <row r="2599" spans="1:12" x14ac:dyDescent="0.3">
      <c r="A2599" s="1" t="s">
        <v>954</v>
      </c>
      <c r="B2599" s="2">
        <v>45814</v>
      </c>
      <c r="C2599" s="2">
        <v>45841</v>
      </c>
      <c r="D2599" s="1" t="s">
        <v>28</v>
      </c>
      <c r="E2599" s="1" t="s">
        <v>24</v>
      </c>
      <c r="F2599" s="1" t="s">
        <v>15</v>
      </c>
      <c r="G2599" s="1" t="s">
        <v>16</v>
      </c>
      <c r="H2599" s="1" t="s">
        <v>54</v>
      </c>
      <c r="I2599" s="1" t="s">
        <v>26</v>
      </c>
      <c r="J2599">
        <v>45</v>
      </c>
      <c r="K2599">
        <v>27</v>
      </c>
      <c r="L2599" s="1" t="s">
        <v>19</v>
      </c>
    </row>
    <row r="2600" spans="1:12" x14ac:dyDescent="0.3">
      <c r="A2600" s="1" t="s">
        <v>1681</v>
      </c>
      <c r="B2600" s="2">
        <v>45814</v>
      </c>
      <c r="C2600" s="2">
        <v>45867</v>
      </c>
      <c r="D2600" s="1" t="s">
        <v>32</v>
      </c>
      <c r="E2600" s="1" t="s">
        <v>24</v>
      </c>
      <c r="F2600" s="1" t="s">
        <v>15</v>
      </c>
      <c r="G2600" s="1" t="s">
        <v>16</v>
      </c>
      <c r="H2600" s="1" t="s">
        <v>71</v>
      </c>
      <c r="I2600" s="1" t="s">
        <v>41</v>
      </c>
      <c r="J2600">
        <v>30</v>
      </c>
      <c r="K2600">
        <v>53</v>
      </c>
      <c r="L2600" s="1" t="s">
        <v>44</v>
      </c>
    </row>
    <row r="2601" spans="1:12" x14ac:dyDescent="0.3">
      <c r="A2601" s="1" t="s">
        <v>1971</v>
      </c>
      <c r="B2601" s="2">
        <v>45814</v>
      </c>
      <c r="C2601" s="2">
        <v>45850</v>
      </c>
      <c r="D2601" s="1" t="s">
        <v>28</v>
      </c>
      <c r="E2601" s="1" t="s">
        <v>24</v>
      </c>
      <c r="F2601" s="1" t="s">
        <v>15</v>
      </c>
      <c r="G2601" s="1" t="s">
        <v>16</v>
      </c>
      <c r="H2601" s="1" t="s">
        <v>29</v>
      </c>
      <c r="I2601" s="1" t="s">
        <v>26</v>
      </c>
      <c r="J2601">
        <v>30</v>
      </c>
      <c r="K2601">
        <v>36</v>
      </c>
      <c r="L2601" s="1" t="s">
        <v>21</v>
      </c>
    </row>
    <row r="2602" spans="1:12" x14ac:dyDescent="0.3">
      <c r="A2602" s="1" t="s">
        <v>2427</v>
      </c>
      <c r="B2602" s="2">
        <v>45814</v>
      </c>
      <c r="C2602" s="2">
        <v>45871</v>
      </c>
      <c r="D2602" s="1" t="s">
        <v>28</v>
      </c>
      <c r="E2602" s="1" t="s">
        <v>24</v>
      </c>
      <c r="F2602" s="1" t="s">
        <v>38</v>
      </c>
      <c r="G2602" s="1" t="s">
        <v>16</v>
      </c>
      <c r="H2602" s="1" t="s">
        <v>29</v>
      </c>
      <c r="I2602" s="1" t="s">
        <v>18</v>
      </c>
      <c r="J2602">
        <v>45</v>
      </c>
      <c r="K2602">
        <v>57</v>
      </c>
      <c r="L2602" s="1" t="s">
        <v>80</v>
      </c>
    </row>
    <row r="2603" spans="1:12" x14ac:dyDescent="0.3">
      <c r="A2603" s="1" t="s">
        <v>606</v>
      </c>
      <c r="B2603" s="2">
        <v>45814</v>
      </c>
      <c r="C2603" s="2">
        <v>45850</v>
      </c>
      <c r="D2603" s="1" t="s">
        <v>37</v>
      </c>
      <c r="E2603" s="1" t="s">
        <v>14</v>
      </c>
      <c r="F2603" s="1" t="s">
        <v>38</v>
      </c>
      <c r="G2603" s="1" t="s">
        <v>33</v>
      </c>
      <c r="H2603" s="1" t="s">
        <v>49</v>
      </c>
      <c r="I2603" s="1" t="s">
        <v>41</v>
      </c>
      <c r="J2603">
        <v>30</v>
      </c>
      <c r="K2603">
        <v>36</v>
      </c>
      <c r="L2603" s="1" t="s">
        <v>21</v>
      </c>
    </row>
    <row r="2604" spans="1:12" x14ac:dyDescent="0.3">
      <c r="A2604" s="1" t="s">
        <v>2655</v>
      </c>
      <c r="B2604" s="2">
        <v>45814</v>
      </c>
      <c r="C2604" s="2">
        <v>45850</v>
      </c>
      <c r="D2604" s="1" t="s">
        <v>37</v>
      </c>
      <c r="E2604" s="1" t="s">
        <v>14</v>
      </c>
      <c r="F2604" s="1" t="s">
        <v>38</v>
      </c>
      <c r="G2604" s="1" t="s">
        <v>16</v>
      </c>
      <c r="H2604" s="1" t="s">
        <v>39</v>
      </c>
      <c r="I2604" s="1" t="s">
        <v>26</v>
      </c>
      <c r="J2604">
        <v>15</v>
      </c>
      <c r="K2604">
        <v>36</v>
      </c>
      <c r="L2604" s="1" t="s">
        <v>21</v>
      </c>
    </row>
    <row r="2605" spans="1:12" x14ac:dyDescent="0.3">
      <c r="A2605" s="1" t="s">
        <v>3141</v>
      </c>
      <c r="B2605" s="2">
        <v>45814</v>
      </c>
      <c r="C2605" s="2">
        <v>45837</v>
      </c>
      <c r="D2605" s="1" t="s">
        <v>37</v>
      </c>
      <c r="E2605" s="1" t="s">
        <v>14</v>
      </c>
      <c r="F2605" s="1" t="s">
        <v>15</v>
      </c>
      <c r="G2605" s="1" t="s">
        <v>33</v>
      </c>
      <c r="H2605" s="1" t="s">
        <v>39</v>
      </c>
      <c r="I2605" s="1" t="s">
        <v>26</v>
      </c>
      <c r="J2605">
        <v>15</v>
      </c>
      <c r="K2605">
        <v>23</v>
      </c>
      <c r="L2605" s="1" t="s">
        <v>19</v>
      </c>
    </row>
    <row r="2606" spans="1:12" x14ac:dyDescent="0.3">
      <c r="A2606" s="1" t="s">
        <v>2968</v>
      </c>
      <c r="B2606" s="2">
        <v>45814</v>
      </c>
      <c r="C2606" s="2">
        <v>45837</v>
      </c>
      <c r="D2606" s="1" t="s">
        <v>28</v>
      </c>
      <c r="E2606" s="1" t="s">
        <v>14</v>
      </c>
      <c r="F2606" s="1" t="s">
        <v>15</v>
      </c>
      <c r="G2606" s="1" t="s">
        <v>16</v>
      </c>
      <c r="H2606" s="1" t="s">
        <v>29</v>
      </c>
      <c r="I2606" s="1" t="s">
        <v>18</v>
      </c>
      <c r="J2606">
        <v>15</v>
      </c>
      <c r="K2606">
        <v>23</v>
      </c>
      <c r="L2606" s="1" t="s">
        <v>19</v>
      </c>
    </row>
    <row r="2607" spans="1:12" x14ac:dyDescent="0.3">
      <c r="A2607" s="1" t="s">
        <v>3129</v>
      </c>
      <c r="B2607" s="2">
        <v>45814</v>
      </c>
      <c r="C2607" s="2">
        <v>45847</v>
      </c>
      <c r="D2607" s="1" t="s">
        <v>23</v>
      </c>
      <c r="E2607" s="1" t="s">
        <v>14</v>
      </c>
      <c r="F2607" s="1" t="s">
        <v>15</v>
      </c>
      <c r="G2607" s="1" t="s">
        <v>16</v>
      </c>
      <c r="H2607" s="1" t="s">
        <v>43</v>
      </c>
      <c r="I2607" s="1" t="s">
        <v>18</v>
      </c>
      <c r="J2607">
        <v>15</v>
      </c>
      <c r="K2607">
        <v>33</v>
      </c>
      <c r="L2607" s="1" t="s">
        <v>21</v>
      </c>
    </row>
    <row r="2608" spans="1:12" x14ac:dyDescent="0.3">
      <c r="A2608" s="1" t="s">
        <v>390</v>
      </c>
      <c r="B2608" s="2">
        <v>45813</v>
      </c>
      <c r="C2608" s="2">
        <v>45839</v>
      </c>
      <c r="D2608" s="1" t="s">
        <v>23</v>
      </c>
      <c r="E2608" s="1" t="s">
        <v>14</v>
      </c>
      <c r="F2608" s="1" t="s">
        <v>15</v>
      </c>
      <c r="G2608" s="1" t="s">
        <v>33</v>
      </c>
      <c r="H2608" s="1" t="s">
        <v>43</v>
      </c>
      <c r="I2608" s="1" t="s">
        <v>18</v>
      </c>
      <c r="J2608">
        <v>15</v>
      </c>
      <c r="K2608">
        <v>26</v>
      </c>
      <c r="L2608" s="1" t="s">
        <v>19</v>
      </c>
    </row>
    <row r="2609" spans="1:12" x14ac:dyDescent="0.3">
      <c r="A2609" s="1" t="s">
        <v>434</v>
      </c>
      <c r="B2609" s="2">
        <v>45813</v>
      </c>
      <c r="C2609" s="2">
        <v>45852</v>
      </c>
      <c r="D2609" s="1" t="s">
        <v>28</v>
      </c>
      <c r="E2609" s="1" t="s">
        <v>24</v>
      </c>
      <c r="F2609" s="1" t="s">
        <v>15</v>
      </c>
      <c r="G2609" s="1" t="s">
        <v>16</v>
      </c>
      <c r="H2609" s="1" t="s">
        <v>29</v>
      </c>
      <c r="I2609" s="1" t="s">
        <v>26</v>
      </c>
      <c r="J2609">
        <v>45</v>
      </c>
      <c r="K2609">
        <v>39</v>
      </c>
      <c r="L2609" s="1" t="s">
        <v>21</v>
      </c>
    </row>
    <row r="2610" spans="1:12" x14ac:dyDescent="0.3">
      <c r="A2610" s="1" t="s">
        <v>1148</v>
      </c>
      <c r="B2610" s="2">
        <v>45813</v>
      </c>
      <c r="C2610" s="2">
        <v>45850</v>
      </c>
      <c r="D2610" s="1" t="s">
        <v>13</v>
      </c>
      <c r="E2610" s="1" t="s">
        <v>14</v>
      </c>
      <c r="F2610" s="1" t="s">
        <v>15</v>
      </c>
      <c r="G2610" s="1" t="s">
        <v>16</v>
      </c>
      <c r="H2610" s="1" t="s">
        <v>47</v>
      </c>
      <c r="I2610" s="1" t="s">
        <v>41</v>
      </c>
      <c r="J2610">
        <v>30</v>
      </c>
      <c r="K2610">
        <v>37</v>
      </c>
      <c r="L2610" s="1" t="s">
        <v>21</v>
      </c>
    </row>
    <row r="2611" spans="1:12" x14ac:dyDescent="0.3">
      <c r="A2611" s="1" t="s">
        <v>1928</v>
      </c>
      <c r="B2611" s="2">
        <v>45813</v>
      </c>
      <c r="C2611" s="2">
        <v>45842</v>
      </c>
      <c r="D2611" s="1" t="s">
        <v>32</v>
      </c>
      <c r="E2611" s="1" t="s">
        <v>14</v>
      </c>
      <c r="F2611" s="1" t="s">
        <v>15</v>
      </c>
      <c r="G2611" s="1" t="s">
        <v>16</v>
      </c>
      <c r="H2611" s="1" t="s">
        <v>34</v>
      </c>
      <c r="I2611" s="1" t="s">
        <v>26</v>
      </c>
      <c r="J2611">
        <v>15</v>
      </c>
      <c r="K2611">
        <v>29</v>
      </c>
      <c r="L2611" s="1" t="s">
        <v>21</v>
      </c>
    </row>
    <row r="2612" spans="1:12" x14ac:dyDescent="0.3">
      <c r="A2612" s="1" t="s">
        <v>2423</v>
      </c>
      <c r="B2612" s="2">
        <v>45813</v>
      </c>
      <c r="C2612" s="2">
        <v>45850</v>
      </c>
      <c r="D2612" s="1" t="s">
        <v>32</v>
      </c>
      <c r="E2612" s="1" t="s">
        <v>24</v>
      </c>
      <c r="F2612" s="1" t="s">
        <v>15</v>
      </c>
      <c r="G2612" s="1" t="s">
        <v>16</v>
      </c>
      <c r="H2612" s="1" t="s">
        <v>34</v>
      </c>
      <c r="I2612" s="1" t="s">
        <v>18</v>
      </c>
      <c r="J2612">
        <v>30</v>
      </c>
      <c r="K2612">
        <v>37</v>
      </c>
      <c r="L2612" s="1" t="s">
        <v>21</v>
      </c>
    </row>
    <row r="2613" spans="1:12" x14ac:dyDescent="0.3">
      <c r="A2613" s="1" t="s">
        <v>2525</v>
      </c>
      <c r="B2613" s="2">
        <v>45813</v>
      </c>
      <c r="C2613" s="2">
        <v>45847</v>
      </c>
      <c r="D2613" s="1" t="s">
        <v>28</v>
      </c>
      <c r="E2613" s="1" t="s">
        <v>24</v>
      </c>
      <c r="F2613" s="1" t="s">
        <v>15</v>
      </c>
      <c r="G2613" s="1" t="s">
        <v>53</v>
      </c>
      <c r="H2613" s="1" t="s">
        <v>29</v>
      </c>
      <c r="I2613" s="1" t="s">
        <v>26</v>
      </c>
      <c r="J2613">
        <v>30</v>
      </c>
      <c r="K2613">
        <v>34</v>
      </c>
      <c r="L2613" s="1" t="s">
        <v>21</v>
      </c>
    </row>
    <row r="2614" spans="1:12" x14ac:dyDescent="0.3">
      <c r="A2614" s="1" t="s">
        <v>292</v>
      </c>
      <c r="B2614" s="2">
        <v>45813</v>
      </c>
      <c r="C2614" s="2">
        <v>45815</v>
      </c>
      <c r="D2614" s="1" t="s">
        <v>37</v>
      </c>
      <c r="E2614" s="1" t="s">
        <v>14</v>
      </c>
      <c r="F2614" s="1" t="s">
        <v>15</v>
      </c>
      <c r="G2614" s="1" t="s">
        <v>53</v>
      </c>
      <c r="H2614" s="1" t="s">
        <v>49</v>
      </c>
      <c r="I2614" s="1" t="s">
        <v>18</v>
      </c>
      <c r="J2614">
        <v>15</v>
      </c>
      <c r="K2614">
        <v>2</v>
      </c>
      <c r="L2614" s="1" t="s">
        <v>30</v>
      </c>
    </row>
    <row r="2615" spans="1:12" x14ac:dyDescent="0.3">
      <c r="A2615" s="1" t="s">
        <v>271</v>
      </c>
      <c r="B2615" s="2">
        <v>45812</v>
      </c>
      <c r="C2615" s="2">
        <v>45865</v>
      </c>
      <c r="D2615" s="1" t="s">
        <v>13</v>
      </c>
      <c r="E2615" s="1" t="s">
        <v>14</v>
      </c>
      <c r="F2615" s="1" t="s">
        <v>15</v>
      </c>
      <c r="G2615" s="1" t="s">
        <v>16</v>
      </c>
      <c r="H2615" s="1" t="s">
        <v>47</v>
      </c>
      <c r="I2615" s="1" t="s">
        <v>18</v>
      </c>
      <c r="J2615">
        <v>15</v>
      </c>
      <c r="K2615">
        <v>53</v>
      </c>
      <c r="L2615" s="1" t="s">
        <v>44</v>
      </c>
    </row>
    <row r="2616" spans="1:12" x14ac:dyDescent="0.3">
      <c r="A2616" s="1" t="s">
        <v>703</v>
      </c>
      <c r="B2616" s="2">
        <v>45812</v>
      </c>
      <c r="C2616" s="2">
        <v>45848</v>
      </c>
      <c r="D2616" s="1" t="s">
        <v>13</v>
      </c>
      <c r="E2616" s="1" t="s">
        <v>14</v>
      </c>
      <c r="F2616" s="1" t="s">
        <v>15</v>
      </c>
      <c r="G2616" s="1" t="s">
        <v>16</v>
      </c>
      <c r="H2616" s="1" t="s">
        <v>47</v>
      </c>
      <c r="I2616" s="1" t="s">
        <v>26</v>
      </c>
      <c r="J2616">
        <v>15</v>
      </c>
      <c r="K2616">
        <v>36</v>
      </c>
      <c r="L2616" s="1" t="s">
        <v>21</v>
      </c>
    </row>
    <row r="2617" spans="1:12" x14ac:dyDescent="0.3">
      <c r="A2617" s="1" t="s">
        <v>803</v>
      </c>
      <c r="B2617" s="2">
        <v>45812</v>
      </c>
      <c r="C2617" s="2">
        <v>45854</v>
      </c>
      <c r="D2617" s="1" t="s">
        <v>23</v>
      </c>
      <c r="E2617" s="1" t="s">
        <v>24</v>
      </c>
      <c r="F2617" s="1" t="s">
        <v>15</v>
      </c>
      <c r="G2617" s="1" t="s">
        <v>16</v>
      </c>
      <c r="H2617" s="1" t="s">
        <v>43</v>
      </c>
      <c r="I2617" s="1" t="s">
        <v>26</v>
      </c>
      <c r="J2617">
        <v>45</v>
      </c>
      <c r="K2617">
        <v>42</v>
      </c>
      <c r="L2617" s="1" t="s">
        <v>21</v>
      </c>
    </row>
    <row r="2618" spans="1:12" x14ac:dyDescent="0.3">
      <c r="A2618" s="1" t="s">
        <v>1216</v>
      </c>
      <c r="B2618" s="2">
        <v>45812</v>
      </c>
      <c r="C2618" s="2">
        <v>45838</v>
      </c>
      <c r="D2618" s="1" t="s">
        <v>28</v>
      </c>
      <c r="E2618" s="1" t="s">
        <v>24</v>
      </c>
      <c r="F2618" s="1" t="s">
        <v>38</v>
      </c>
      <c r="G2618" s="1" t="s">
        <v>16</v>
      </c>
      <c r="H2618" s="1" t="s">
        <v>54</v>
      </c>
      <c r="I2618" s="1" t="s">
        <v>26</v>
      </c>
      <c r="J2618">
        <v>30</v>
      </c>
      <c r="K2618">
        <v>26</v>
      </c>
      <c r="L2618" s="1" t="s">
        <v>19</v>
      </c>
    </row>
    <row r="2619" spans="1:12" x14ac:dyDescent="0.3">
      <c r="A2619" s="1" t="s">
        <v>1447</v>
      </c>
      <c r="B2619" s="2">
        <v>45812</v>
      </c>
      <c r="C2619" s="2">
        <v>45847</v>
      </c>
      <c r="D2619" s="1" t="s">
        <v>13</v>
      </c>
      <c r="E2619" s="1" t="s">
        <v>14</v>
      </c>
      <c r="F2619" s="1" t="s">
        <v>15</v>
      </c>
      <c r="G2619" s="1" t="s">
        <v>16</v>
      </c>
      <c r="H2619" s="1" t="s">
        <v>17</v>
      </c>
      <c r="I2619" s="1" t="s">
        <v>18</v>
      </c>
      <c r="J2619">
        <v>15</v>
      </c>
      <c r="K2619">
        <v>35</v>
      </c>
      <c r="L2619" s="1" t="s">
        <v>21</v>
      </c>
    </row>
    <row r="2620" spans="1:12" x14ac:dyDescent="0.3">
      <c r="A2620" s="1" t="s">
        <v>1925</v>
      </c>
      <c r="B2620" s="2">
        <v>45812</v>
      </c>
      <c r="C2620" s="2">
        <v>45848</v>
      </c>
      <c r="D2620" s="1" t="s">
        <v>23</v>
      </c>
      <c r="E2620" s="1" t="s">
        <v>14</v>
      </c>
      <c r="F2620" s="1" t="s">
        <v>15</v>
      </c>
      <c r="G2620" s="1" t="s">
        <v>16</v>
      </c>
      <c r="H2620" s="1" t="s">
        <v>25</v>
      </c>
      <c r="I2620" s="1" t="s">
        <v>26</v>
      </c>
      <c r="J2620">
        <v>15</v>
      </c>
      <c r="K2620">
        <v>36</v>
      </c>
      <c r="L2620" s="1" t="s">
        <v>21</v>
      </c>
    </row>
    <row r="2621" spans="1:12" x14ac:dyDescent="0.3">
      <c r="A2621" s="1" t="s">
        <v>2074</v>
      </c>
      <c r="B2621" s="2">
        <v>45812</v>
      </c>
      <c r="C2621" s="2">
        <v>45871</v>
      </c>
      <c r="D2621" s="1" t="s">
        <v>13</v>
      </c>
      <c r="E2621" s="1" t="s">
        <v>24</v>
      </c>
      <c r="F2621" s="1" t="s">
        <v>15</v>
      </c>
      <c r="G2621" s="1" t="s">
        <v>16</v>
      </c>
      <c r="H2621" s="1" t="s">
        <v>47</v>
      </c>
      <c r="I2621" s="1" t="s">
        <v>26</v>
      </c>
      <c r="J2621">
        <v>30</v>
      </c>
      <c r="K2621">
        <v>59</v>
      </c>
      <c r="L2621" s="1" t="s">
        <v>80</v>
      </c>
    </row>
    <row r="2622" spans="1:12" x14ac:dyDescent="0.3">
      <c r="A2622" s="1" t="s">
        <v>2189</v>
      </c>
      <c r="B2622" s="2">
        <v>45812</v>
      </c>
      <c r="C2622" s="2">
        <v>45843</v>
      </c>
      <c r="D2622" s="1" t="s">
        <v>23</v>
      </c>
      <c r="E2622" s="1" t="s">
        <v>14</v>
      </c>
      <c r="F2622" s="1" t="s">
        <v>15</v>
      </c>
      <c r="G2622" s="1" t="s">
        <v>16</v>
      </c>
      <c r="H2622" s="1" t="s">
        <v>25</v>
      </c>
      <c r="I2622" s="1" t="s">
        <v>26</v>
      </c>
      <c r="J2622">
        <v>30</v>
      </c>
      <c r="K2622">
        <v>31</v>
      </c>
      <c r="L2622" s="1" t="s">
        <v>21</v>
      </c>
    </row>
    <row r="2623" spans="1:12" x14ac:dyDescent="0.3">
      <c r="A2623" s="1" t="s">
        <v>2520</v>
      </c>
      <c r="B2623" s="2">
        <v>45812</v>
      </c>
      <c r="C2623" s="2">
        <v>45846</v>
      </c>
      <c r="D2623" s="1" t="s">
        <v>13</v>
      </c>
      <c r="E2623" s="1" t="s">
        <v>14</v>
      </c>
      <c r="F2623" s="1" t="s">
        <v>38</v>
      </c>
      <c r="G2623" s="1" t="s">
        <v>16</v>
      </c>
      <c r="H2623" s="1" t="s">
        <v>47</v>
      </c>
      <c r="I2623" s="1" t="s">
        <v>41</v>
      </c>
      <c r="J2623">
        <v>30</v>
      </c>
      <c r="K2623">
        <v>34</v>
      </c>
      <c r="L2623" s="1" t="s">
        <v>21</v>
      </c>
    </row>
    <row r="2624" spans="1:12" x14ac:dyDescent="0.3">
      <c r="A2624" s="1" t="s">
        <v>2317</v>
      </c>
      <c r="B2624" s="2">
        <v>45812</v>
      </c>
      <c r="C2624" s="2">
        <v>45872</v>
      </c>
      <c r="D2624" s="1" t="s">
        <v>37</v>
      </c>
      <c r="E2624" s="1" t="s">
        <v>14</v>
      </c>
      <c r="F2624" s="1" t="s">
        <v>15</v>
      </c>
      <c r="G2624" s="1" t="s">
        <v>16</v>
      </c>
      <c r="H2624" s="1" t="s">
        <v>49</v>
      </c>
      <c r="I2624" s="1" t="s">
        <v>41</v>
      </c>
      <c r="J2624">
        <v>30</v>
      </c>
      <c r="K2624">
        <v>60</v>
      </c>
      <c r="L2624" s="1" t="s">
        <v>80</v>
      </c>
    </row>
    <row r="2625" spans="1:12" x14ac:dyDescent="0.3">
      <c r="A2625" s="1" t="s">
        <v>2290</v>
      </c>
      <c r="B2625" s="2">
        <v>45812</v>
      </c>
      <c r="C2625" s="2">
        <v>45849</v>
      </c>
      <c r="D2625" s="1" t="s">
        <v>37</v>
      </c>
      <c r="E2625" s="1" t="s">
        <v>24</v>
      </c>
      <c r="F2625" s="1" t="s">
        <v>15</v>
      </c>
      <c r="G2625" s="1" t="s">
        <v>16</v>
      </c>
      <c r="H2625" s="1" t="s">
        <v>39</v>
      </c>
      <c r="I2625" s="1" t="s">
        <v>18</v>
      </c>
      <c r="J2625">
        <v>30</v>
      </c>
      <c r="K2625">
        <v>37</v>
      </c>
      <c r="L2625" s="1" t="s">
        <v>21</v>
      </c>
    </row>
    <row r="2626" spans="1:12" x14ac:dyDescent="0.3">
      <c r="A2626" s="1" t="s">
        <v>3130</v>
      </c>
      <c r="B2626" s="2">
        <v>45812</v>
      </c>
      <c r="C2626" s="2">
        <v>45833</v>
      </c>
      <c r="D2626" s="1" t="s">
        <v>37</v>
      </c>
      <c r="E2626" s="1" t="s">
        <v>14</v>
      </c>
      <c r="F2626" s="1" t="s">
        <v>15</v>
      </c>
      <c r="G2626" s="1" t="s">
        <v>16</v>
      </c>
      <c r="H2626" s="1" t="s">
        <v>39</v>
      </c>
      <c r="I2626" s="1" t="s">
        <v>26</v>
      </c>
      <c r="J2626">
        <v>15</v>
      </c>
      <c r="K2626">
        <v>21</v>
      </c>
      <c r="L2626" s="1" t="s">
        <v>19</v>
      </c>
    </row>
    <row r="2627" spans="1:12" x14ac:dyDescent="0.3">
      <c r="A2627" s="1" t="s">
        <v>1744</v>
      </c>
      <c r="B2627" s="2">
        <v>45812</v>
      </c>
      <c r="C2627" s="2">
        <v>45827</v>
      </c>
      <c r="D2627" s="1" t="s">
        <v>37</v>
      </c>
      <c r="E2627" s="1" t="s">
        <v>14</v>
      </c>
      <c r="F2627" s="1" t="s">
        <v>15</v>
      </c>
      <c r="G2627" s="1" t="s">
        <v>53</v>
      </c>
      <c r="H2627" s="1" t="s">
        <v>49</v>
      </c>
      <c r="I2627" s="1" t="s">
        <v>41</v>
      </c>
      <c r="J2627">
        <v>30</v>
      </c>
      <c r="K2627">
        <v>15</v>
      </c>
      <c r="L2627" s="1" t="s">
        <v>19</v>
      </c>
    </row>
    <row r="2628" spans="1:12" x14ac:dyDescent="0.3">
      <c r="A2628" s="1" t="s">
        <v>2410</v>
      </c>
      <c r="B2628" s="2">
        <v>45812</v>
      </c>
      <c r="C2628" s="2">
        <v>45821</v>
      </c>
      <c r="D2628" s="1" t="s">
        <v>37</v>
      </c>
      <c r="E2628" s="1" t="s">
        <v>24</v>
      </c>
      <c r="F2628" s="1" t="s">
        <v>15</v>
      </c>
      <c r="G2628" s="1" t="s">
        <v>16</v>
      </c>
      <c r="H2628" s="1" t="s">
        <v>39</v>
      </c>
      <c r="I2628" s="1" t="s">
        <v>26</v>
      </c>
      <c r="J2628">
        <v>30</v>
      </c>
      <c r="K2628">
        <v>9</v>
      </c>
      <c r="L2628" s="1" t="s">
        <v>30</v>
      </c>
    </row>
    <row r="2629" spans="1:12" x14ac:dyDescent="0.3">
      <c r="A2629" s="1" t="s">
        <v>300</v>
      </c>
      <c r="B2629" s="2">
        <v>45811</v>
      </c>
      <c r="C2629" s="2">
        <v>45854</v>
      </c>
      <c r="D2629" s="1" t="s">
        <v>23</v>
      </c>
      <c r="E2629" s="1" t="s">
        <v>14</v>
      </c>
      <c r="F2629" s="1" t="s">
        <v>15</v>
      </c>
      <c r="G2629" s="1" t="s">
        <v>16</v>
      </c>
      <c r="H2629" s="1" t="s">
        <v>43</v>
      </c>
      <c r="I2629" s="1" t="s">
        <v>41</v>
      </c>
      <c r="J2629">
        <v>15</v>
      </c>
      <c r="K2629">
        <v>43</v>
      </c>
      <c r="L2629" s="1" t="s">
        <v>44</v>
      </c>
    </row>
    <row r="2630" spans="1:12" x14ac:dyDescent="0.3">
      <c r="A2630" s="1" t="s">
        <v>453</v>
      </c>
      <c r="B2630" s="2">
        <v>45811</v>
      </c>
      <c r="C2630" s="2">
        <v>45841</v>
      </c>
      <c r="D2630" s="1" t="s">
        <v>13</v>
      </c>
      <c r="E2630" s="1" t="s">
        <v>14</v>
      </c>
      <c r="F2630" s="1" t="s">
        <v>15</v>
      </c>
      <c r="G2630" s="1" t="s">
        <v>33</v>
      </c>
      <c r="H2630" s="1" t="s">
        <v>47</v>
      </c>
      <c r="I2630" s="1" t="s">
        <v>26</v>
      </c>
      <c r="J2630">
        <v>15</v>
      </c>
      <c r="K2630">
        <v>30</v>
      </c>
      <c r="L2630" s="1" t="s">
        <v>21</v>
      </c>
    </row>
    <row r="2631" spans="1:12" x14ac:dyDescent="0.3">
      <c r="A2631" s="1" t="s">
        <v>586</v>
      </c>
      <c r="B2631" s="2">
        <v>45811</v>
      </c>
      <c r="C2631" s="2">
        <v>45859</v>
      </c>
      <c r="D2631" s="1" t="s">
        <v>28</v>
      </c>
      <c r="E2631" s="1" t="s">
        <v>14</v>
      </c>
      <c r="F2631" s="1" t="s">
        <v>15</v>
      </c>
      <c r="G2631" s="1" t="s">
        <v>53</v>
      </c>
      <c r="H2631" s="1" t="s">
        <v>29</v>
      </c>
      <c r="I2631" s="1" t="s">
        <v>26</v>
      </c>
      <c r="J2631">
        <v>15</v>
      </c>
      <c r="K2631">
        <v>48</v>
      </c>
      <c r="L2631" s="1" t="s">
        <v>44</v>
      </c>
    </row>
    <row r="2632" spans="1:12" x14ac:dyDescent="0.3">
      <c r="A2632" s="1" t="s">
        <v>950</v>
      </c>
      <c r="B2632" s="2">
        <v>45811</v>
      </c>
      <c r="C2632" s="2">
        <v>45869</v>
      </c>
      <c r="D2632" s="1" t="s">
        <v>32</v>
      </c>
      <c r="E2632" s="1" t="s">
        <v>14</v>
      </c>
      <c r="F2632" s="1" t="s">
        <v>15</v>
      </c>
      <c r="G2632" s="1" t="s">
        <v>16</v>
      </c>
      <c r="H2632" s="1" t="s">
        <v>34</v>
      </c>
      <c r="I2632" s="1" t="s">
        <v>41</v>
      </c>
      <c r="J2632">
        <v>30</v>
      </c>
      <c r="K2632">
        <v>58</v>
      </c>
      <c r="L2632" s="1" t="s">
        <v>80</v>
      </c>
    </row>
    <row r="2633" spans="1:12" x14ac:dyDescent="0.3">
      <c r="A2633" s="1" t="s">
        <v>2412</v>
      </c>
      <c r="B2633" s="2">
        <v>45811</v>
      </c>
      <c r="C2633" s="2">
        <v>45832</v>
      </c>
      <c r="D2633" s="1" t="s">
        <v>23</v>
      </c>
      <c r="E2633" s="1" t="s">
        <v>24</v>
      </c>
      <c r="F2633" s="1" t="s">
        <v>15</v>
      </c>
      <c r="G2633" s="1" t="s">
        <v>16</v>
      </c>
      <c r="H2633" s="1" t="s">
        <v>43</v>
      </c>
      <c r="I2633" s="1" t="s">
        <v>26</v>
      </c>
      <c r="J2633">
        <v>30</v>
      </c>
      <c r="K2633">
        <v>21</v>
      </c>
      <c r="L2633" s="1" t="s">
        <v>19</v>
      </c>
    </row>
    <row r="2634" spans="1:12" x14ac:dyDescent="0.3">
      <c r="A2634" s="1" t="s">
        <v>2973</v>
      </c>
      <c r="B2634" s="2">
        <v>45811</v>
      </c>
      <c r="C2634" s="2">
        <v>45877</v>
      </c>
      <c r="D2634" s="1" t="s">
        <v>37</v>
      </c>
      <c r="E2634" s="1" t="s">
        <v>24</v>
      </c>
      <c r="F2634" s="1" t="s">
        <v>15</v>
      </c>
      <c r="G2634" s="1" t="s">
        <v>53</v>
      </c>
      <c r="H2634" s="1" t="s">
        <v>39</v>
      </c>
      <c r="I2634" s="1" t="s">
        <v>26</v>
      </c>
      <c r="J2634">
        <v>45</v>
      </c>
      <c r="K2634">
        <v>66</v>
      </c>
      <c r="L2634" s="1" t="s">
        <v>80</v>
      </c>
    </row>
    <row r="2635" spans="1:12" x14ac:dyDescent="0.3">
      <c r="A2635" s="1" t="s">
        <v>3139</v>
      </c>
      <c r="B2635" s="2">
        <v>45811</v>
      </c>
      <c r="C2635" s="2">
        <v>45830</v>
      </c>
      <c r="D2635" s="1" t="s">
        <v>37</v>
      </c>
      <c r="E2635" s="1" t="s">
        <v>14</v>
      </c>
      <c r="F2635" s="1" t="s">
        <v>15</v>
      </c>
      <c r="G2635" s="1" t="s">
        <v>16</v>
      </c>
      <c r="H2635" s="1" t="s">
        <v>39</v>
      </c>
      <c r="I2635" s="1" t="s">
        <v>26</v>
      </c>
      <c r="J2635">
        <v>15</v>
      </c>
      <c r="K2635">
        <v>19</v>
      </c>
      <c r="L2635" s="1" t="s">
        <v>19</v>
      </c>
    </row>
    <row r="2636" spans="1:12" x14ac:dyDescent="0.3">
      <c r="A2636" s="1" t="s">
        <v>3094</v>
      </c>
      <c r="B2636" s="2">
        <v>45811</v>
      </c>
      <c r="C2636" s="2">
        <v>45881</v>
      </c>
      <c r="D2636" s="1" t="s">
        <v>32</v>
      </c>
      <c r="E2636" s="1" t="s">
        <v>14</v>
      </c>
      <c r="F2636" s="1" t="s">
        <v>15</v>
      </c>
      <c r="G2636" s="1" t="s">
        <v>16</v>
      </c>
      <c r="H2636" s="1" t="s">
        <v>71</v>
      </c>
      <c r="I2636" s="1" t="s">
        <v>26</v>
      </c>
      <c r="J2636">
        <v>15</v>
      </c>
      <c r="K2636">
        <v>70</v>
      </c>
      <c r="L2636" s="1" t="s">
        <v>80</v>
      </c>
    </row>
    <row r="2637" spans="1:12" x14ac:dyDescent="0.3">
      <c r="A2637" s="1" t="s">
        <v>3238</v>
      </c>
      <c r="B2637" s="2">
        <v>45811</v>
      </c>
      <c r="C2637" s="2">
        <v>45835</v>
      </c>
      <c r="D2637" s="1" t="s">
        <v>28</v>
      </c>
      <c r="E2637" s="1" t="s">
        <v>24</v>
      </c>
      <c r="F2637" s="1" t="s">
        <v>15</v>
      </c>
      <c r="G2637" s="1" t="s">
        <v>16</v>
      </c>
      <c r="H2637" s="1" t="s">
        <v>54</v>
      </c>
      <c r="I2637" s="1" t="s">
        <v>26</v>
      </c>
      <c r="J2637">
        <v>45</v>
      </c>
      <c r="K2637">
        <v>24</v>
      </c>
      <c r="L2637" s="1" t="s">
        <v>19</v>
      </c>
    </row>
    <row r="2638" spans="1:12" x14ac:dyDescent="0.3">
      <c r="A2638" s="1" t="s">
        <v>746</v>
      </c>
      <c r="B2638" s="2">
        <v>45810</v>
      </c>
      <c r="C2638" s="2">
        <v>45841</v>
      </c>
      <c r="D2638" s="1" t="s">
        <v>13</v>
      </c>
      <c r="E2638" s="1" t="s">
        <v>24</v>
      </c>
      <c r="F2638" s="1" t="s">
        <v>15</v>
      </c>
      <c r="G2638" s="1" t="s">
        <v>33</v>
      </c>
      <c r="H2638" s="1" t="s">
        <v>17</v>
      </c>
      <c r="I2638" s="1" t="s">
        <v>18</v>
      </c>
      <c r="J2638">
        <v>30</v>
      </c>
      <c r="K2638">
        <v>31</v>
      </c>
      <c r="L2638" s="1" t="s">
        <v>21</v>
      </c>
    </row>
    <row r="2639" spans="1:12" x14ac:dyDescent="0.3">
      <c r="A2639" s="1" t="s">
        <v>1074</v>
      </c>
      <c r="B2639" s="2">
        <v>45810</v>
      </c>
      <c r="C2639" s="2">
        <v>45883</v>
      </c>
      <c r="D2639" s="1" t="s">
        <v>23</v>
      </c>
      <c r="E2639" s="1" t="s">
        <v>24</v>
      </c>
      <c r="F2639" s="1" t="s">
        <v>15</v>
      </c>
      <c r="G2639" s="1" t="s">
        <v>16</v>
      </c>
      <c r="H2639" s="1" t="s">
        <v>25</v>
      </c>
      <c r="I2639" s="1" t="s">
        <v>26</v>
      </c>
      <c r="J2639">
        <v>45</v>
      </c>
      <c r="K2639">
        <v>73</v>
      </c>
      <c r="L2639" s="1" t="s">
        <v>80</v>
      </c>
    </row>
    <row r="2640" spans="1:12" x14ac:dyDescent="0.3">
      <c r="A2640" s="1" t="s">
        <v>1475</v>
      </c>
      <c r="B2640" s="2">
        <v>45810</v>
      </c>
      <c r="C2640" s="2">
        <v>45843</v>
      </c>
      <c r="D2640" s="1" t="s">
        <v>23</v>
      </c>
      <c r="E2640" s="1" t="s">
        <v>14</v>
      </c>
      <c r="F2640" s="1" t="s">
        <v>15</v>
      </c>
      <c r="G2640" s="1" t="s">
        <v>53</v>
      </c>
      <c r="H2640" s="1" t="s">
        <v>43</v>
      </c>
      <c r="I2640" s="1" t="s">
        <v>41</v>
      </c>
      <c r="J2640">
        <v>30</v>
      </c>
      <c r="K2640">
        <v>33</v>
      </c>
      <c r="L2640" s="1" t="s">
        <v>21</v>
      </c>
    </row>
    <row r="2641" spans="1:12" x14ac:dyDescent="0.3">
      <c r="A2641" s="1" t="s">
        <v>1658</v>
      </c>
      <c r="B2641" s="2">
        <v>45810</v>
      </c>
      <c r="C2641" s="2">
        <v>45813</v>
      </c>
      <c r="D2641" s="1" t="s">
        <v>23</v>
      </c>
      <c r="E2641" s="1" t="s">
        <v>24</v>
      </c>
      <c r="F2641" s="1" t="s">
        <v>15</v>
      </c>
      <c r="G2641" s="1" t="s">
        <v>16</v>
      </c>
      <c r="H2641" s="1" t="s">
        <v>25</v>
      </c>
      <c r="I2641" s="1" t="s">
        <v>41</v>
      </c>
      <c r="J2641">
        <v>30</v>
      </c>
      <c r="K2641">
        <v>3</v>
      </c>
      <c r="L2641" s="1" t="s">
        <v>30</v>
      </c>
    </row>
    <row r="2642" spans="1:12" x14ac:dyDescent="0.3">
      <c r="A2642" s="1" t="s">
        <v>2093</v>
      </c>
      <c r="B2642" s="2">
        <v>45810</v>
      </c>
      <c r="C2642" s="2">
        <v>45856</v>
      </c>
      <c r="D2642" s="1" t="s">
        <v>13</v>
      </c>
      <c r="E2642" s="1" t="s">
        <v>24</v>
      </c>
      <c r="F2642" s="1" t="s">
        <v>15</v>
      </c>
      <c r="G2642" s="1" t="s">
        <v>16</v>
      </c>
      <c r="H2642" s="1" t="s">
        <v>47</v>
      </c>
      <c r="I2642" s="1" t="s">
        <v>18</v>
      </c>
      <c r="J2642">
        <v>30</v>
      </c>
      <c r="K2642">
        <v>46</v>
      </c>
      <c r="L2642" s="1" t="s">
        <v>44</v>
      </c>
    </row>
    <row r="2643" spans="1:12" x14ac:dyDescent="0.3">
      <c r="A2643" s="1" t="s">
        <v>2492</v>
      </c>
      <c r="B2643" s="2">
        <v>45810</v>
      </c>
      <c r="C2643" s="2">
        <v>45865</v>
      </c>
      <c r="D2643" s="1" t="s">
        <v>28</v>
      </c>
      <c r="E2643" s="1" t="s">
        <v>14</v>
      </c>
      <c r="F2643" s="1" t="s">
        <v>15</v>
      </c>
      <c r="G2643" s="1" t="s">
        <v>16</v>
      </c>
      <c r="H2643" s="1" t="s">
        <v>54</v>
      </c>
      <c r="I2643" s="1" t="s">
        <v>41</v>
      </c>
      <c r="J2643">
        <v>15</v>
      </c>
      <c r="K2643">
        <v>55</v>
      </c>
      <c r="L2643" s="1" t="s">
        <v>44</v>
      </c>
    </row>
    <row r="2644" spans="1:12" x14ac:dyDescent="0.3">
      <c r="A2644" s="1" t="s">
        <v>2576</v>
      </c>
      <c r="B2644" s="2">
        <v>45810</v>
      </c>
      <c r="C2644" s="2">
        <v>45823</v>
      </c>
      <c r="D2644" s="1" t="s">
        <v>32</v>
      </c>
      <c r="E2644" s="1" t="s">
        <v>24</v>
      </c>
      <c r="F2644" s="1" t="s">
        <v>15</v>
      </c>
      <c r="G2644" s="1" t="s">
        <v>16</v>
      </c>
      <c r="H2644" s="1" t="s">
        <v>34</v>
      </c>
      <c r="I2644" s="1" t="s">
        <v>26</v>
      </c>
      <c r="J2644">
        <v>30</v>
      </c>
      <c r="K2644">
        <v>13</v>
      </c>
      <c r="L2644" s="1" t="s">
        <v>30</v>
      </c>
    </row>
    <row r="2645" spans="1:12" x14ac:dyDescent="0.3">
      <c r="A2645" s="1" t="s">
        <v>303</v>
      </c>
      <c r="B2645" s="2">
        <v>45810</v>
      </c>
      <c r="C2645" s="2">
        <v>45858</v>
      </c>
      <c r="D2645" s="1" t="s">
        <v>37</v>
      </c>
      <c r="E2645" s="1" t="s">
        <v>14</v>
      </c>
      <c r="F2645" s="1" t="s">
        <v>15</v>
      </c>
      <c r="G2645" s="1" t="s">
        <v>16</v>
      </c>
      <c r="H2645" s="1" t="s">
        <v>39</v>
      </c>
      <c r="I2645" s="1" t="s">
        <v>18</v>
      </c>
      <c r="J2645">
        <v>15</v>
      </c>
      <c r="K2645">
        <v>48</v>
      </c>
      <c r="L2645" s="1" t="s">
        <v>44</v>
      </c>
    </row>
    <row r="2646" spans="1:12" x14ac:dyDescent="0.3">
      <c r="A2646" s="1" t="s">
        <v>2145</v>
      </c>
      <c r="B2646" s="2">
        <v>45810</v>
      </c>
      <c r="C2646" s="2">
        <v>45837</v>
      </c>
      <c r="D2646" s="1" t="s">
        <v>37</v>
      </c>
      <c r="E2646" s="1" t="s">
        <v>14</v>
      </c>
      <c r="F2646" s="1" t="s">
        <v>15</v>
      </c>
      <c r="G2646" s="1" t="s">
        <v>16</v>
      </c>
      <c r="H2646" s="1" t="s">
        <v>39</v>
      </c>
      <c r="I2646" s="1" t="s">
        <v>18</v>
      </c>
      <c r="J2646">
        <v>15</v>
      </c>
      <c r="K2646">
        <v>27</v>
      </c>
      <c r="L2646" s="1" t="s">
        <v>19</v>
      </c>
    </row>
    <row r="2647" spans="1:12" x14ac:dyDescent="0.3">
      <c r="A2647" s="1" t="s">
        <v>2847</v>
      </c>
      <c r="B2647" s="2">
        <v>45810</v>
      </c>
      <c r="C2647" s="2">
        <v>45812</v>
      </c>
      <c r="D2647" s="1" t="s">
        <v>28</v>
      </c>
      <c r="E2647" s="1" t="s">
        <v>14</v>
      </c>
      <c r="F2647" s="1" t="s">
        <v>15</v>
      </c>
      <c r="G2647" s="1" t="s">
        <v>53</v>
      </c>
      <c r="H2647" s="1" t="s">
        <v>29</v>
      </c>
      <c r="I2647" s="1" t="s">
        <v>41</v>
      </c>
      <c r="J2647">
        <v>15</v>
      </c>
      <c r="K2647">
        <v>2</v>
      </c>
      <c r="L2647" s="1" t="s">
        <v>30</v>
      </c>
    </row>
    <row r="2648" spans="1:12" x14ac:dyDescent="0.3">
      <c r="A2648" s="1" t="s">
        <v>727</v>
      </c>
      <c r="B2648" s="2">
        <v>45809</v>
      </c>
      <c r="C2648" s="2">
        <v>45852</v>
      </c>
      <c r="D2648" s="1" t="s">
        <v>23</v>
      </c>
      <c r="E2648" s="1" t="s">
        <v>24</v>
      </c>
      <c r="F2648" s="1" t="s">
        <v>15</v>
      </c>
      <c r="G2648" s="1" t="s">
        <v>16</v>
      </c>
      <c r="H2648" s="1" t="s">
        <v>25</v>
      </c>
      <c r="I2648" s="1" t="s">
        <v>41</v>
      </c>
      <c r="J2648">
        <v>30</v>
      </c>
      <c r="K2648">
        <v>43</v>
      </c>
      <c r="L2648" s="1" t="s">
        <v>44</v>
      </c>
    </row>
    <row r="2649" spans="1:12" x14ac:dyDescent="0.3">
      <c r="A2649" s="1" t="s">
        <v>745</v>
      </c>
      <c r="B2649" s="2">
        <v>45809</v>
      </c>
      <c r="C2649" s="2">
        <v>45846</v>
      </c>
      <c r="D2649" s="1" t="s">
        <v>32</v>
      </c>
      <c r="E2649" s="1" t="s">
        <v>14</v>
      </c>
      <c r="F2649" s="1" t="s">
        <v>15</v>
      </c>
      <c r="G2649" s="1" t="s">
        <v>16</v>
      </c>
      <c r="H2649" s="1" t="s">
        <v>34</v>
      </c>
      <c r="I2649" s="1" t="s">
        <v>26</v>
      </c>
      <c r="J2649">
        <v>15</v>
      </c>
      <c r="K2649">
        <v>37</v>
      </c>
      <c r="L2649" s="1" t="s">
        <v>21</v>
      </c>
    </row>
    <row r="2650" spans="1:12" x14ac:dyDescent="0.3">
      <c r="A2650" s="1" t="s">
        <v>2370</v>
      </c>
      <c r="B2650" s="2">
        <v>45809</v>
      </c>
      <c r="C2650" s="2">
        <v>45836</v>
      </c>
      <c r="D2650" s="1" t="s">
        <v>28</v>
      </c>
      <c r="E2650" s="1" t="s">
        <v>24</v>
      </c>
      <c r="F2650" s="1" t="s">
        <v>15</v>
      </c>
      <c r="G2650" s="1" t="s">
        <v>53</v>
      </c>
      <c r="H2650" s="1" t="s">
        <v>54</v>
      </c>
      <c r="I2650" s="1" t="s">
        <v>41</v>
      </c>
      <c r="J2650">
        <v>45</v>
      </c>
      <c r="K2650">
        <v>27</v>
      </c>
      <c r="L2650" s="1" t="s">
        <v>19</v>
      </c>
    </row>
    <row r="2651" spans="1:12" x14ac:dyDescent="0.3">
      <c r="A2651" s="1" t="s">
        <v>1235</v>
      </c>
      <c r="B2651" s="2">
        <v>45809</v>
      </c>
      <c r="C2651" s="2">
        <v>45814</v>
      </c>
      <c r="D2651" s="1" t="s">
        <v>37</v>
      </c>
      <c r="E2651" s="1" t="s">
        <v>24</v>
      </c>
      <c r="F2651" s="1" t="s">
        <v>15</v>
      </c>
      <c r="G2651" s="1" t="s">
        <v>33</v>
      </c>
      <c r="H2651" s="1" t="s">
        <v>49</v>
      </c>
      <c r="I2651" s="1" t="s">
        <v>18</v>
      </c>
      <c r="J2651">
        <v>30</v>
      </c>
      <c r="K2651">
        <v>5</v>
      </c>
      <c r="L2651" s="1" t="s">
        <v>30</v>
      </c>
    </row>
    <row r="2652" spans="1:12" x14ac:dyDescent="0.3">
      <c r="A2652" s="1" t="s">
        <v>2242</v>
      </c>
      <c r="B2652" s="2">
        <v>45809</v>
      </c>
      <c r="C2652" s="2">
        <v>45811</v>
      </c>
      <c r="D2652" s="1" t="s">
        <v>37</v>
      </c>
      <c r="E2652" s="1" t="s">
        <v>14</v>
      </c>
      <c r="F2652" s="1" t="s">
        <v>15</v>
      </c>
      <c r="G2652" s="1" t="s">
        <v>16</v>
      </c>
      <c r="H2652" s="1" t="s">
        <v>39</v>
      </c>
      <c r="I2652" s="1" t="s">
        <v>26</v>
      </c>
      <c r="J2652">
        <v>30</v>
      </c>
      <c r="K2652">
        <v>2</v>
      </c>
      <c r="L2652" s="1" t="s">
        <v>30</v>
      </c>
    </row>
    <row r="2653" spans="1:12" x14ac:dyDescent="0.3">
      <c r="A2653" s="1" t="s">
        <v>2982</v>
      </c>
      <c r="B2653" s="2">
        <v>45809</v>
      </c>
      <c r="C2653" s="2">
        <v>45834</v>
      </c>
      <c r="D2653" s="1" t="s">
        <v>32</v>
      </c>
      <c r="E2653" s="1" t="s">
        <v>24</v>
      </c>
      <c r="F2653" s="1" t="s">
        <v>15</v>
      </c>
      <c r="G2653" s="1" t="s">
        <v>16</v>
      </c>
      <c r="H2653" s="1" t="s">
        <v>71</v>
      </c>
      <c r="I2653" s="1" t="s">
        <v>26</v>
      </c>
      <c r="J2653">
        <v>30</v>
      </c>
      <c r="K2653">
        <v>25</v>
      </c>
      <c r="L2653" s="1" t="s">
        <v>19</v>
      </c>
    </row>
    <row r="2654" spans="1:12" x14ac:dyDescent="0.3">
      <c r="A2654" s="1" t="s">
        <v>3091</v>
      </c>
      <c r="B2654" s="2">
        <v>45809</v>
      </c>
      <c r="C2654" s="2">
        <v>45823</v>
      </c>
      <c r="D2654" s="1" t="s">
        <v>23</v>
      </c>
      <c r="E2654" s="1" t="s">
        <v>24</v>
      </c>
      <c r="F2654" s="1" t="s">
        <v>15</v>
      </c>
      <c r="G2654" s="1" t="s">
        <v>53</v>
      </c>
      <c r="H2654" s="1" t="s">
        <v>43</v>
      </c>
      <c r="I2654" s="1" t="s">
        <v>41</v>
      </c>
      <c r="J2654">
        <v>45</v>
      </c>
      <c r="K2654">
        <v>14</v>
      </c>
      <c r="L2654" s="1" t="s">
        <v>30</v>
      </c>
    </row>
    <row r="2655" spans="1:12" x14ac:dyDescent="0.3">
      <c r="A2655" s="1" t="s">
        <v>3222</v>
      </c>
      <c r="B2655" s="2">
        <v>45809</v>
      </c>
      <c r="C2655" s="2">
        <v>45843</v>
      </c>
      <c r="D2655" s="1" t="s">
        <v>13</v>
      </c>
      <c r="E2655" s="1" t="s">
        <v>24</v>
      </c>
      <c r="F2655" s="1" t="s">
        <v>15</v>
      </c>
      <c r="G2655" s="1" t="s">
        <v>16</v>
      </c>
      <c r="H2655" s="1" t="s">
        <v>47</v>
      </c>
      <c r="I2655" s="1" t="s">
        <v>26</v>
      </c>
      <c r="J2655">
        <v>30</v>
      </c>
      <c r="K2655">
        <v>34</v>
      </c>
      <c r="L2655" s="1" t="s">
        <v>21</v>
      </c>
    </row>
    <row r="2656" spans="1:12" x14ac:dyDescent="0.3">
      <c r="A2656" s="1" t="s">
        <v>509</v>
      </c>
      <c r="B2656" s="2">
        <v>45808</v>
      </c>
      <c r="C2656" s="2">
        <v>45853</v>
      </c>
      <c r="D2656" s="1" t="s">
        <v>13</v>
      </c>
      <c r="E2656" s="1" t="s">
        <v>24</v>
      </c>
      <c r="F2656" s="1" t="s">
        <v>15</v>
      </c>
      <c r="G2656" s="1" t="s">
        <v>33</v>
      </c>
      <c r="H2656" s="1" t="s">
        <v>47</v>
      </c>
      <c r="I2656" s="1" t="s">
        <v>26</v>
      </c>
      <c r="J2656">
        <v>30</v>
      </c>
      <c r="K2656">
        <v>45</v>
      </c>
      <c r="L2656" s="1" t="s">
        <v>44</v>
      </c>
    </row>
    <row r="2657" spans="1:12" x14ac:dyDescent="0.3">
      <c r="A2657" s="1" t="s">
        <v>665</v>
      </c>
      <c r="B2657" s="2">
        <v>45808</v>
      </c>
      <c r="C2657" s="2">
        <v>45810</v>
      </c>
      <c r="D2657" s="1" t="s">
        <v>23</v>
      </c>
      <c r="E2657" s="1" t="s">
        <v>24</v>
      </c>
      <c r="F2657" s="1" t="s">
        <v>15</v>
      </c>
      <c r="G2657" s="1" t="s">
        <v>16</v>
      </c>
      <c r="H2657" s="1" t="s">
        <v>43</v>
      </c>
      <c r="I2657" s="1" t="s">
        <v>26</v>
      </c>
      <c r="J2657">
        <v>30</v>
      </c>
      <c r="K2657">
        <v>2</v>
      </c>
      <c r="L2657" s="1" t="s">
        <v>30</v>
      </c>
    </row>
    <row r="2658" spans="1:12" x14ac:dyDescent="0.3">
      <c r="A2658" s="1" t="s">
        <v>1120</v>
      </c>
      <c r="B2658" s="2">
        <v>45808</v>
      </c>
      <c r="C2658" s="2">
        <v>45839</v>
      </c>
      <c r="D2658" s="1" t="s">
        <v>32</v>
      </c>
      <c r="E2658" s="1" t="s">
        <v>14</v>
      </c>
      <c r="F2658" s="1" t="s">
        <v>15</v>
      </c>
      <c r="G2658" s="1" t="s">
        <v>16</v>
      </c>
      <c r="H2658" s="1" t="s">
        <v>71</v>
      </c>
      <c r="I2658" s="1" t="s">
        <v>26</v>
      </c>
      <c r="J2658">
        <v>30</v>
      </c>
      <c r="K2658">
        <v>31</v>
      </c>
      <c r="L2658" s="1" t="s">
        <v>21</v>
      </c>
    </row>
    <row r="2659" spans="1:12" x14ac:dyDescent="0.3">
      <c r="A2659" s="1" t="s">
        <v>1638</v>
      </c>
      <c r="B2659" s="2">
        <v>45808</v>
      </c>
      <c r="C2659" s="2">
        <v>45829</v>
      </c>
      <c r="D2659" s="1" t="s">
        <v>28</v>
      </c>
      <c r="E2659" s="1" t="s">
        <v>14</v>
      </c>
      <c r="F2659" s="1" t="s">
        <v>15</v>
      </c>
      <c r="G2659" s="1" t="s">
        <v>16</v>
      </c>
      <c r="H2659" s="1" t="s">
        <v>54</v>
      </c>
      <c r="I2659" s="1" t="s">
        <v>26</v>
      </c>
      <c r="J2659">
        <v>15</v>
      </c>
      <c r="K2659">
        <v>21</v>
      </c>
      <c r="L2659" s="1" t="s">
        <v>19</v>
      </c>
    </row>
    <row r="2660" spans="1:12" x14ac:dyDescent="0.3">
      <c r="A2660" s="1" t="s">
        <v>1679</v>
      </c>
      <c r="B2660" s="2">
        <v>45808</v>
      </c>
      <c r="C2660" s="2">
        <v>45819</v>
      </c>
      <c r="D2660" s="1" t="s">
        <v>23</v>
      </c>
      <c r="E2660" s="1" t="s">
        <v>24</v>
      </c>
      <c r="F2660" s="1" t="s">
        <v>15</v>
      </c>
      <c r="G2660" s="1" t="s">
        <v>16</v>
      </c>
      <c r="H2660" s="1" t="s">
        <v>25</v>
      </c>
      <c r="I2660" s="1" t="s">
        <v>26</v>
      </c>
      <c r="J2660">
        <v>30</v>
      </c>
      <c r="K2660">
        <v>11</v>
      </c>
      <c r="L2660" s="1" t="s">
        <v>30</v>
      </c>
    </row>
    <row r="2661" spans="1:12" x14ac:dyDescent="0.3">
      <c r="A2661" s="1" t="s">
        <v>1892</v>
      </c>
      <c r="B2661" s="2">
        <v>45808</v>
      </c>
      <c r="C2661" s="2">
        <v>45842</v>
      </c>
      <c r="D2661" s="1" t="s">
        <v>13</v>
      </c>
      <c r="E2661" s="1" t="s">
        <v>24</v>
      </c>
      <c r="F2661" s="1" t="s">
        <v>15</v>
      </c>
      <c r="G2661" s="1" t="s">
        <v>16</v>
      </c>
      <c r="H2661" s="1" t="s">
        <v>47</v>
      </c>
      <c r="I2661" s="1" t="s">
        <v>18</v>
      </c>
      <c r="J2661">
        <v>45</v>
      </c>
      <c r="K2661">
        <v>34</v>
      </c>
      <c r="L2661" s="1" t="s">
        <v>21</v>
      </c>
    </row>
    <row r="2662" spans="1:12" x14ac:dyDescent="0.3">
      <c r="A2662" s="1" t="s">
        <v>2339</v>
      </c>
      <c r="B2662" s="2">
        <v>45808</v>
      </c>
      <c r="C2662" s="2">
        <v>45822</v>
      </c>
      <c r="D2662" s="1" t="s">
        <v>13</v>
      </c>
      <c r="E2662" s="1" t="s">
        <v>14</v>
      </c>
      <c r="F2662" s="1" t="s">
        <v>15</v>
      </c>
      <c r="G2662" s="1" t="s">
        <v>16</v>
      </c>
      <c r="H2662" s="1" t="s">
        <v>17</v>
      </c>
      <c r="I2662" s="1" t="s">
        <v>18</v>
      </c>
      <c r="J2662">
        <v>30</v>
      </c>
      <c r="K2662">
        <v>14</v>
      </c>
      <c r="L2662" s="1" t="s">
        <v>30</v>
      </c>
    </row>
    <row r="2663" spans="1:12" x14ac:dyDescent="0.3">
      <c r="A2663" s="1" t="s">
        <v>2638</v>
      </c>
      <c r="B2663" s="2">
        <v>45808</v>
      </c>
      <c r="C2663" s="2">
        <v>45832</v>
      </c>
      <c r="D2663" s="1" t="s">
        <v>28</v>
      </c>
      <c r="E2663" s="1" t="s">
        <v>14</v>
      </c>
      <c r="F2663" s="1" t="s">
        <v>38</v>
      </c>
      <c r="G2663" s="1" t="s">
        <v>16</v>
      </c>
      <c r="H2663" s="1" t="s">
        <v>54</v>
      </c>
      <c r="I2663" s="1" t="s">
        <v>41</v>
      </c>
      <c r="J2663">
        <v>30</v>
      </c>
      <c r="K2663">
        <v>24</v>
      </c>
      <c r="L2663" s="1" t="s">
        <v>19</v>
      </c>
    </row>
    <row r="2664" spans="1:12" x14ac:dyDescent="0.3">
      <c r="A2664" s="1" t="s">
        <v>574</v>
      </c>
      <c r="B2664" s="2">
        <v>45808</v>
      </c>
      <c r="C2664" s="2">
        <v>45854</v>
      </c>
      <c r="D2664" s="1" t="s">
        <v>37</v>
      </c>
      <c r="E2664" s="1" t="s">
        <v>24</v>
      </c>
      <c r="F2664" s="1" t="s">
        <v>38</v>
      </c>
      <c r="G2664" s="1" t="s">
        <v>16</v>
      </c>
      <c r="H2664" s="1" t="s">
        <v>39</v>
      </c>
      <c r="I2664" s="1" t="s">
        <v>26</v>
      </c>
      <c r="J2664">
        <v>45</v>
      </c>
      <c r="K2664">
        <v>46</v>
      </c>
      <c r="L2664" s="1" t="s">
        <v>44</v>
      </c>
    </row>
    <row r="2665" spans="1:12" x14ac:dyDescent="0.3">
      <c r="A2665" s="1" t="s">
        <v>82</v>
      </c>
      <c r="B2665" s="2">
        <v>45808</v>
      </c>
      <c r="C2665" s="2">
        <v>45842</v>
      </c>
      <c r="D2665" s="1" t="s">
        <v>37</v>
      </c>
      <c r="E2665" s="1" t="s">
        <v>24</v>
      </c>
      <c r="F2665" s="1" t="s">
        <v>15</v>
      </c>
      <c r="G2665" s="1" t="s">
        <v>16</v>
      </c>
      <c r="H2665" s="1" t="s">
        <v>49</v>
      </c>
      <c r="I2665" s="1" t="s">
        <v>18</v>
      </c>
      <c r="J2665">
        <v>30</v>
      </c>
      <c r="K2665">
        <v>34</v>
      </c>
      <c r="L2665" s="1" t="s">
        <v>21</v>
      </c>
    </row>
    <row r="2666" spans="1:12" x14ac:dyDescent="0.3">
      <c r="A2666" s="1" t="s">
        <v>209</v>
      </c>
      <c r="B2666" s="2">
        <v>45808</v>
      </c>
      <c r="C2666" s="2">
        <v>45833</v>
      </c>
      <c r="D2666" s="1" t="s">
        <v>37</v>
      </c>
      <c r="E2666" s="1" t="s">
        <v>24</v>
      </c>
      <c r="F2666" s="1" t="s">
        <v>15</v>
      </c>
      <c r="G2666" s="1" t="s">
        <v>53</v>
      </c>
      <c r="H2666" s="1" t="s">
        <v>49</v>
      </c>
      <c r="I2666" s="1" t="s">
        <v>18</v>
      </c>
      <c r="J2666">
        <v>45</v>
      </c>
      <c r="K2666">
        <v>25</v>
      </c>
      <c r="L2666" s="1" t="s">
        <v>19</v>
      </c>
    </row>
    <row r="2667" spans="1:12" x14ac:dyDescent="0.3">
      <c r="A2667" s="1" t="s">
        <v>228</v>
      </c>
      <c r="B2667" s="2">
        <v>45808</v>
      </c>
      <c r="C2667" s="2">
        <v>45832</v>
      </c>
      <c r="D2667" s="1" t="s">
        <v>37</v>
      </c>
      <c r="E2667" s="1" t="s">
        <v>14</v>
      </c>
      <c r="F2667" s="1" t="s">
        <v>38</v>
      </c>
      <c r="G2667" s="1" t="s">
        <v>16</v>
      </c>
      <c r="H2667" s="1" t="s">
        <v>49</v>
      </c>
      <c r="I2667" s="1" t="s">
        <v>26</v>
      </c>
      <c r="J2667">
        <v>15</v>
      </c>
      <c r="K2667">
        <v>24</v>
      </c>
      <c r="L2667" s="1" t="s">
        <v>19</v>
      </c>
    </row>
    <row r="2668" spans="1:12" x14ac:dyDescent="0.3">
      <c r="A2668" s="1" t="s">
        <v>391</v>
      </c>
      <c r="B2668" s="2">
        <v>45807</v>
      </c>
      <c r="C2668" s="2">
        <v>45849</v>
      </c>
      <c r="D2668" s="1" t="s">
        <v>23</v>
      </c>
      <c r="E2668" s="1" t="s">
        <v>24</v>
      </c>
      <c r="F2668" s="1" t="s">
        <v>38</v>
      </c>
      <c r="G2668" s="1" t="s">
        <v>16</v>
      </c>
      <c r="H2668" s="1" t="s">
        <v>25</v>
      </c>
      <c r="I2668" s="1" t="s">
        <v>41</v>
      </c>
      <c r="J2668">
        <v>30</v>
      </c>
      <c r="K2668">
        <v>42</v>
      </c>
      <c r="L2668" s="1" t="s">
        <v>21</v>
      </c>
    </row>
    <row r="2669" spans="1:12" x14ac:dyDescent="0.3">
      <c r="A2669" s="1" t="s">
        <v>1118</v>
      </c>
      <c r="B2669" s="2">
        <v>45807</v>
      </c>
      <c r="C2669" s="2">
        <v>45863</v>
      </c>
      <c r="D2669" s="1" t="s">
        <v>23</v>
      </c>
      <c r="E2669" s="1" t="s">
        <v>14</v>
      </c>
      <c r="F2669" s="1" t="s">
        <v>15</v>
      </c>
      <c r="G2669" s="1" t="s">
        <v>16</v>
      </c>
      <c r="H2669" s="1" t="s">
        <v>43</v>
      </c>
      <c r="I2669" s="1" t="s">
        <v>26</v>
      </c>
      <c r="J2669">
        <v>15</v>
      </c>
      <c r="K2669">
        <v>56</v>
      </c>
      <c r="L2669" s="1" t="s">
        <v>44</v>
      </c>
    </row>
    <row r="2670" spans="1:12" x14ac:dyDescent="0.3">
      <c r="A2670" s="1" t="s">
        <v>1820</v>
      </c>
      <c r="B2670" s="2">
        <v>45807</v>
      </c>
      <c r="C2670" s="2">
        <v>45850</v>
      </c>
      <c r="D2670" s="1" t="s">
        <v>13</v>
      </c>
      <c r="E2670" s="1" t="s">
        <v>24</v>
      </c>
      <c r="F2670" s="1" t="s">
        <v>15</v>
      </c>
      <c r="G2670" s="1" t="s">
        <v>16</v>
      </c>
      <c r="H2670" s="1" t="s">
        <v>17</v>
      </c>
      <c r="I2670" s="1" t="s">
        <v>26</v>
      </c>
      <c r="J2670">
        <v>30</v>
      </c>
      <c r="K2670">
        <v>43</v>
      </c>
      <c r="L2670" s="1" t="s">
        <v>44</v>
      </c>
    </row>
    <row r="2671" spans="1:12" x14ac:dyDescent="0.3">
      <c r="A2671" s="1" t="s">
        <v>1978</v>
      </c>
      <c r="B2671" s="2">
        <v>45807</v>
      </c>
      <c r="C2671" s="2">
        <v>45841</v>
      </c>
      <c r="D2671" s="1" t="s">
        <v>23</v>
      </c>
      <c r="E2671" s="1" t="s">
        <v>24</v>
      </c>
      <c r="F2671" s="1" t="s">
        <v>15</v>
      </c>
      <c r="G2671" s="1" t="s">
        <v>53</v>
      </c>
      <c r="H2671" s="1" t="s">
        <v>25</v>
      </c>
      <c r="I2671" s="1" t="s">
        <v>26</v>
      </c>
      <c r="J2671">
        <v>30</v>
      </c>
      <c r="K2671">
        <v>34</v>
      </c>
      <c r="L2671" s="1" t="s">
        <v>21</v>
      </c>
    </row>
    <row r="2672" spans="1:12" x14ac:dyDescent="0.3">
      <c r="A2672" s="1" t="s">
        <v>1983</v>
      </c>
      <c r="B2672" s="2">
        <v>45807</v>
      </c>
      <c r="C2672" s="2">
        <v>45837</v>
      </c>
      <c r="D2672" s="1" t="s">
        <v>23</v>
      </c>
      <c r="E2672" s="1" t="s">
        <v>24</v>
      </c>
      <c r="F2672" s="1" t="s">
        <v>15</v>
      </c>
      <c r="G2672" s="1" t="s">
        <v>16</v>
      </c>
      <c r="H2672" s="1" t="s">
        <v>25</v>
      </c>
      <c r="I2672" s="1" t="s">
        <v>18</v>
      </c>
      <c r="J2672">
        <v>30</v>
      </c>
      <c r="K2672">
        <v>30</v>
      </c>
      <c r="L2672" s="1" t="s">
        <v>21</v>
      </c>
    </row>
    <row r="2673" spans="1:12" x14ac:dyDescent="0.3">
      <c r="A2673" s="1" t="s">
        <v>2137</v>
      </c>
      <c r="B2673" s="2">
        <v>45807</v>
      </c>
      <c r="C2673" s="2">
        <v>45853</v>
      </c>
      <c r="D2673" s="1" t="s">
        <v>13</v>
      </c>
      <c r="E2673" s="1" t="s">
        <v>14</v>
      </c>
      <c r="F2673" s="1" t="s">
        <v>15</v>
      </c>
      <c r="G2673" s="1" t="s">
        <v>16</v>
      </c>
      <c r="H2673" s="1" t="s">
        <v>47</v>
      </c>
      <c r="I2673" s="1" t="s">
        <v>41</v>
      </c>
      <c r="J2673">
        <v>15</v>
      </c>
      <c r="K2673">
        <v>46</v>
      </c>
      <c r="L2673" s="1" t="s">
        <v>44</v>
      </c>
    </row>
    <row r="2674" spans="1:12" x14ac:dyDescent="0.3">
      <c r="A2674" s="1" t="s">
        <v>2475</v>
      </c>
      <c r="B2674" s="2">
        <v>45807</v>
      </c>
      <c r="C2674" s="2">
        <v>45836</v>
      </c>
      <c r="D2674" s="1" t="s">
        <v>13</v>
      </c>
      <c r="E2674" s="1" t="s">
        <v>14</v>
      </c>
      <c r="F2674" s="1" t="s">
        <v>15</v>
      </c>
      <c r="G2674" s="1" t="s">
        <v>16</v>
      </c>
      <c r="H2674" s="1" t="s">
        <v>47</v>
      </c>
      <c r="I2674" s="1" t="s">
        <v>41</v>
      </c>
      <c r="J2674">
        <v>15</v>
      </c>
      <c r="K2674">
        <v>29</v>
      </c>
      <c r="L2674" s="1" t="s">
        <v>21</v>
      </c>
    </row>
    <row r="2675" spans="1:12" x14ac:dyDescent="0.3">
      <c r="A2675" s="1" t="s">
        <v>1598</v>
      </c>
      <c r="B2675" s="2">
        <v>45807</v>
      </c>
      <c r="C2675" s="2">
        <v>45855</v>
      </c>
      <c r="D2675" s="1" t="s">
        <v>37</v>
      </c>
      <c r="E2675" s="1" t="s">
        <v>24</v>
      </c>
      <c r="F2675" s="1" t="s">
        <v>15</v>
      </c>
      <c r="G2675" s="1" t="s">
        <v>16</v>
      </c>
      <c r="H2675" s="1" t="s">
        <v>49</v>
      </c>
      <c r="I2675" s="1" t="s">
        <v>26</v>
      </c>
      <c r="J2675">
        <v>30</v>
      </c>
      <c r="K2675">
        <v>48</v>
      </c>
      <c r="L2675" s="1" t="s">
        <v>44</v>
      </c>
    </row>
    <row r="2676" spans="1:12" x14ac:dyDescent="0.3">
      <c r="A2676" s="1" t="s">
        <v>1529</v>
      </c>
      <c r="B2676" s="2">
        <v>45807</v>
      </c>
      <c r="C2676" s="2">
        <v>45850</v>
      </c>
      <c r="D2676" s="1" t="s">
        <v>37</v>
      </c>
      <c r="E2676" s="1" t="s">
        <v>14</v>
      </c>
      <c r="F2676" s="1" t="s">
        <v>15</v>
      </c>
      <c r="G2676" s="1" t="s">
        <v>16</v>
      </c>
      <c r="H2676" s="1" t="s">
        <v>39</v>
      </c>
      <c r="I2676" s="1" t="s">
        <v>26</v>
      </c>
      <c r="J2676">
        <v>15</v>
      </c>
      <c r="K2676">
        <v>43</v>
      </c>
      <c r="L2676" s="1" t="s">
        <v>44</v>
      </c>
    </row>
    <row r="2677" spans="1:12" x14ac:dyDescent="0.3">
      <c r="A2677" s="1" t="s">
        <v>2411</v>
      </c>
      <c r="B2677" s="2">
        <v>45807</v>
      </c>
      <c r="C2677" s="2">
        <v>45816</v>
      </c>
      <c r="D2677" s="1" t="s">
        <v>37</v>
      </c>
      <c r="E2677" s="1" t="s">
        <v>14</v>
      </c>
      <c r="F2677" s="1" t="s">
        <v>15</v>
      </c>
      <c r="G2677" s="1" t="s">
        <v>16</v>
      </c>
      <c r="H2677" s="1" t="s">
        <v>39</v>
      </c>
      <c r="I2677" s="1" t="s">
        <v>41</v>
      </c>
      <c r="J2677">
        <v>30</v>
      </c>
      <c r="K2677">
        <v>9</v>
      </c>
      <c r="L2677" s="1" t="s">
        <v>30</v>
      </c>
    </row>
    <row r="2678" spans="1:12" x14ac:dyDescent="0.3">
      <c r="A2678" s="1" t="s">
        <v>2762</v>
      </c>
      <c r="B2678" s="2">
        <v>45807</v>
      </c>
      <c r="C2678" s="2">
        <v>45824</v>
      </c>
      <c r="D2678" s="1" t="s">
        <v>32</v>
      </c>
      <c r="E2678" s="1" t="s">
        <v>24</v>
      </c>
      <c r="F2678" s="1" t="s">
        <v>15</v>
      </c>
      <c r="G2678" s="1" t="s">
        <v>16</v>
      </c>
      <c r="H2678" s="1" t="s">
        <v>34</v>
      </c>
      <c r="I2678" s="1" t="s">
        <v>26</v>
      </c>
      <c r="J2678">
        <v>45</v>
      </c>
      <c r="K2678">
        <v>17</v>
      </c>
      <c r="L2678" s="1" t="s">
        <v>19</v>
      </c>
    </row>
    <row r="2679" spans="1:12" x14ac:dyDescent="0.3">
      <c r="A2679" s="1" t="s">
        <v>2975</v>
      </c>
      <c r="B2679" s="2">
        <v>45807</v>
      </c>
      <c r="C2679" s="2">
        <v>45828</v>
      </c>
      <c r="D2679" s="1" t="s">
        <v>23</v>
      </c>
      <c r="E2679" s="1" t="s">
        <v>14</v>
      </c>
      <c r="F2679" s="1" t="s">
        <v>15</v>
      </c>
      <c r="G2679" s="1" t="s">
        <v>16</v>
      </c>
      <c r="H2679" s="1" t="s">
        <v>43</v>
      </c>
      <c r="I2679" s="1" t="s">
        <v>26</v>
      </c>
      <c r="J2679">
        <v>15</v>
      </c>
      <c r="K2679">
        <v>21</v>
      </c>
      <c r="L2679" s="1" t="s">
        <v>19</v>
      </c>
    </row>
    <row r="2680" spans="1:12" x14ac:dyDescent="0.3">
      <c r="A2680" s="1" t="s">
        <v>124</v>
      </c>
      <c r="B2680" s="2">
        <v>45806</v>
      </c>
      <c r="C2680" s="2">
        <v>45808</v>
      </c>
      <c r="D2680" s="1" t="s">
        <v>23</v>
      </c>
      <c r="E2680" s="1" t="s">
        <v>24</v>
      </c>
      <c r="F2680" s="1" t="s">
        <v>38</v>
      </c>
      <c r="G2680" s="1" t="s">
        <v>16</v>
      </c>
      <c r="H2680" s="1" t="s">
        <v>43</v>
      </c>
      <c r="I2680" s="1" t="s">
        <v>41</v>
      </c>
      <c r="J2680">
        <v>45</v>
      </c>
      <c r="K2680">
        <v>2</v>
      </c>
      <c r="L2680" s="1" t="s">
        <v>30</v>
      </c>
    </row>
    <row r="2681" spans="1:12" x14ac:dyDescent="0.3">
      <c r="A2681" s="1" t="s">
        <v>219</v>
      </c>
      <c r="B2681" s="2">
        <v>45806</v>
      </c>
      <c r="C2681" s="2">
        <v>45837</v>
      </c>
      <c r="D2681" s="1" t="s">
        <v>13</v>
      </c>
      <c r="E2681" s="1" t="s">
        <v>24</v>
      </c>
      <c r="F2681" s="1" t="s">
        <v>15</v>
      </c>
      <c r="G2681" s="1" t="s">
        <v>16</v>
      </c>
      <c r="H2681" s="1" t="s">
        <v>47</v>
      </c>
      <c r="I2681" s="1" t="s">
        <v>41</v>
      </c>
      <c r="J2681">
        <v>45</v>
      </c>
      <c r="K2681">
        <v>31</v>
      </c>
      <c r="L2681" s="1" t="s">
        <v>21</v>
      </c>
    </row>
    <row r="2682" spans="1:12" x14ac:dyDescent="0.3">
      <c r="A2682" s="1" t="s">
        <v>328</v>
      </c>
      <c r="B2682" s="2">
        <v>45806</v>
      </c>
      <c r="C2682" s="2">
        <v>45841</v>
      </c>
      <c r="D2682" s="1" t="s">
        <v>32</v>
      </c>
      <c r="E2682" s="1" t="s">
        <v>14</v>
      </c>
      <c r="F2682" s="1" t="s">
        <v>15</v>
      </c>
      <c r="G2682" s="1" t="s">
        <v>16</v>
      </c>
      <c r="H2682" s="1" t="s">
        <v>71</v>
      </c>
      <c r="I2682" s="1" t="s">
        <v>26</v>
      </c>
      <c r="J2682">
        <v>30</v>
      </c>
      <c r="K2682">
        <v>35</v>
      </c>
      <c r="L2682" s="1" t="s">
        <v>21</v>
      </c>
    </row>
    <row r="2683" spans="1:12" x14ac:dyDescent="0.3">
      <c r="A2683" s="1" t="s">
        <v>1737</v>
      </c>
      <c r="B2683" s="2">
        <v>45806</v>
      </c>
      <c r="C2683" s="2">
        <v>45834</v>
      </c>
      <c r="D2683" s="1" t="s">
        <v>32</v>
      </c>
      <c r="E2683" s="1" t="s">
        <v>14</v>
      </c>
      <c r="F2683" s="1" t="s">
        <v>38</v>
      </c>
      <c r="G2683" s="1" t="s">
        <v>16</v>
      </c>
      <c r="H2683" s="1" t="s">
        <v>34</v>
      </c>
      <c r="I2683" s="1" t="s">
        <v>26</v>
      </c>
      <c r="J2683">
        <v>15</v>
      </c>
      <c r="K2683">
        <v>28</v>
      </c>
      <c r="L2683" s="1" t="s">
        <v>19</v>
      </c>
    </row>
    <row r="2684" spans="1:12" x14ac:dyDescent="0.3">
      <c r="A2684" s="1" t="s">
        <v>1896</v>
      </c>
      <c r="B2684" s="2">
        <v>45806</v>
      </c>
      <c r="C2684" s="2">
        <v>45834</v>
      </c>
      <c r="D2684" s="1" t="s">
        <v>28</v>
      </c>
      <c r="E2684" s="1" t="s">
        <v>14</v>
      </c>
      <c r="F2684" s="1" t="s">
        <v>15</v>
      </c>
      <c r="G2684" s="1" t="s">
        <v>16</v>
      </c>
      <c r="H2684" s="1" t="s">
        <v>54</v>
      </c>
      <c r="I2684" s="1" t="s">
        <v>26</v>
      </c>
      <c r="J2684">
        <v>15</v>
      </c>
      <c r="K2684">
        <v>28</v>
      </c>
      <c r="L2684" s="1" t="s">
        <v>19</v>
      </c>
    </row>
    <row r="2685" spans="1:12" x14ac:dyDescent="0.3">
      <c r="A2685" s="1" t="s">
        <v>1950</v>
      </c>
      <c r="B2685" s="2">
        <v>45806</v>
      </c>
      <c r="C2685" s="2">
        <v>45808</v>
      </c>
      <c r="D2685" s="1" t="s">
        <v>28</v>
      </c>
      <c r="E2685" s="1" t="s">
        <v>14</v>
      </c>
      <c r="F2685" s="1" t="s">
        <v>15</v>
      </c>
      <c r="G2685" s="1" t="s">
        <v>16</v>
      </c>
      <c r="H2685" s="1" t="s">
        <v>29</v>
      </c>
      <c r="I2685" s="1" t="s">
        <v>26</v>
      </c>
      <c r="J2685">
        <v>15</v>
      </c>
      <c r="K2685">
        <v>2</v>
      </c>
      <c r="L2685" s="1" t="s">
        <v>30</v>
      </c>
    </row>
    <row r="2686" spans="1:12" x14ac:dyDescent="0.3">
      <c r="A2686" s="1" t="s">
        <v>2702</v>
      </c>
      <c r="B2686" s="2">
        <v>45806</v>
      </c>
      <c r="C2686" s="2">
        <v>45834</v>
      </c>
      <c r="D2686" s="1" t="s">
        <v>37</v>
      </c>
      <c r="E2686" s="1" t="s">
        <v>24</v>
      </c>
      <c r="F2686" s="1" t="s">
        <v>15</v>
      </c>
      <c r="G2686" s="1" t="s">
        <v>16</v>
      </c>
      <c r="H2686" s="1" t="s">
        <v>49</v>
      </c>
      <c r="I2686" s="1" t="s">
        <v>26</v>
      </c>
      <c r="J2686">
        <v>30</v>
      </c>
      <c r="K2686">
        <v>28</v>
      </c>
      <c r="L2686" s="1" t="s">
        <v>19</v>
      </c>
    </row>
    <row r="2687" spans="1:12" x14ac:dyDescent="0.3">
      <c r="A2687" s="1" t="s">
        <v>3205</v>
      </c>
      <c r="B2687" s="2">
        <v>45806</v>
      </c>
      <c r="C2687" s="2">
        <v>45840</v>
      </c>
      <c r="D2687" s="1" t="s">
        <v>23</v>
      </c>
      <c r="E2687" s="1" t="s">
        <v>14</v>
      </c>
      <c r="F2687" s="1" t="s">
        <v>15</v>
      </c>
      <c r="G2687" s="1" t="s">
        <v>16</v>
      </c>
      <c r="H2687" s="1" t="s">
        <v>43</v>
      </c>
      <c r="I2687" s="1" t="s">
        <v>26</v>
      </c>
      <c r="J2687">
        <v>30</v>
      </c>
      <c r="K2687">
        <v>34</v>
      </c>
      <c r="L2687" s="1" t="s">
        <v>21</v>
      </c>
    </row>
    <row r="2688" spans="1:12" x14ac:dyDescent="0.3">
      <c r="A2688" s="1" t="s">
        <v>979</v>
      </c>
      <c r="B2688" s="2">
        <v>45805</v>
      </c>
      <c r="C2688" s="2">
        <v>45837</v>
      </c>
      <c r="D2688" s="1" t="s">
        <v>28</v>
      </c>
      <c r="E2688" s="1" t="s">
        <v>14</v>
      </c>
      <c r="F2688" s="1" t="s">
        <v>15</v>
      </c>
      <c r="G2688" s="1" t="s">
        <v>16</v>
      </c>
      <c r="H2688" s="1" t="s">
        <v>54</v>
      </c>
      <c r="I2688" s="1" t="s">
        <v>18</v>
      </c>
      <c r="J2688">
        <v>15</v>
      </c>
      <c r="K2688">
        <v>32</v>
      </c>
      <c r="L2688" s="1" t="s">
        <v>21</v>
      </c>
    </row>
    <row r="2689" spans="1:12" x14ac:dyDescent="0.3">
      <c r="A2689" s="1" t="s">
        <v>1989</v>
      </c>
      <c r="B2689" s="2">
        <v>45805</v>
      </c>
      <c r="C2689" s="2">
        <v>45836</v>
      </c>
      <c r="D2689" s="1" t="s">
        <v>28</v>
      </c>
      <c r="E2689" s="1" t="s">
        <v>24</v>
      </c>
      <c r="F2689" s="1" t="s">
        <v>15</v>
      </c>
      <c r="G2689" s="1" t="s">
        <v>16</v>
      </c>
      <c r="H2689" s="1" t="s">
        <v>29</v>
      </c>
      <c r="I2689" s="1" t="s">
        <v>41</v>
      </c>
      <c r="J2689">
        <v>30</v>
      </c>
      <c r="K2689">
        <v>31</v>
      </c>
      <c r="L2689" s="1" t="s">
        <v>21</v>
      </c>
    </row>
    <row r="2690" spans="1:12" x14ac:dyDescent="0.3">
      <c r="A2690" s="1" t="s">
        <v>2469</v>
      </c>
      <c r="B2690" s="2">
        <v>45805</v>
      </c>
      <c r="C2690" s="2">
        <v>45819</v>
      </c>
      <c r="D2690" s="1" t="s">
        <v>28</v>
      </c>
      <c r="E2690" s="1" t="s">
        <v>14</v>
      </c>
      <c r="F2690" s="1" t="s">
        <v>15</v>
      </c>
      <c r="G2690" s="1" t="s">
        <v>16</v>
      </c>
      <c r="H2690" s="1" t="s">
        <v>29</v>
      </c>
      <c r="I2690" s="1" t="s">
        <v>26</v>
      </c>
      <c r="J2690">
        <v>15</v>
      </c>
      <c r="K2690">
        <v>14</v>
      </c>
      <c r="L2690" s="1" t="s">
        <v>30</v>
      </c>
    </row>
    <row r="2691" spans="1:12" x14ac:dyDescent="0.3">
      <c r="A2691" s="1" t="s">
        <v>792</v>
      </c>
      <c r="B2691" s="2">
        <v>45805</v>
      </c>
      <c r="C2691" s="2">
        <v>45844</v>
      </c>
      <c r="D2691" s="1" t="s">
        <v>37</v>
      </c>
      <c r="E2691" s="1" t="s">
        <v>14</v>
      </c>
      <c r="F2691" s="1" t="s">
        <v>15</v>
      </c>
      <c r="G2691" s="1" t="s">
        <v>16</v>
      </c>
      <c r="H2691" s="1" t="s">
        <v>49</v>
      </c>
      <c r="I2691" s="1" t="s">
        <v>26</v>
      </c>
      <c r="J2691">
        <v>15</v>
      </c>
      <c r="K2691">
        <v>39</v>
      </c>
      <c r="L2691" s="1" t="s">
        <v>21</v>
      </c>
    </row>
    <row r="2692" spans="1:12" x14ac:dyDescent="0.3">
      <c r="A2692" s="1" t="s">
        <v>2910</v>
      </c>
      <c r="B2692" s="2">
        <v>45805</v>
      </c>
      <c r="C2692" s="2">
        <v>45814</v>
      </c>
      <c r="D2692" s="1" t="s">
        <v>28</v>
      </c>
      <c r="E2692" s="1" t="s">
        <v>14</v>
      </c>
      <c r="F2692" s="1" t="s">
        <v>38</v>
      </c>
      <c r="G2692" s="1" t="s">
        <v>16</v>
      </c>
      <c r="H2692" s="1" t="s">
        <v>54</v>
      </c>
      <c r="I2692" s="1" t="s">
        <v>26</v>
      </c>
      <c r="J2692">
        <v>15</v>
      </c>
      <c r="K2692">
        <v>9</v>
      </c>
      <c r="L2692" s="1" t="s">
        <v>30</v>
      </c>
    </row>
    <row r="2693" spans="1:12" x14ac:dyDescent="0.3">
      <c r="A2693" s="1" t="s">
        <v>99</v>
      </c>
      <c r="B2693" s="2">
        <v>45804</v>
      </c>
      <c r="C2693" s="2">
        <v>45807</v>
      </c>
      <c r="D2693" s="1" t="s">
        <v>23</v>
      </c>
      <c r="E2693" s="1" t="s">
        <v>24</v>
      </c>
      <c r="F2693" s="1" t="s">
        <v>15</v>
      </c>
      <c r="G2693" s="1" t="s">
        <v>16</v>
      </c>
      <c r="H2693" s="1" t="s">
        <v>43</v>
      </c>
      <c r="I2693" s="1" t="s">
        <v>26</v>
      </c>
      <c r="J2693">
        <v>30</v>
      </c>
      <c r="K2693">
        <v>3</v>
      </c>
      <c r="L2693" s="1" t="s">
        <v>30</v>
      </c>
    </row>
    <row r="2694" spans="1:12" x14ac:dyDescent="0.3">
      <c r="A2694" s="1" t="s">
        <v>575</v>
      </c>
      <c r="B2694" s="2">
        <v>45804</v>
      </c>
      <c r="C2694" s="2">
        <v>45841</v>
      </c>
      <c r="D2694" s="1" t="s">
        <v>13</v>
      </c>
      <c r="E2694" s="1" t="s">
        <v>24</v>
      </c>
      <c r="F2694" s="1" t="s">
        <v>38</v>
      </c>
      <c r="G2694" s="1" t="s">
        <v>16</v>
      </c>
      <c r="H2694" s="1" t="s">
        <v>47</v>
      </c>
      <c r="I2694" s="1" t="s">
        <v>26</v>
      </c>
      <c r="J2694">
        <v>30</v>
      </c>
      <c r="K2694">
        <v>37</v>
      </c>
      <c r="L2694" s="1" t="s">
        <v>21</v>
      </c>
    </row>
    <row r="2695" spans="1:12" x14ac:dyDescent="0.3">
      <c r="A2695" s="1" t="s">
        <v>1448</v>
      </c>
      <c r="B2695" s="2">
        <v>45804</v>
      </c>
      <c r="C2695" s="2">
        <v>45810</v>
      </c>
      <c r="D2695" s="1" t="s">
        <v>23</v>
      </c>
      <c r="E2695" s="1" t="s">
        <v>14</v>
      </c>
      <c r="F2695" s="1" t="s">
        <v>15</v>
      </c>
      <c r="G2695" s="1" t="s">
        <v>33</v>
      </c>
      <c r="H2695" s="1" t="s">
        <v>25</v>
      </c>
      <c r="I2695" s="1" t="s">
        <v>18</v>
      </c>
      <c r="J2695">
        <v>15</v>
      </c>
      <c r="K2695">
        <v>6</v>
      </c>
      <c r="L2695" s="1" t="s">
        <v>30</v>
      </c>
    </row>
    <row r="2696" spans="1:12" x14ac:dyDescent="0.3">
      <c r="A2696" s="1" t="s">
        <v>1697</v>
      </c>
      <c r="B2696" s="2">
        <v>45804</v>
      </c>
      <c r="C2696" s="2">
        <v>45857</v>
      </c>
      <c r="D2696" s="1" t="s">
        <v>32</v>
      </c>
      <c r="E2696" s="1" t="s">
        <v>14</v>
      </c>
      <c r="F2696" s="1" t="s">
        <v>15</v>
      </c>
      <c r="G2696" s="1" t="s">
        <v>16</v>
      </c>
      <c r="H2696" s="1" t="s">
        <v>34</v>
      </c>
      <c r="I2696" s="1" t="s">
        <v>41</v>
      </c>
      <c r="J2696">
        <v>15</v>
      </c>
      <c r="K2696">
        <v>53</v>
      </c>
      <c r="L2696" s="1" t="s">
        <v>44</v>
      </c>
    </row>
    <row r="2697" spans="1:12" x14ac:dyDescent="0.3">
      <c r="A2697" s="1" t="s">
        <v>2264</v>
      </c>
      <c r="B2697" s="2">
        <v>45804</v>
      </c>
      <c r="C2697" s="2">
        <v>45806</v>
      </c>
      <c r="D2697" s="1" t="s">
        <v>23</v>
      </c>
      <c r="E2697" s="1" t="s">
        <v>14</v>
      </c>
      <c r="F2697" s="1" t="s">
        <v>15</v>
      </c>
      <c r="G2697" s="1" t="s">
        <v>53</v>
      </c>
      <c r="H2697" s="1" t="s">
        <v>43</v>
      </c>
      <c r="I2697" s="1" t="s">
        <v>18</v>
      </c>
      <c r="J2697">
        <v>15</v>
      </c>
      <c r="K2697">
        <v>2</v>
      </c>
      <c r="L2697" s="1" t="s">
        <v>30</v>
      </c>
    </row>
    <row r="2698" spans="1:12" x14ac:dyDescent="0.3">
      <c r="A2698" s="1" t="s">
        <v>2291</v>
      </c>
      <c r="B2698" s="2">
        <v>45804</v>
      </c>
      <c r="C2698" s="2">
        <v>45837</v>
      </c>
      <c r="D2698" s="1" t="s">
        <v>13</v>
      </c>
      <c r="E2698" s="1" t="s">
        <v>24</v>
      </c>
      <c r="F2698" s="1" t="s">
        <v>15</v>
      </c>
      <c r="G2698" s="1" t="s">
        <v>53</v>
      </c>
      <c r="H2698" s="1" t="s">
        <v>47</v>
      </c>
      <c r="I2698" s="1" t="s">
        <v>26</v>
      </c>
      <c r="J2698">
        <v>30</v>
      </c>
      <c r="K2698">
        <v>33</v>
      </c>
      <c r="L2698" s="1" t="s">
        <v>21</v>
      </c>
    </row>
    <row r="2699" spans="1:12" x14ac:dyDescent="0.3">
      <c r="A2699" s="1" t="s">
        <v>926</v>
      </c>
      <c r="B2699" s="2">
        <v>45804</v>
      </c>
      <c r="C2699" s="2">
        <v>45852</v>
      </c>
      <c r="D2699" s="1" t="s">
        <v>37</v>
      </c>
      <c r="E2699" s="1" t="s">
        <v>24</v>
      </c>
      <c r="F2699" s="1" t="s">
        <v>15</v>
      </c>
      <c r="G2699" s="1" t="s">
        <v>16</v>
      </c>
      <c r="H2699" s="1" t="s">
        <v>49</v>
      </c>
      <c r="I2699" s="1" t="s">
        <v>26</v>
      </c>
      <c r="J2699">
        <v>45</v>
      </c>
      <c r="K2699">
        <v>48</v>
      </c>
      <c r="L2699" s="1" t="s">
        <v>44</v>
      </c>
    </row>
    <row r="2700" spans="1:12" x14ac:dyDescent="0.3">
      <c r="A2700" s="1" t="s">
        <v>889</v>
      </c>
      <c r="B2700" s="2">
        <v>45804</v>
      </c>
      <c r="C2700" s="2">
        <v>45844</v>
      </c>
      <c r="D2700" s="1" t="s">
        <v>37</v>
      </c>
      <c r="E2700" s="1" t="s">
        <v>14</v>
      </c>
      <c r="F2700" s="1" t="s">
        <v>38</v>
      </c>
      <c r="G2700" s="1" t="s">
        <v>53</v>
      </c>
      <c r="H2700" s="1" t="s">
        <v>49</v>
      </c>
      <c r="I2700" s="1" t="s">
        <v>18</v>
      </c>
      <c r="J2700">
        <v>15</v>
      </c>
      <c r="K2700">
        <v>40</v>
      </c>
      <c r="L2700" s="1" t="s">
        <v>21</v>
      </c>
    </row>
    <row r="2701" spans="1:12" x14ac:dyDescent="0.3">
      <c r="A2701" s="1" t="s">
        <v>3080</v>
      </c>
      <c r="B2701" s="2">
        <v>45804</v>
      </c>
      <c r="C2701" s="2">
        <v>45844</v>
      </c>
      <c r="D2701" s="1" t="s">
        <v>37</v>
      </c>
      <c r="E2701" s="1" t="s">
        <v>14</v>
      </c>
      <c r="F2701" s="1" t="s">
        <v>15</v>
      </c>
      <c r="G2701" s="1" t="s">
        <v>16</v>
      </c>
      <c r="H2701" s="1" t="s">
        <v>39</v>
      </c>
      <c r="I2701" s="1" t="s">
        <v>26</v>
      </c>
      <c r="J2701">
        <v>15</v>
      </c>
      <c r="K2701">
        <v>40</v>
      </c>
      <c r="L2701" s="1" t="s">
        <v>21</v>
      </c>
    </row>
    <row r="2702" spans="1:12" x14ac:dyDescent="0.3">
      <c r="A2702" s="1" t="s">
        <v>1271</v>
      </c>
      <c r="B2702" s="2">
        <v>45804</v>
      </c>
      <c r="C2702" s="2">
        <v>45828</v>
      </c>
      <c r="D2702" s="1" t="s">
        <v>37</v>
      </c>
      <c r="E2702" s="1" t="s">
        <v>14</v>
      </c>
      <c r="F2702" s="1" t="s">
        <v>15</v>
      </c>
      <c r="G2702" s="1" t="s">
        <v>16</v>
      </c>
      <c r="H2702" s="1" t="s">
        <v>39</v>
      </c>
      <c r="I2702" s="1" t="s">
        <v>26</v>
      </c>
      <c r="J2702">
        <v>30</v>
      </c>
      <c r="K2702">
        <v>24</v>
      </c>
      <c r="L2702" s="1" t="s">
        <v>19</v>
      </c>
    </row>
    <row r="2703" spans="1:12" x14ac:dyDescent="0.3">
      <c r="A2703" s="1" t="s">
        <v>2834</v>
      </c>
      <c r="B2703" s="2">
        <v>45804</v>
      </c>
      <c r="C2703" s="2">
        <v>45818</v>
      </c>
      <c r="D2703" s="1" t="s">
        <v>28</v>
      </c>
      <c r="E2703" s="1" t="s">
        <v>14</v>
      </c>
      <c r="F2703" s="1" t="s">
        <v>15</v>
      </c>
      <c r="G2703" s="1" t="s">
        <v>16</v>
      </c>
      <c r="H2703" s="1" t="s">
        <v>29</v>
      </c>
      <c r="I2703" s="1" t="s">
        <v>26</v>
      </c>
      <c r="J2703">
        <v>15</v>
      </c>
      <c r="K2703">
        <v>14</v>
      </c>
      <c r="L2703" s="1" t="s">
        <v>30</v>
      </c>
    </row>
    <row r="2704" spans="1:12" x14ac:dyDescent="0.3">
      <c r="A2704" s="1" t="s">
        <v>223</v>
      </c>
      <c r="B2704" s="2">
        <v>45803</v>
      </c>
      <c r="C2704" s="2">
        <v>45864</v>
      </c>
      <c r="D2704" s="1" t="s">
        <v>23</v>
      </c>
      <c r="E2704" s="1" t="s">
        <v>14</v>
      </c>
      <c r="F2704" s="1" t="s">
        <v>15</v>
      </c>
      <c r="G2704" s="1" t="s">
        <v>16</v>
      </c>
      <c r="H2704" s="1" t="s">
        <v>25</v>
      </c>
      <c r="I2704" s="1" t="s">
        <v>26</v>
      </c>
      <c r="J2704">
        <v>15</v>
      </c>
      <c r="K2704">
        <v>61</v>
      </c>
      <c r="L2704" s="1" t="s">
        <v>80</v>
      </c>
    </row>
    <row r="2705" spans="1:12" x14ac:dyDescent="0.3">
      <c r="A2705" s="1" t="s">
        <v>314</v>
      </c>
      <c r="B2705" s="2">
        <v>45803</v>
      </c>
      <c r="C2705" s="2">
        <v>45817</v>
      </c>
      <c r="D2705" s="1" t="s">
        <v>32</v>
      </c>
      <c r="E2705" s="1" t="s">
        <v>14</v>
      </c>
      <c r="F2705" s="1" t="s">
        <v>15</v>
      </c>
      <c r="G2705" s="1" t="s">
        <v>16</v>
      </c>
      <c r="H2705" s="1" t="s">
        <v>71</v>
      </c>
      <c r="I2705" s="1" t="s">
        <v>18</v>
      </c>
      <c r="J2705">
        <v>15</v>
      </c>
      <c r="K2705">
        <v>14</v>
      </c>
      <c r="L2705" s="1" t="s">
        <v>30</v>
      </c>
    </row>
    <row r="2706" spans="1:12" x14ac:dyDescent="0.3">
      <c r="A2706" s="1" t="s">
        <v>398</v>
      </c>
      <c r="B2706" s="2">
        <v>45803</v>
      </c>
      <c r="C2706" s="2">
        <v>45826</v>
      </c>
      <c r="D2706" s="1" t="s">
        <v>32</v>
      </c>
      <c r="E2706" s="1" t="s">
        <v>14</v>
      </c>
      <c r="F2706" s="1" t="s">
        <v>15</v>
      </c>
      <c r="G2706" s="1" t="s">
        <v>53</v>
      </c>
      <c r="H2706" s="1" t="s">
        <v>34</v>
      </c>
      <c r="I2706" s="1" t="s">
        <v>18</v>
      </c>
      <c r="J2706">
        <v>15</v>
      </c>
      <c r="K2706">
        <v>23</v>
      </c>
      <c r="L2706" s="1" t="s">
        <v>19</v>
      </c>
    </row>
    <row r="2707" spans="1:12" x14ac:dyDescent="0.3">
      <c r="A2707" s="1" t="s">
        <v>578</v>
      </c>
      <c r="B2707" s="2">
        <v>45803</v>
      </c>
      <c r="C2707" s="2">
        <v>45852</v>
      </c>
      <c r="D2707" s="1" t="s">
        <v>23</v>
      </c>
      <c r="E2707" s="1" t="s">
        <v>24</v>
      </c>
      <c r="F2707" s="1" t="s">
        <v>38</v>
      </c>
      <c r="G2707" s="1" t="s">
        <v>16</v>
      </c>
      <c r="H2707" s="1" t="s">
        <v>43</v>
      </c>
      <c r="I2707" s="1" t="s">
        <v>26</v>
      </c>
      <c r="J2707">
        <v>30</v>
      </c>
      <c r="K2707">
        <v>49</v>
      </c>
      <c r="L2707" s="1" t="s">
        <v>44</v>
      </c>
    </row>
    <row r="2708" spans="1:12" x14ac:dyDescent="0.3">
      <c r="A2708" s="1" t="s">
        <v>1003</v>
      </c>
      <c r="B2708" s="2">
        <v>45803</v>
      </c>
      <c r="C2708" s="2">
        <v>45834</v>
      </c>
      <c r="D2708" s="1" t="s">
        <v>28</v>
      </c>
      <c r="E2708" s="1" t="s">
        <v>24</v>
      </c>
      <c r="F2708" s="1" t="s">
        <v>38</v>
      </c>
      <c r="G2708" s="1" t="s">
        <v>53</v>
      </c>
      <c r="H2708" s="1" t="s">
        <v>54</v>
      </c>
      <c r="I2708" s="1" t="s">
        <v>41</v>
      </c>
      <c r="J2708">
        <v>30</v>
      </c>
      <c r="K2708">
        <v>31</v>
      </c>
      <c r="L2708" s="1" t="s">
        <v>21</v>
      </c>
    </row>
    <row r="2709" spans="1:12" x14ac:dyDescent="0.3">
      <c r="A2709" s="1" t="s">
        <v>1088</v>
      </c>
      <c r="B2709" s="2">
        <v>45803</v>
      </c>
      <c r="C2709" s="2">
        <v>45821</v>
      </c>
      <c r="D2709" s="1" t="s">
        <v>13</v>
      </c>
      <c r="E2709" s="1" t="s">
        <v>24</v>
      </c>
      <c r="F2709" s="1" t="s">
        <v>15</v>
      </c>
      <c r="G2709" s="1" t="s">
        <v>16</v>
      </c>
      <c r="H2709" s="1" t="s">
        <v>17</v>
      </c>
      <c r="I2709" s="1" t="s">
        <v>26</v>
      </c>
      <c r="J2709">
        <v>30</v>
      </c>
      <c r="K2709">
        <v>18</v>
      </c>
      <c r="L2709" s="1" t="s">
        <v>19</v>
      </c>
    </row>
    <row r="2710" spans="1:12" x14ac:dyDescent="0.3">
      <c r="A2710" s="1" t="s">
        <v>1523</v>
      </c>
      <c r="B2710" s="2">
        <v>45803</v>
      </c>
      <c r="C2710" s="2">
        <v>45860</v>
      </c>
      <c r="D2710" s="1" t="s">
        <v>28</v>
      </c>
      <c r="E2710" s="1" t="s">
        <v>14</v>
      </c>
      <c r="F2710" s="1" t="s">
        <v>15</v>
      </c>
      <c r="G2710" s="1" t="s">
        <v>16</v>
      </c>
      <c r="H2710" s="1" t="s">
        <v>54</v>
      </c>
      <c r="I2710" s="1" t="s">
        <v>26</v>
      </c>
      <c r="J2710">
        <v>30</v>
      </c>
      <c r="K2710">
        <v>57</v>
      </c>
      <c r="L2710" s="1" t="s">
        <v>80</v>
      </c>
    </row>
    <row r="2711" spans="1:12" x14ac:dyDescent="0.3">
      <c r="A2711" s="1" t="s">
        <v>1579</v>
      </c>
      <c r="B2711" s="2">
        <v>45803</v>
      </c>
      <c r="C2711" s="2">
        <v>45861</v>
      </c>
      <c r="D2711" s="1" t="s">
        <v>28</v>
      </c>
      <c r="E2711" s="1" t="s">
        <v>24</v>
      </c>
      <c r="F2711" s="1" t="s">
        <v>15</v>
      </c>
      <c r="G2711" s="1" t="s">
        <v>16</v>
      </c>
      <c r="H2711" s="1" t="s">
        <v>54</v>
      </c>
      <c r="I2711" s="1" t="s">
        <v>18</v>
      </c>
      <c r="J2711">
        <v>30</v>
      </c>
      <c r="K2711">
        <v>58</v>
      </c>
      <c r="L2711" s="1" t="s">
        <v>80</v>
      </c>
    </row>
    <row r="2712" spans="1:12" x14ac:dyDescent="0.3">
      <c r="A2712" s="1" t="s">
        <v>2012</v>
      </c>
      <c r="B2712" s="2">
        <v>45803</v>
      </c>
      <c r="C2712" s="2">
        <v>45835</v>
      </c>
      <c r="D2712" s="1" t="s">
        <v>28</v>
      </c>
      <c r="E2712" s="1" t="s">
        <v>14</v>
      </c>
      <c r="F2712" s="1" t="s">
        <v>15</v>
      </c>
      <c r="G2712" s="1" t="s">
        <v>16</v>
      </c>
      <c r="H2712" s="1" t="s">
        <v>29</v>
      </c>
      <c r="I2712" s="1" t="s">
        <v>26</v>
      </c>
      <c r="J2712">
        <v>15</v>
      </c>
      <c r="K2712">
        <v>32</v>
      </c>
      <c r="L2712" s="1" t="s">
        <v>21</v>
      </c>
    </row>
    <row r="2713" spans="1:12" x14ac:dyDescent="0.3">
      <c r="A2713" s="1" t="s">
        <v>2055</v>
      </c>
      <c r="B2713" s="2">
        <v>45803</v>
      </c>
      <c r="C2713" s="2">
        <v>45844</v>
      </c>
      <c r="D2713" s="1" t="s">
        <v>32</v>
      </c>
      <c r="E2713" s="1" t="s">
        <v>14</v>
      </c>
      <c r="F2713" s="1" t="s">
        <v>15</v>
      </c>
      <c r="G2713" s="1" t="s">
        <v>16</v>
      </c>
      <c r="H2713" s="1" t="s">
        <v>71</v>
      </c>
      <c r="I2713" s="1" t="s">
        <v>41</v>
      </c>
      <c r="J2713">
        <v>15</v>
      </c>
      <c r="K2713">
        <v>41</v>
      </c>
      <c r="L2713" s="1" t="s">
        <v>21</v>
      </c>
    </row>
    <row r="2714" spans="1:12" x14ac:dyDescent="0.3">
      <c r="A2714" s="1" t="s">
        <v>2350</v>
      </c>
      <c r="B2714" s="2">
        <v>45803</v>
      </c>
      <c r="C2714" s="2">
        <v>45867</v>
      </c>
      <c r="D2714" s="1" t="s">
        <v>28</v>
      </c>
      <c r="E2714" s="1" t="s">
        <v>24</v>
      </c>
      <c r="F2714" s="1" t="s">
        <v>38</v>
      </c>
      <c r="G2714" s="1" t="s">
        <v>16</v>
      </c>
      <c r="H2714" s="1" t="s">
        <v>29</v>
      </c>
      <c r="I2714" s="1" t="s">
        <v>26</v>
      </c>
      <c r="J2714">
        <v>45</v>
      </c>
      <c r="K2714">
        <v>64</v>
      </c>
      <c r="L2714" s="1" t="s">
        <v>80</v>
      </c>
    </row>
    <row r="2715" spans="1:12" x14ac:dyDescent="0.3">
      <c r="A2715" s="1" t="s">
        <v>432</v>
      </c>
      <c r="B2715" s="2">
        <v>45803</v>
      </c>
      <c r="C2715" s="2">
        <v>45874</v>
      </c>
      <c r="D2715" s="1" t="s">
        <v>37</v>
      </c>
      <c r="E2715" s="1" t="s">
        <v>14</v>
      </c>
      <c r="F2715" s="1" t="s">
        <v>38</v>
      </c>
      <c r="G2715" s="1" t="s">
        <v>16</v>
      </c>
      <c r="H2715" s="1" t="s">
        <v>39</v>
      </c>
      <c r="I2715" s="1" t="s">
        <v>26</v>
      </c>
      <c r="J2715">
        <v>30</v>
      </c>
      <c r="K2715">
        <v>71</v>
      </c>
      <c r="L2715" s="1" t="s">
        <v>80</v>
      </c>
    </row>
    <row r="2716" spans="1:12" x14ac:dyDescent="0.3">
      <c r="A2716" s="1" t="s">
        <v>2050</v>
      </c>
      <c r="B2716" s="2">
        <v>45803</v>
      </c>
      <c r="C2716" s="2">
        <v>45816</v>
      </c>
      <c r="D2716" s="1" t="s">
        <v>37</v>
      </c>
      <c r="E2716" s="1" t="s">
        <v>14</v>
      </c>
      <c r="F2716" s="1" t="s">
        <v>15</v>
      </c>
      <c r="G2716" s="1" t="s">
        <v>53</v>
      </c>
      <c r="H2716" s="1" t="s">
        <v>49</v>
      </c>
      <c r="I2716" s="1" t="s">
        <v>26</v>
      </c>
      <c r="J2716">
        <v>30</v>
      </c>
      <c r="K2716">
        <v>13</v>
      </c>
      <c r="L2716" s="1" t="s">
        <v>30</v>
      </c>
    </row>
    <row r="2717" spans="1:12" x14ac:dyDescent="0.3">
      <c r="A2717" s="1" t="s">
        <v>2928</v>
      </c>
      <c r="B2717" s="2">
        <v>45803</v>
      </c>
      <c r="C2717" s="2">
        <v>45818</v>
      </c>
      <c r="D2717" s="1" t="s">
        <v>13</v>
      </c>
      <c r="E2717" s="1" t="s">
        <v>14</v>
      </c>
      <c r="F2717" s="1" t="s">
        <v>15</v>
      </c>
      <c r="G2717" s="1" t="s">
        <v>16</v>
      </c>
      <c r="H2717" s="1" t="s">
        <v>47</v>
      </c>
      <c r="I2717" s="1" t="s">
        <v>18</v>
      </c>
      <c r="J2717">
        <v>15</v>
      </c>
      <c r="K2717">
        <v>15</v>
      </c>
      <c r="L2717" s="1" t="s">
        <v>19</v>
      </c>
    </row>
    <row r="2718" spans="1:12" x14ac:dyDescent="0.3">
      <c r="A2718" s="1" t="s">
        <v>1146</v>
      </c>
      <c r="B2718" s="2">
        <v>45802</v>
      </c>
      <c r="C2718" s="2">
        <v>45811</v>
      </c>
      <c r="D2718" s="1" t="s">
        <v>28</v>
      </c>
      <c r="E2718" s="1" t="s">
        <v>24</v>
      </c>
      <c r="F2718" s="1" t="s">
        <v>15</v>
      </c>
      <c r="G2718" s="1" t="s">
        <v>16</v>
      </c>
      <c r="H2718" s="1" t="s">
        <v>29</v>
      </c>
      <c r="I2718" s="1" t="s">
        <v>18</v>
      </c>
      <c r="J2718">
        <v>30</v>
      </c>
      <c r="K2718">
        <v>9</v>
      </c>
      <c r="L2718" s="1" t="s">
        <v>30</v>
      </c>
    </row>
    <row r="2719" spans="1:12" x14ac:dyDescent="0.3">
      <c r="A2719" s="1" t="s">
        <v>1566</v>
      </c>
      <c r="B2719" s="2">
        <v>45802</v>
      </c>
      <c r="C2719" s="2">
        <v>45827</v>
      </c>
      <c r="D2719" s="1" t="s">
        <v>23</v>
      </c>
      <c r="E2719" s="1" t="s">
        <v>24</v>
      </c>
      <c r="F2719" s="1" t="s">
        <v>15</v>
      </c>
      <c r="G2719" s="1" t="s">
        <v>16</v>
      </c>
      <c r="H2719" s="1" t="s">
        <v>25</v>
      </c>
      <c r="I2719" s="1" t="s">
        <v>41</v>
      </c>
      <c r="J2719">
        <v>30</v>
      </c>
      <c r="K2719">
        <v>25</v>
      </c>
      <c r="L2719" s="1" t="s">
        <v>19</v>
      </c>
    </row>
    <row r="2720" spans="1:12" x14ac:dyDescent="0.3">
      <c r="A2720" s="1" t="s">
        <v>1617</v>
      </c>
      <c r="B2720" s="2">
        <v>45802</v>
      </c>
      <c r="C2720" s="2">
        <v>45827</v>
      </c>
      <c r="D2720" s="1" t="s">
        <v>28</v>
      </c>
      <c r="E2720" s="1" t="s">
        <v>24</v>
      </c>
      <c r="F2720" s="1" t="s">
        <v>15</v>
      </c>
      <c r="G2720" s="1" t="s">
        <v>53</v>
      </c>
      <c r="H2720" s="1" t="s">
        <v>54</v>
      </c>
      <c r="I2720" s="1" t="s">
        <v>18</v>
      </c>
      <c r="J2720">
        <v>30</v>
      </c>
      <c r="K2720">
        <v>25</v>
      </c>
      <c r="L2720" s="1" t="s">
        <v>19</v>
      </c>
    </row>
    <row r="2721" spans="1:12" x14ac:dyDescent="0.3">
      <c r="A2721" s="1" t="s">
        <v>1719</v>
      </c>
      <c r="B2721" s="2">
        <v>45802</v>
      </c>
      <c r="C2721" s="2">
        <v>45856</v>
      </c>
      <c r="D2721" s="1" t="s">
        <v>23</v>
      </c>
      <c r="E2721" s="1" t="s">
        <v>14</v>
      </c>
      <c r="F2721" s="1" t="s">
        <v>38</v>
      </c>
      <c r="G2721" s="1" t="s">
        <v>16</v>
      </c>
      <c r="H2721" s="1" t="s">
        <v>25</v>
      </c>
      <c r="I2721" s="1" t="s">
        <v>26</v>
      </c>
      <c r="J2721">
        <v>30</v>
      </c>
      <c r="K2721">
        <v>54</v>
      </c>
      <c r="L2721" s="1" t="s">
        <v>44</v>
      </c>
    </row>
    <row r="2722" spans="1:12" x14ac:dyDescent="0.3">
      <c r="A2722" s="1" t="s">
        <v>1740</v>
      </c>
      <c r="B2722" s="2">
        <v>45802</v>
      </c>
      <c r="C2722" s="2">
        <v>45866</v>
      </c>
      <c r="D2722" s="1" t="s">
        <v>32</v>
      </c>
      <c r="E2722" s="1" t="s">
        <v>24</v>
      </c>
      <c r="F2722" s="1" t="s">
        <v>15</v>
      </c>
      <c r="G2722" s="1" t="s">
        <v>16</v>
      </c>
      <c r="H2722" s="1" t="s">
        <v>34</v>
      </c>
      <c r="I2722" s="1" t="s">
        <v>41</v>
      </c>
      <c r="J2722">
        <v>30</v>
      </c>
      <c r="K2722">
        <v>64</v>
      </c>
      <c r="L2722" s="1" t="s">
        <v>80</v>
      </c>
    </row>
    <row r="2723" spans="1:12" x14ac:dyDescent="0.3">
      <c r="A2723" s="1" t="s">
        <v>2105</v>
      </c>
      <c r="B2723" s="2">
        <v>45802</v>
      </c>
      <c r="C2723" s="2">
        <v>45821</v>
      </c>
      <c r="D2723" s="1" t="s">
        <v>32</v>
      </c>
      <c r="E2723" s="1" t="s">
        <v>24</v>
      </c>
      <c r="F2723" s="1" t="s">
        <v>15</v>
      </c>
      <c r="G2723" s="1" t="s">
        <v>53</v>
      </c>
      <c r="H2723" s="1" t="s">
        <v>71</v>
      </c>
      <c r="I2723" s="1" t="s">
        <v>41</v>
      </c>
      <c r="J2723">
        <v>30</v>
      </c>
      <c r="K2723">
        <v>19</v>
      </c>
      <c r="L2723" s="1" t="s">
        <v>19</v>
      </c>
    </row>
    <row r="2724" spans="1:12" x14ac:dyDescent="0.3">
      <c r="A2724" s="1" t="s">
        <v>2705</v>
      </c>
      <c r="B2724" s="2">
        <v>45802</v>
      </c>
      <c r="C2724" s="2">
        <v>45895</v>
      </c>
      <c r="D2724" s="1" t="s">
        <v>37</v>
      </c>
      <c r="E2724" s="1" t="s">
        <v>14</v>
      </c>
      <c r="F2724" s="1" t="s">
        <v>15</v>
      </c>
      <c r="G2724" s="1" t="s">
        <v>33</v>
      </c>
      <c r="H2724" s="1" t="s">
        <v>49</v>
      </c>
      <c r="I2724" s="1" t="s">
        <v>18</v>
      </c>
      <c r="J2724">
        <v>15</v>
      </c>
      <c r="K2724">
        <v>93</v>
      </c>
      <c r="L2724" s="1" t="s">
        <v>80</v>
      </c>
    </row>
    <row r="2725" spans="1:12" x14ac:dyDescent="0.3">
      <c r="A2725" s="1" t="s">
        <v>3111</v>
      </c>
      <c r="B2725" s="2">
        <v>45802</v>
      </c>
      <c r="C2725" s="2">
        <v>45824</v>
      </c>
      <c r="D2725" s="1" t="s">
        <v>37</v>
      </c>
      <c r="E2725" s="1" t="s">
        <v>24</v>
      </c>
      <c r="F2725" s="1" t="s">
        <v>15</v>
      </c>
      <c r="G2725" s="1" t="s">
        <v>16</v>
      </c>
      <c r="H2725" s="1" t="s">
        <v>39</v>
      </c>
      <c r="I2725" s="1" t="s">
        <v>18</v>
      </c>
      <c r="J2725">
        <v>30</v>
      </c>
      <c r="K2725">
        <v>22</v>
      </c>
      <c r="L2725" s="1" t="s">
        <v>19</v>
      </c>
    </row>
    <row r="2726" spans="1:12" x14ac:dyDescent="0.3">
      <c r="A2726" s="1" t="s">
        <v>2933</v>
      </c>
      <c r="B2726" s="2">
        <v>45802</v>
      </c>
      <c r="C2726" s="2">
        <v>45823</v>
      </c>
      <c r="D2726" s="1" t="s">
        <v>37</v>
      </c>
      <c r="E2726" s="1" t="s">
        <v>14</v>
      </c>
      <c r="F2726" s="1" t="s">
        <v>15</v>
      </c>
      <c r="G2726" s="1" t="s">
        <v>16</v>
      </c>
      <c r="H2726" s="1" t="s">
        <v>39</v>
      </c>
      <c r="I2726" s="1" t="s">
        <v>41</v>
      </c>
      <c r="J2726">
        <v>15</v>
      </c>
      <c r="K2726">
        <v>21</v>
      </c>
      <c r="L2726" s="1" t="s">
        <v>19</v>
      </c>
    </row>
    <row r="2727" spans="1:12" x14ac:dyDescent="0.3">
      <c r="A2727" s="1" t="s">
        <v>980</v>
      </c>
      <c r="B2727" s="2">
        <v>45802</v>
      </c>
      <c r="C2727" s="2">
        <v>45804</v>
      </c>
      <c r="D2727" s="1" t="s">
        <v>37</v>
      </c>
      <c r="E2727" s="1" t="s">
        <v>14</v>
      </c>
      <c r="F2727" s="1" t="s">
        <v>15</v>
      </c>
      <c r="G2727" s="1" t="s">
        <v>16</v>
      </c>
      <c r="H2727" s="1" t="s">
        <v>49</v>
      </c>
      <c r="I2727" s="1" t="s">
        <v>26</v>
      </c>
      <c r="J2727">
        <v>15</v>
      </c>
      <c r="K2727">
        <v>2</v>
      </c>
      <c r="L2727" s="1" t="s">
        <v>30</v>
      </c>
    </row>
    <row r="2728" spans="1:12" x14ac:dyDescent="0.3">
      <c r="A2728" s="1" t="s">
        <v>2681</v>
      </c>
      <c r="B2728" s="2">
        <v>45802</v>
      </c>
      <c r="C2728" s="2">
        <v>45804</v>
      </c>
      <c r="D2728" s="1" t="s">
        <v>37</v>
      </c>
      <c r="E2728" s="1" t="s">
        <v>14</v>
      </c>
      <c r="F2728" s="1" t="s">
        <v>15</v>
      </c>
      <c r="G2728" s="1" t="s">
        <v>16</v>
      </c>
      <c r="H2728" s="1" t="s">
        <v>49</v>
      </c>
      <c r="I2728" s="1" t="s">
        <v>26</v>
      </c>
      <c r="J2728">
        <v>15</v>
      </c>
      <c r="K2728">
        <v>2</v>
      </c>
      <c r="L2728" s="1" t="s">
        <v>30</v>
      </c>
    </row>
    <row r="2729" spans="1:12" x14ac:dyDescent="0.3">
      <c r="A2729" s="1" t="s">
        <v>2931</v>
      </c>
      <c r="B2729" s="2">
        <v>45802</v>
      </c>
      <c r="C2729" s="2">
        <v>45862</v>
      </c>
      <c r="D2729" s="1" t="s">
        <v>32</v>
      </c>
      <c r="E2729" s="1" t="s">
        <v>14</v>
      </c>
      <c r="F2729" s="1" t="s">
        <v>15</v>
      </c>
      <c r="G2729" s="1" t="s">
        <v>53</v>
      </c>
      <c r="H2729" s="1" t="s">
        <v>34</v>
      </c>
      <c r="I2729" s="1" t="s">
        <v>18</v>
      </c>
      <c r="J2729">
        <v>30</v>
      </c>
      <c r="K2729">
        <v>60</v>
      </c>
      <c r="L2729" s="1" t="s">
        <v>80</v>
      </c>
    </row>
    <row r="2730" spans="1:12" x14ac:dyDescent="0.3">
      <c r="A2730" s="1" t="s">
        <v>499</v>
      </c>
      <c r="B2730" s="2">
        <v>45801</v>
      </c>
      <c r="C2730" s="2">
        <v>45835</v>
      </c>
      <c r="D2730" s="1" t="s">
        <v>13</v>
      </c>
      <c r="E2730" s="1" t="s">
        <v>14</v>
      </c>
      <c r="F2730" s="1" t="s">
        <v>38</v>
      </c>
      <c r="G2730" s="1" t="s">
        <v>53</v>
      </c>
      <c r="H2730" s="1" t="s">
        <v>47</v>
      </c>
      <c r="I2730" s="1" t="s">
        <v>18</v>
      </c>
      <c r="J2730">
        <v>15</v>
      </c>
      <c r="K2730">
        <v>34</v>
      </c>
      <c r="L2730" s="1" t="s">
        <v>21</v>
      </c>
    </row>
    <row r="2731" spans="1:12" x14ac:dyDescent="0.3">
      <c r="A2731" s="1" t="s">
        <v>564</v>
      </c>
      <c r="B2731" s="2">
        <v>45801</v>
      </c>
      <c r="C2731" s="2">
        <v>45842</v>
      </c>
      <c r="D2731" s="1" t="s">
        <v>23</v>
      </c>
      <c r="E2731" s="1" t="s">
        <v>24</v>
      </c>
      <c r="F2731" s="1" t="s">
        <v>15</v>
      </c>
      <c r="G2731" s="1" t="s">
        <v>33</v>
      </c>
      <c r="H2731" s="1" t="s">
        <v>25</v>
      </c>
      <c r="I2731" s="1" t="s">
        <v>26</v>
      </c>
      <c r="J2731">
        <v>30</v>
      </c>
      <c r="K2731">
        <v>41</v>
      </c>
      <c r="L2731" s="1" t="s">
        <v>21</v>
      </c>
    </row>
    <row r="2732" spans="1:12" x14ac:dyDescent="0.3">
      <c r="A2732" s="1" t="s">
        <v>794</v>
      </c>
      <c r="B2732" s="2">
        <v>45801</v>
      </c>
      <c r="C2732" s="2">
        <v>45841</v>
      </c>
      <c r="D2732" s="1" t="s">
        <v>13</v>
      </c>
      <c r="E2732" s="1" t="s">
        <v>14</v>
      </c>
      <c r="F2732" s="1" t="s">
        <v>15</v>
      </c>
      <c r="G2732" s="1" t="s">
        <v>16</v>
      </c>
      <c r="H2732" s="1" t="s">
        <v>47</v>
      </c>
      <c r="I2732" s="1" t="s">
        <v>26</v>
      </c>
      <c r="J2732">
        <v>15</v>
      </c>
      <c r="K2732">
        <v>40</v>
      </c>
      <c r="L2732" s="1" t="s">
        <v>21</v>
      </c>
    </row>
    <row r="2733" spans="1:12" x14ac:dyDescent="0.3">
      <c r="A2733" s="1" t="s">
        <v>1017</v>
      </c>
      <c r="B2733" s="2">
        <v>45801</v>
      </c>
      <c r="C2733" s="2">
        <v>45832</v>
      </c>
      <c r="D2733" s="1" t="s">
        <v>23</v>
      </c>
      <c r="E2733" s="1" t="s">
        <v>14</v>
      </c>
      <c r="F2733" s="1" t="s">
        <v>15</v>
      </c>
      <c r="G2733" s="1" t="s">
        <v>53</v>
      </c>
      <c r="H2733" s="1" t="s">
        <v>43</v>
      </c>
      <c r="I2733" s="1" t="s">
        <v>26</v>
      </c>
      <c r="J2733">
        <v>30</v>
      </c>
      <c r="K2733">
        <v>31</v>
      </c>
      <c r="L2733" s="1" t="s">
        <v>21</v>
      </c>
    </row>
    <row r="2734" spans="1:12" x14ac:dyDescent="0.3">
      <c r="A2734" s="1" t="s">
        <v>1977</v>
      </c>
      <c r="B2734" s="2">
        <v>45801</v>
      </c>
      <c r="C2734" s="2">
        <v>45861</v>
      </c>
      <c r="D2734" s="1" t="s">
        <v>13</v>
      </c>
      <c r="E2734" s="1" t="s">
        <v>24</v>
      </c>
      <c r="F2734" s="1" t="s">
        <v>15</v>
      </c>
      <c r="G2734" s="1" t="s">
        <v>16</v>
      </c>
      <c r="H2734" s="1" t="s">
        <v>47</v>
      </c>
      <c r="I2734" s="1" t="s">
        <v>26</v>
      </c>
      <c r="J2734">
        <v>45</v>
      </c>
      <c r="K2734">
        <v>60</v>
      </c>
      <c r="L2734" s="1" t="s">
        <v>80</v>
      </c>
    </row>
    <row r="2735" spans="1:12" x14ac:dyDescent="0.3">
      <c r="A2735" s="1" t="s">
        <v>2372</v>
      </c>
      <c r="B2735" s="2">
        <v>45801</v>
      </c>
      <c r="C2735" s="2">
        <v>45822</v>
      </c>
      <c r="D2735" s="1" t="s">
        <v>23</v>
      </c>
      <c r="E2735" s="1" t="s">
        <v>14</v>
      </c>
      <c r="F2735" s="1" t="s">
        <v>38</v>
      </c>
      <c r="G2735" s="1" t="s">
        <v>16</v>
      </c>
      <c r="H2735" s="1" t="s">
        <v>25</v>
      </c>
      <c r="I2735" s="1" t="s">
        <v>41</v>
      </c>
      <c r="J2735">
        <v>15</v>
      </c>
      <c r="K2735">
        <v>21</v>
      </c>
      <c r="L2735" s="1" t="s">
        <v>19</v>
      </c>
    </row>
    <row r="2736" spans="1:12" x14ac:dyDescent="0.3">
      <c r="A2736" s="1" t="s">
        <v>1649</v>
      </c>
      <c r="B2736" s="2">
        <v>45801</v>
      </c>
      <c r="C2736" s="2">
        <v>45820</v>
      </c>
      <c r="D2736" s="1" t="s">
        <v>37</v>
      </c>
      <c r="E2736" s="1" t="s">
        <v>24</v>
      </c>
      <c r="F2736" s="1" t="s">
        <v>38</v>
      </c>
      <c r="G2736" s="1" t="s">
        <v>16</v>
      </c>
      <c r="H2736" s="1" t="s">
        <v>39</v>
      </c>
      <c r="I2736" s="1" t="s">
        <v>18</v>
      </c>
      <c r="J2736">
        <v>30</v>
      </c>
      <c r="K2736">
        <v>19</v>
      </c>
      <c r="L2736" s="1" t="s">
        <v>19</v>
      </c>
    </row>
    <row r="2737" spans="1:12" x14ac:dyDescent="0.3">
      <c r="A2737" s="1" t="s">
        <v>3100</v>
      </c>
      <c r="B2737" s="2">
        <v>45801</v>
      </c>
      <c r="C2737" s="2">
        <v>45817</v>
      </c>
      <c r="D2737" s="1" t="s">
        <v>13</v>
      </c>
      <c r="E2737" s="1" t="s">
        <v>14</v>
      </c>
      <c r="F2737" s="1" t="s">
        <v>15</v>
      </c>
      <c r="G2737" s="1" t="s">
        <v>16</v>
      </c>
      <c r="H2737" s="1" t="s">
        <v>47</v>
      </c>
      <c r="I2737" s="1" t="s">
        <v>26</v>
      </c>
      <c r="J2737">
        <v>15</v>
      </c>
      <c r="K2737">
        <v>16</v>
      </c>
      <c r="L2737" s="1" t="s">
        <v>19</v>
      </c>
    </row>
    <row r="2738" spans="1:12" x14ac:dyDescent="0.3">
      <c r="A2738" s="1" t="s">
        <v>297</v>
      </c>
      <c r="B2738" s="2">
        <v>45800</v>
      </c>
      <c r="C2738" s="2">
        <v>45826</v>
      </c>
      <c r="D2738" s="1" t="s">
        <v>28</v>
      </c>
      <c r="E2738" s="1" t="s">
        <v>14</v>
      </c>
      <c r="F2738" s="1" t="s">
        <v>15</v>
      </c>
      <c r="G2738" s="1" t="s">
        <v>16</v>
      </c>
      <c r="H2738" s="1" t="s">
        <v>29</v>
      </c>
      <c r="I2738" s="1" t="s">
        <v>18</v>
      </c>
      <c r="J2738">
        <v>15</v>
      </c>
      <c r="K2738">
        <v>26</v>
      </c>
      <c r="L2738" s="1" t="s">
        <v>19</v>
      </c>
    </row>
    <row r="2739" spans="1:12" x14ac:dyDescent="0.3">
      <c r="A2739" s="1" t="s">
        <v>450</v>
      </c>
      <c r="B2739" s="2">
        <v>45800</v>
      </c>
      <c r="C2739" s="2">
        <v>45833</v>
      </c>
      <c r="D2739" s="1" t="s">
        <v>23</v>
      </c>
      <c r="E2739" s="1" t="s">
        <v>14</v>
      </c>
      <c r="F2739" s="1" t="s">
        <v>38</v>
      </c>
      <c r="G2739" s="1" t="s">
        <v>16</v>
      </c>
      <c r="H2739" s="1" t="s">
        <v>25</v>
      </c>
      <c r="I2739" s="1" t="s">
        <v>26</v>
      </c>
      <c r="J2739">
        <v>15</v>
      </c>
      <c r="K2739">
        <v>33</v>
      </c>
      <c r="L2739" s="1" t="s">
        <v>21</v>
      </c>
    </row>
    <row r="2740" spans="1:12" x14ac:dyDescent="0.3">
      <c r="A2740" s="1" t="s">
        <v>570</v>
      </c>
      <c r="B2740" s="2">
        <v>45800</v>
      </c>
      <c r="C2740" s="2">
        <v>45826</v>
      </c>
      <c r="D2740" s="1" t="s">
        <v>32</v>
      </c>
      <c r="E2740" s="1" t="s">
        <v>24</v>
      </c>
      <c r="F2740" s="1" t="s">
        <v>15</v>
      </c>
      <c r="G2740" s="1" t="s">
        <v>16</v>
      </c>
      <c r="H2740" s="1" t="s">
        <v>34</v>
      </c>
      <c r="I2740" s="1" t="s">
        <v>18</v>
      </c>
      <c r="J2740">
        <v>45</v>
      </c>
      <c r="K2740">
        <v>26</v>
      </c>
      <c r="L2740" s="1" t="s">
        <v>19</v>
      </c>
    </row>
    <row r="2741" spans="1:12" x14ac:dyDescent="0.3">
      <c r="A2741" s="1" t="s">
        <v>876</v>
      </c>
      <c r="B2741" s="2">
        <v>45800</v>
      </c>
      <c r="C2741" s="2">
        <v>45840</v>
      </c>
      <c r="D2741" s="1" t="s">
        <v>28</v>
      </c>
      <c r="E2741" s="1" t="s">
        <v>14</v>
      </c>
      <c r="F2741" s="1" t="s">
        <v>15</v>
      </c>
      <c r="G2741" s="1" t="s">
        <v>33</v>
      </c>
      <c r="H2741" s="1" t="s">
        <v>54</v>
      </c>
      <c r="I2741" s="1" t="s">
        <v>26</v>
      </c>
      <c r="J2741">
        <v>15</v>
      </c>
      <c r="K2741">
        <v>40</v>
      </c>
      <c r="L2741" s="1" t="s">
        <v>21</v>
      </c>
    </row>
    <row r="2742" spans="1:12" x14ac:dyDescent="0.3">
      <c r="A2742" s="1" t="s">
        <v>966</v>
      </c>
      <c r="B2742" s="2">
        <v>45800</v>
      </c>
      <c r="C2742" s="2">
        <v>45834</v>
      </c>
      <c r="D2742" s="1" t="s">
        <v>32</v>
      </c>
      <c r="E2742" s="1" t="s">
        <v>24</v>
      </c>
      <c r="F2742" s="1" t="s">
        <v>15</v>
      </c>
      <c r="G2742" s="1" t="s">
        <v>16</v>
      </c>
      <c r="H2742" s="1" t="s">
        <v>34</v>
      </c>
      <c r="I2742" s="1" t="s">
        <v>26</v>
      </c>
      <c r="J2742">
        <v>45</v>
      </c>
      <c r="K2742">
        <v>34</v>
      </c>
      <c r="L2742" s="1" t="s">
        <v>21</v>
      </c>
    </row>
    <row r="2743" spans="1:12" x14ac:dyDescent="0.3">
      <c r="A2743" s="1" t="s">
        <v>1105</v>
      </c>
      <c r="B2743" s="2">
        <v>45800</v>
      </c>
      <c r="C2743" s="2">
        <v>45862</v>
      </c>
      <c r="D2743" s="1" t="s">
        <v>32</v>
      </c>
      <c r="E2743" s="1" t="s">
        <v>14</v>
      </c>
      <c r="F2743" s="1" t="s">
        <v>15</v>
      </c>
      <c r="G2743" s="1" t="s">
        <v>16</v>
      </c>
      <c r="H2743" s="1" t="s">
        <v>34</v>
      </c>
      <c r="I2743" s="1" t="s">
        <v>26</v>
      </c>
      <c r="J2743">
        <v>15</v>
      </c>
      <c r="K2743">
        <v>62</v>
      </c>
      <c r="L2743" s="1" t="s">
        <v>80</v>
      </c>
    </row>
    <row r="2744" spans="1:12" x14ac:dyDescent="0.3">
      <c r="A2744" s="1" t="s">
        <v>2344</v>
      </c>
      <c r="B2744" s="2">
        <v>45800</v>
      </c>
      <c r="C2744" s="2">
        <v>45847</v>
      </c>
      <c r="D2744" s="1" t="s">
        <v>13</v>
      </c>
      <c r="E2744" s="1" t="s">
        <v>24</v>
      </c>
      <c r="F2744" s="1" t="s">
        <v>15</v>
      </c>
      <c r="G2744" s="1" t="s">
        <v>16</v>
      </c>
      <c r="H2744" s="1" t="s">
        <v>17</v>
      </c>
      <c r="I2744" s="1" t="s">
        <v>26</v>
      </c>
      <c r="J2744">
        <v>30</v>
      </c>
      <c r="K2744">
        <v>47</v>
      </c>
      <c r="L2744" s="1" t="s">
        <v>44</v>
      </c>
    </row>
    <row r="2745" spans="1:12" x14ac:dyDescent="0.3">
      <c r="A2745" s="1" t="s">
        <v>2561</v>
      </c>
      <c r="B2745" s="2">
        <v>45800</v>
      </c>
      <c r="C2745" s="2">
        <v>45827</v>
      </c>
      <c r="D2745" s="1" t="s">
        <v>13</v>
      </c>
      <c r="E2745" s="1" t="s">
        <v>24</v>
      </c>
      <c r="F2745" s="1" t="s">
        <v>15</v>
      </c>
      <c r="G2745" s="1" t="s">
        <v>53</v>
      </c>
      <c r="H2745" s="1" t="s">
        <v>47</v>
      </c>
      <c r="I2745" s="1" t="s">
        <v>41</v>
      </c>
      <c r="J2745">
        <v>30</v>
      </c>
      <c r="K2745">
        <v>27</v>
      </c>
      <c r="L2745" s="1" t="s">
        <v>19</v>
      </c>
    </row>
    <row r="2746" spans="1:12" x14ac:dyDescent="0.3">
      <c r="A2746" s="1" t="s">
        <v>1654</v>
      </c>
      <c r="B2746" s="2">
        <v>45800</v>
      </c>
      <c r="C2746" s="2">
        <v>45847</v>
      </c>
      <c r="D2746" s="1" t="s">
        <v>37</v>
      </c>
      <c r="E2746" s="1" t="s">
        <v>24</v>
      </c>
      <c r="F2746" s="1" t="s">
        <v>15</v>
      </c>
      <c r="G2746" s="1" t="s">
        <v>16</v>
      </c>
      <c r="H2746" s="1" t="s">
        <v>49</v>
      </c>
      <c r="I2746" s="1" t="s">
        <v>18</v>
      </c>
      <c r="J2746">
        <v>30</v>
      </c>
      <c r="K2746">
        <v>47</v>
      </c>
      <c r="L2746" s="1" t="s">
        <v>44</v>
      </c>
    </row>
    <row r="2747" spans="1:12" x14ac:dyDescent="0.3">
      <c r="A2747" s="1" t="s">
        <v>282</v>
      </c>
      <c r="B2747" s="2">
        <v>45799</v>
      </c>
      <c r="C2747" s="2">
        <v>45833</v>
      </c>
      <c r="D2747" s="1" t="s">
        <v>23</v>
      </c>
      <c r="E2747" s="1" t="s">
        <v>24</v>
      </c>
      <c r="F2747" s="1" t="s">
        <v>15</v>
      </c>
      <c r="G2747" s="1" t="s">
        <v>16</v>
      </c>
      <c r="H2747" s="1" t="s">
        <v>43</v>
      </c>
      <c r="I2747" s="1" t="s">
        <v>41</v>
      </c>
      <c r="J2747">
        <v>30</v>
      </c>
      <c r="K2747">
        <v>34</v>
      </c>
      <c r="L2747" s="1" t="s">
        <v>21</v>
      </c>
    </row>
    <row r="2748" spans="1:12" x14ac:dyDescent="0.3">
      <c r="A2748" s="1" t="s">
        <v>347</v>
      </c>
      <c r="B2748" s="2">
        <v>45799</v>
      </c>
      <c r="C2748" s="2">
        <v>45836</v>
      </c>
      <c r="D2748" s="1" t="s">
        <v>32</v>
      </c>
      <c r="E2748" s="1" t="s">
        <v>24</v>
      </c>
      <c r="F2748" s="1" t="s">
        <v>15</v>
      </c>
      <c r="G2748" s="1" t="s">
        <v>33</v>
      </c>
      <c r="H2748" s="1" t="s">
        <v>71</v>
      </c>
      <c r="I2748" s="1" t="s">
        <v>26</v>
      </c>
      <c r="J2748">
        <v>30</v>
      </c>
      <c r="K2748">
        <v>37</v>
      </c>
      <c r="L2748" s="1" t="s">
        <v>21</v>
      </c>
    </row>
    <row r="2749" spans="1:12" x14ac:dyDescent="0.3">
      <c r="A2749" s="1" t="s">
        <v>370</v>
      </c>
      <c r="B2749" s="2">
        <v>45799</v>
      </c>
      <c r="C2749" s="2">
        <v>45805</v>
      </c>
      <c r="D2749" s="1" t="s">
        <v>23</v>
      </c>
      <c r="E2749" s="1" t="s">
        <v>24</v>
      </c>
      <c r="F2749" s="1" t="s">
        <v>15</v>
      </c>
      <c r="G2749" s="1" t="s">
        <v>16</v>
      </c>
      <c r="H2749" s="1" t="s">
        <v>43</v>
      </c>
      <c r="I2749" s="1" t="s">
        <v>41</v>
      </c>
      <c r="J2749">
        <v>45</v>
      </c>
      <c r="K2749">
        <v>6</v>
      </c>
      <c r="L2749" s="1" t="s">
        <v>30</v>
      </c>
    </row>
    <row r="2750" spans="1:12" x14ac:dyDescent="0.3">
      <c r="A2750" s="1" t="s">
        <v>504</v>
      </c>
      <c r="B2750" s="2">
        <v>45799</v>
      </c>
      <c r="C2750" s="2">
        <v>45819</v>
      </c>
      <c r="D2750" s="1" t="s">
        <v>13</v>
      </c>
      <c r="E2750" s="1" t="s">
        <v>24</v>
      </c>
      <c r="F2750" s="1" t="s">
        <v>15</v>
      </c>
      <c r="G2750" s="1" t="s">
        <v>16</v>
      </c>
      <c r="H2750" s="1" t="s">
        <v>17</v>
      </c>
      <c r="I2750" s="1" t="s">
        <v>26</v>
      </c>
      <c r="J2750">
        <v>30</v>
      </c>
      <c r="K2750">
        <v>20</v>
      </c>
      <c r="L2750" s="1" t="s">
        <v>19</v>
      </c>
    </row>
    <row r="2751" spans="1:12" x14ac:dyDescent="0.3">
      <c r="A2751" s="1" t="s">
        <v>1132</v>
      </c>
      <c r="B2751" s="2">
        <v>45799</v>
      </c>
      <c r="C2751" s="2">
        <v>45877</v>
      </c>
      <c r="D2751" s="1" t="s">
        <v>13</v>
      </c>
      <c r="E2751" s="1" t="s">
        <v>24</v>
      </c>
      <c r="F2751" s="1" t="s">
        <v>15</v>
      </c>
      <c r="G2751" s="1" t="s">
        <v>16</v>
      </c>
      <c r="H2751" s="1" t="s">
        <v>47</v>
      </c>
      <c r="I2751" s="1" t="s">
        <v>26</v>
      </c>
      <c r="J2751">
        <v>30</v>
      </c>
      <c r="K2751">
        <v>78</v>
      </c>
      <c r="L2751" s="1" t="s">
        <v>80</v>
      </c>
    </row>
    <row r="2752" spans="1:12" x14ac:dyDescent="0.3">
      <c r="A2752" s="1" t="s">
        <v>1229</v>
      </c>
      <c r="B2752" s="2">
        <v>45799</v>
      </c>
      <c r="C2752" s="2">
        <v>45852</v>
      </c>
      <c r="D2752" s="1" t="s">
        <v>13</v>
      </c>
      <c r="E2752" s="1" t="s">
        <v>24</v>
      </c>
      <c r="F2752" s="1" t="s">
        <v>38</v>
      </c>
      <c r="G2752" s="1" t="s">
        <v>16</v>
      </c>
      <c r="H2752" s="1" t="s">
        <v>47</v>
      </c>
      <c r="I2752" s="1" t="s">
        <v>26</v>
      </c>
      <c r="J2752">
        <v>30</v>
      </c>
      <c r="K2752">
        <v>53</v>
      </c>
      <c r="L2752" s="1" t="s">
        <v>44</v>
      </c>
    </row>
    <row r="2753" spans="1:12" x14ac:dyDescent="0.3">
      <c r="A2753" s="1" t="s">
        <v>2005</v>
      </c>
      <c r="B2753" s="2">
        <v>45799</v>
      </c>
      <c r="C2753" s="2">
        <v>45828</v>
      </c>
      <c r="D2753" s="1" t="s">
        <v>32</v>
      </c>
      <c r="E2753" s="1" t="s">
        <v>24</v>
      </c>
      <c r="F2753" s="1" t="s">
        <v>15</v>
      </c>
      <c r="G2753" s="1" t="s">
        <v>16</v>
      </c>
      <c r="H2753" s="1" t="s">
        <v>34</v>
      </c>
      <c r="I2753" s="1" t="s">
        <v>26</v>
      </c>
      <c r="J2753">
        <v>30</v>
      </c>
      <c r="K2753">
        <v>29</v>
      </c>
      <c r="L2753" s="1" t="s">
        <v>21</v>
      </c>
    </row>
    <row r="2754" spans="1:12" x14ac:dyDescent="0.3">
      <c r="A2754" s="1" t="s">
        <v>141</v>
      </c>
      <c r="B2754" s="2">
        <v>45798</v>
      </c>
      <c r="C2754" s="2">
        <v>45835</v>
      </c>
      <c r="D2754" s="1" t="s">
        <v>23</v>
      </c>
      <c r="E2754" s="1" t="s">
        <v>14</v>
      </c>
      <c r="F2754" s="1" t="s">
        <v>15</v>
      </c>
      <c r="G2754" s="1" t="s">
        <v>16</v>
      </c>
      <c r="H2754" s="1" t="s">
        <v>43</v>
      </c>
      <c r="I2754" s="1" t="s">
        <v>41</v>
      </c>
      <c r="J2754">
        <v>15</v>
      </c>
      <c r="K2754">
        <v>37</v>
      </c>
      <c r="L2754" s="1" t="s">
        <v>21</v>
      </c>
    </row>
    <row r="2755" spans="1:12" x14ac:dyDescent="0.3">
      <c r="A2755" s="1" t="s">
        <v>159</v>
      </c>
      <c r="B2755" s="2">
        <v>45798</v>
      </c>
      <c r="C2755" s="2">
        <v>45839</v>
      </c>
      <c r="D2755" s="1" t="s">
        <v>13</v>
      </c>
      <c r="E2755" s="1" t="s">
        <v>14</v>
      </c>
      <c r="F2755" s="1" t="s">
        <v>15</v>
      </c>
      <c r="G2755" s="1" t="s">
        <v>16</v>
      </c>
      <c r="H2755" s="1" t="s">
        <v>47</v>
      </c>
      <c r="I2755" s="1" t="s">
        <v>18</v>
      </c>
      <c r="J2755">
        <v>30</v>
      </c>
      <c r="K2755">
        <v>41</v>
      </c>
      <c r="L2755" s="1" t="s">
        <v>21</v>
      </c>
    </row>
    <row r="2756" spans="1:12" x14ac:dyDescent="0.3">
      <c r="A2756" s="1" t="s">
        <v>662</v>
      </c>
      <c r="B2756" s="2">
        <v>45798</v>
      </c>
      <c r="C2756" s="2">
        <v>45826</v>
      </c>
      <c r="D2756" s="1" t="s">
        <v>13</v>
      </c>
      <c r="E2756" s="1" t="s">
        <v>24</v>
      </c>
      <c r="F2756" s="1" t="s">
        <v>15</v>
      </c>
      <c r="G2756" s="1" t="s">
        <v>16</v>
      </c>
      <c r="H2756" s="1" t="s">
        <v>47</v>
      </c>
      <c r="I2756" s="1" t="s">
        <v>18</v>
      </c>
      <c r="J2756">
        <v>30</v>
      </c>
      <c r="K2756">
        <v>28</v>
      </c>
      <c r="L2756" s="1" t="s">
        <v>19</v>
      </c>
    </row>
    <row r="2757" spans="1:12" x14ac:dyDescent="0.3">
      <c r="A2757" s="1" t="s">
        <v>724</v>
      </c>
      <c r="B2757" s="2">
        <v>45798</v>
      </c>
      <c r="C2757" s="2">
        <v>45818</v>
      </c>
      <c r="D2757" s="1" t="s">
        <v>23</v>
      </c>
      <c r="E2757" s="1" t="s">
        <v>24</v>
      </c>
      <c r="F2757" s="1" t="s">
        <v>15</v>
      </c>
      <c r="G2757" s="1" t="s">
        <v>16</v>
      </c>
      <c r="H2757" s="1" t="s">
        <v>43</v>
      </c>
      <c r="I2757" s="1" t="s">
        <v>41</v>
      </c>
      <c r="J2757">
        <v>30</v>
      </c>
      <c r="K2757">
        <v>20</v>
      </c>
      <c r="L2757" s="1" t="s">
        <v>19</v>
      </c>
    </row>
    <row r="2758" spans="1:12" x14ac:dyDescent="0.3">
      <c r="A2758" s="1" t="s">
        <v>763</v>
      </c>
      <c r="B2758" s="2">
        <v>45798</v>
      </c>
      <c r="C2758" s="2">
        <v>45855</v>
      </c>
      <c r="D2758" s="1" t="s">
        <v>28</v>
      </c>
      <c r="E2758" s="1" t="s">
        <v>24</v>
      </c>
      <c r="F2758" s="1" t="s">
        <v>15</v>
      </c>
      <c r="G2758" s="1" t="s">
        <v>16</v>
      </c>
      <c r="H2758" s="1" t="s">
        <v>54</v>
      </c>
      <c r="I2758" s="1" t="s">
        <v>18</v>
      </c>
      <c r="J2758">
        <v>45</v>
      </c>
      <c r="K2758">
        <v>57</v>
      </c>
      <c r="L2758" s="1" t="s">
        <v>80</v>
      </c>
    </row>
    <row r="2759" spans="1:12" x14ac:dyDescent="0.3">
      <c r="A2759" s="1" t="s">
        <v>811</v>
      </c>
      <c r="B2759" s="2">
        <v>45798</v>
      </c>
      <c r="C2759" s="2">
        <v>45836</v>
      </c>
      <c r="D2759" s="1" t="s">
        <v>28</v>
      </c>
      <c r="E2759" s="1" t="s">
        <v>14</v>
      </c>
      <c r="F2759" s="1" t="s">
        <v>15</v>
      </c>
      <c r="G2759" s="1" t="s">
        <v>33</v>
      </c>
      <c r="H2759" s="1" t="s">
        <v>29</v>
      </c>
      <c r="I2759" s="1" t="s">
        <v>41</v>
      </c>
      <c r="J2759">
        <v>30</v>
      </c>
      <c r="K2759">
        <v>38</v>
      </c>
      <c r="L2759" s="1" t="s">
        <v>21</v>
      </c>
    </row>
    <row r="2760" spans="1:12" x14ac:dyDescent="0.3">
      <c r="A2760" s="1" t="s">
        <v>1570</v>
      </c>
      <c r="B2760" s="2">
        <v>45798</v>
      </c>
      <c r="C2760" s="2">
        <v>45816</v>
      </c>
      <c r="D2760" s="1" t="s">
        <v>32</v>
      </c>
      <c r="E2760" s="1" t="s">
        <v>14</v>
      </c>
      <c r="F2760" s="1" t="s">
        <v>15</v>
      </c>
      <c r="G2760" s="1" t="s">
        <v>53</v>
      </c>
      <c r="H2760" s="1" t="s">
        <v>34</v>
      </c>
      <c r="I2760" s="1" t="s">
        <v>41</v>
      </c>
      <c r="J2760">
        <v>15</v>
      </c>
      <c r="K2760">
        <v>18</v>
      </c>
      <c r="L2760" s="1" t="s">
        <v>19</v>
      </c>
    </row>
    <row r="2761" spans="1:12" x14ac:dyDescent="0.3">
      <c r="A2761" s="1" t="s">
        <v>1878</v>
      </c>
      <c r="B2761" s="2">
        <v>45798</v>
      </c>
      <c r="C2761" s="2">
        <v>45843</v>
      </c>
      <c r="D2761" s="1" t="s">
        <v>32</v>
      </c>
      <c r="E2761" s="1" t="s">
        <v>24</v>
      </c>
      <c r="F2761" s="1" t="s">
        <v>15</v>
      </c>
      <c r="G2761" s="1" t="s">
        <v>53</v>
      </c>
      <c r="H2761" s="1" t="s">
        <v>34</v>
      </c>
      <c r="I2761" s="1" t="s">
        <v>18</v>
      </c>
      <c r="J2761">
        <v>30</v>
      </c>
      <c r="K2761">
        <v>45</v>
      </c>
      <c r="L2761" s="1" t="s">
        <v>44</v>
      </c>
    </row>
    <row r="2762" spans="1:12" x14ac:dyDescent="0.3">
      <c r="A2762" s="1" t="s">
        <v>2150</v>
      </c>
      <c r="B2762" s="2">
        <v>45798</v>
      </c>
      <c r="C2762" s="2">
        <v>45813</v>
      </c>
      <c r="D2762" s="1" t="s">
        <v>32</v>
      </c>
      <c r="E2762" s="1" t="s">
        <v>24</v>
      </c>
      <c r="F2762" s="1" t="s">
        <v>15</v>
      </c>
      <c r="G2762" s="1" t="s">
        <v>16</v>
      </c>
      <c r="H2762" s="1" t="s">
        <v>34</v>
      </c>
      <c r="I2762" s="1" t="s">
        <v>26</v>
      </c>
      <c r="J2762">
        <v>45</v>
      </c>
      <c r="K2762">
        <v>15</v>
      </c>
      <c r="L2762" s="1" t="s">
        <v>19</v>
      </c>
    </row>
    <row r="2763" spans="1:12" x14ac:dyDescent="0.3">
      <c r="A2763" s="1" t="s">
        <v>2252</v>
      </c>
      <c r="B2763" s="2">
        <v>45798</v>
      </c>
      <c r="C2763" s="2">
        <v>45846</v>
      </c>
      <c r="D2763" s="1" t="s">
        <v>13</v>
      </c>
      <c r="E2763" s="1" t="s">
        <v>14</v>
      </c>
      <c r="F2763" s="1" t="s">
        <v>15</v>
      </c>
      <c r="G2763" s="1" t="s">
        <v>16</v>
      </c>
      <c r="H2763" s="1" t="s">
        <v>47</v>
      </c>
      <c r="I2763" s="1" t="s">
        <v>18</v>
      </c>
      <c r="J2763">
        <v>15</v>
      </c>
      <c r="K2763">
        <v>48</v>
      </c>
      <c r="L2763" s="1" t="s">
        <v>44</v>
      </c>
    </row>
    <row r="2764" spans="1:12" x14ac:dyDescent="0.3">
      <c r="A2764" s="1" t="s">
        <v>2276</v>
      </c>
      <c r="B2764" s="2">
        <v>45798</v>
      </c>
      <c r="C2764" s="2">
        <v>45845</v>
      </c>
      <c r="D2764" s="1" t="s">
        <v>28</v>
      </c>
      <c r="E2764" s="1" t="s">
        <v>14</v>
      </c>
      <c r="F2764" s="1" t="s">
        <v>15</v>
      </c>
      <c r="G2764" s="1" t="s">
        <v>16</v>
      </c>
      <c r="H2764" s="1" t="s">
        <v>54</v>
      </c>
      <c r="I2764" s="1" t="s">
        <v>18</v>
      </c>
      <c r="J2764">
        <v>15</v>
      </c>
      <c r="K2764">
        <v>47</v>
      </c>
      <c r="L2764" s="1" t="s">
        <v>44</v>
      </c>
    </row>
    <row r="2765" spans="1:12" x14ac:dyDescent="0.3">
      <c r="A2765" s="1" t="s">
        <v>2778</v>
      </c>
      <c r="B2765" s="2">
        <v>45798</v>
      </c>
      <c r="C2765" s="2">
        <v>45841</v>
      </c>
      <c r="D2765" s="1" t="s">
        <v>28</v>
      </c>
      <c r="E2765" s="1" t="s">
        <v>14</v>
      </c>
      <c r="F2765" s="1" t="s">
        <v>38</v>
      </c>
      <c r="G2765" s="1" t="s">
        <v>53</v>
      </c>
      <c r="H2765" s="1" t="s">
        <v>29</v>
      </c>
      <c r="I2765" s="1" t="s">
        <v>26</v>
      </c>
      <c r="J2765">
        <v>15</v>
      </c>
      <c r="K2765">
        <v>43</v>
      </c>
      <c r="L2765" s="1" t="s">
        <v>44</v>
      </c>
    </row>
    <row r="2766" spans="1:12" x14ac:dyDescent="0.3">
      <c r="A2766" s="1" t="s">
        <v>1487</v>
      </c>
      <c r="B2766" s="2">
        <v>45798</v>
      </c>
      <c r="C2766" s="2">
        <v>45828</v>
      </c>
      <c r="D2766" s="1" t="s">
        <v>37</v>
      </c>
      <c r="E2766" s="1" t="s">
        <v>24</v>
      </c>
      <c r="F2766" s="1" t="s">
        <v>15</v>
      </c>
      <c r="G2766" s="1" t="s">
        <v>16</v>
      </c>
      <c r="H2766" s="1" t="s">
        <v>49</v>
      </c>
      <c r="I2766" s="1" t="s">
        <v>26</v>
      </c>
      <c r="J2766">
        <v>30</v>
      </c>
      <c r="K2766">
        <v>30</v>
      </c>
      <c r="L2766" s="1" t="s">
        <v>21</v>
      </c>
    </row>
    <row r="2767" spans="1:12" x14ac:dyDescent="0.3">
      <c r="A2767" s="1" t="s">
        <v>1384</v>
      </c>
      <c r="B2767" s="2">
        <v>45797</v>
      </c>
      <c r="C2767" s="2">
        <v>45806</v>
      </c>
      <c r="D2767" s="1" t="s">
        <v>28</v>
      </c>
      <c r="E2767" s="1" t="s">
        <v>14</v>
      </c>
      <c r="F2767" s="1" t="s">
        <v>38</v>
      </c>
      <c r="G2767" s="1" t="s">
        <v>16</v>
      </c>
      <c r="H2767" s="1" t="s">
        <v>54</v>
      </c>
      <c r="I2767" s="1" t="s">
        <v>26</v>
      </c>
      <c r="J2767">
        <v>15</v>
      </c>
      <c r="K2767">
        <v>9</v>
      </c>
      <c r="L2767" s="1" t="s">
        <v>30</v>
      </c>
    </row>
    <row r="2768" spans="1:12" x14ac:dyDescent="0.3">
      <c r="A2768" s="1" t="s">
        <v>1861</v>
      </c>
      <c r="B2768" s="2">
        <v>45797</v>
      </c>
      <c r="C2768" s="2">
        <v>45814</v>
      </c>
      <c r="D2768" s="1" t="s">
        <v>13</v>
      </c>
      <c r="E2768" s="1" t="s">
        <v>14</v>
      </c>
      <c r="F2768" s="1" t="s">
        <v>15</v>
      </c>
      <c r="G2768" s="1" t="s">
        <v>16</v>
      </c>
      <c r="H2768" s="1" t="s">
        <v>17</v>
      </c>
      <c r="I2768" s="1" t="s">
        <v>41</v>
      </c>
      <c r="J2768">
        <v>15</v>
      </c>
      <c r="K2768">
        <v>17</v>
      </c>
      <c r="L2768" s="1" t="s">
        <v>19</v>
      </c>
    </row>
    <row r="2769" spans="1:12" x14ac:dyDescent="0.3">
      <c r="A2769" s="1" t="s">
        <v>2420</v>
      </c>
      <c r="B2769" s="2">
        <v>45797</v>
      </c>
      <c r="C2769" s="2">
        <v>45840</v>
      </c>
      <c r="D2769" s="1" t="s">
        <v>23</v>
      </c>
      <c r="E2769" s="1" t="s">
        <v>14</v>
      </c>
      <c r="F2769" s="1" t="s">
        <v>15</v>
      </c>
      <c r="G2769" s="1" t="s">
        <v>16</v>
      </c>
      <c r="H2769" s="1" t="s">
        <v>25</v>
      </c>
      <c r="I2769" s="1" t="s">
        <v>419</v>
      </c>
      <c r="J2769">
        <v>15</v>
      </c>
      <c r="K2769">
        <v>43</v>
      </c>
      <c r="L2769" s="1" t="s">
        <v>44</v>
      </c>
    </row>
    <row r="2770" spans="1:12" x14ac:dyDescent="0.3">
      <c r="A2770" s="1" t="s">
        <v>2522</v>
      </c>
      <c r="B2770" s="2">
        <v>45797</v>
      </c>
      <c r="C2770" s="2">
        <v>45828</v>
      </c>
      <c r="D2770" s="1" t="s">
        <v>23</v>
      </c>
      <c r="E2770" s="1" t="s">
        <v>24</v>
      </c>
      <c r="F2770" s="1" t="s">
        <v>15</v>
      </c>
      <c r="G2770" s="1" t="s">
        <v>16</v>
      </c>
      <c r="H2770" s="1" t="s">
        <v>43</v>
      </c>
      <c r="I2770" s="1" t="s">
        <v>26</v>
      </c>
      <c r="J2770">
        <v>30</v>
      </c>
      <c r="K2770">
        <v>31</v>
      </c>
      <c r="L2770" s="1" t="s">
        <v>21</v>
      </c>
    </row>
    <row r="2771" spans="1:12" x14ac:dyDescent="0.3">
      <c r="A2771" s="1" t="s">
        <v>2769</v>
      </c>
      <c r="B2771" s="2">
        <v>45797</v>
      </c>
      <c r="C2771" s="2">
        <v>45819</v>
      </c>
      <c r="D2771" s="1" t="s">
        <v>37</v>
      </c>
      <c r="E2771" s="1" t="s">
        <v>14</v>
      </c>
      <c r="F2771" s="1" t="s">
        <v>15</v>
      </c>
      <c r="G2771" s="1" t="s">
        <v>16</v>
      </c>
      <c r="H2771" s="1" t="s">
        <v>39</v>
      </c>
      <c r="I2771" s="1" t="s">
        <v>18</v>
      </c>
      <c r="J2771">
        <v>30</v>
      </c>
      <c r="K2771">
        <v>22</v>
      </c>
      <c r="L2771" s="1" t="s">
        <v>19</v>
      </c>
    </row>
    <row r="2772" spans="1:12" x14ac:dyDescent="0.3">
      <c r="A2772" s="1" t="s">
        <v>865</v>
      </c>
      <c r="B2772" s="2">
        <v>45797</v>
      </c>
      <c r="C2772" s="2">
        <v>45804</v>
      </c>
      <c r="D2772" s="1" t="s">
        <v>37</v>
      </c>
      <c r="E2772" s="1" t="s">
        <v>24</v>
      </c>
      <c r="F2772" s="1" t="s">
        <v>15</v>
      </c>
      <c r="G2772" s="1" t="s">
        <v>16</v>
      </c>
      <c r="H2772" s="1" t="s">
        <v>49</v>
      </c>
      <c r="I2772" s="1" t="s">
        <v>26</v>
      </c>
      <c r="J2772">
        <v>30</v>
      </c>
      <c r="K2772">
        <v>7</v>
      </c>
      <c r="L2772" s="1" t="s">
        <v>30</v>
      </c>
    </row>
    <row r="2773" spans="1:12" x14ac:dyDescent="0.3">
      <c r="A2773" s="1" t="s">
        <v>485</v>
      </c>
      <c r="B2773" s="2">
        <v>45796</v>
      </c>
      <c r="C2773" s="2">
        <v>45838</v>
      </c>
      <c r="D2773" s="1" t="s">
        <v>23</v>
      </c>
      <c r="E2773" s="1" t="s">
        <v>14</v>
      </c>
      <c r="F2773" s="1" t="s">
        <v>15</v>
      </c>
      <c r="G2773" s="1" t="s">
        <v>16</v>
      </c>
      <c r="H2773" s="1" t="s">
        <v>25</v>
      </c>
      <c r="I2773" s="1" t="s">
        <v>26</v>
      </c>
      <c r="J2773">
        <v>30</v>
      </c>
      <c r="K2773">
        <v>42</v>
      </c>
      <c r="L2773" s="1" t="s">
        <v>21</v>
      </c>
    </row>
    <row r="2774" spans="1:12" x14ac:dyDescent="0.3">
      <c r="A2774" s="1" t="s">
        <v>646</v>
      </c>
      <c r="B2774" s="2">
        <v>45796</v>
      </c>
      <c r="C2774" s="2">
        <v>45842</v>
      </c>
      <c r="D2774" s="1" t="s">
        <v>23</v>
      </c>
      <c r="E2774" s="1" t="s">
        <v>14</v>
      </c>
      <c r="F2774" s="1" t="s">
        <v>38</v>
      </c>
      <c r="G2774" s="1" t="s">
        <v>16</v>
      </c>
      <c r="H2774" s="1" t="s">
        <v>25</v>
      </c>
      <c r="I2774" s="1" t="s">
        <v>26</v>
      </c>
      <c r="J2774">
        <v>15</v>
      </c>
      <c r="K2774">
        <v>46</v>
      </c>
      <c r="L2774" s="1" t="s">
        <v>44</v>
      </c>
    </row>
    <row r="2775" spans="1:12" x14ac:dyDescent="0.3">
      <c r="A2775" s="1" t="s">
        <v>712</v>
      </c>
      <c r="B2775" s="2">
        <v>45796</v>
      </c>
      <c r="C2775" s="2">
        <v>45835</v>
      </c>
      <c r="D2775" s="1" t="s">
        <v>32</v>
      </c>
      <c r="E2775" s="1" t="s">
        <v>14</v>
      </c>
      <c r="F2775" s="1" t="s">
        <v>15</v>
      </c>
      <c r="G2775" s="1" t="s">
        <v>53</v>
      </c>
      <c r="H2775" s="1" t="s">
        <v>34</v>
      </c>
      <c r="I2775" s="1" t="s">
        <v>26</v>
      </c>
      <c r="J2775">
        <v>15</v>
      </c>
      <c r="K2775">
        <v>39</v>
      </c>
      <c r="L2775" s="1" t="s">
        <v>21</v>
      </c>
    </row>
    <row r="2776" spans="1:12" x14ac:dyDescent="0.3">
      <c r="A2776" s="1" t="s">
        <v>990</v>
      </c>
      <c r="B2776" s="2">
        <v>45796</v>
      </c>
      <c r="C2776" s="2">
        <v>45837</v>
      </c>
      <c r="D2776" s="1" t="s">
        <v>23</v>
      </c>
      <c r="E2776" s="1" t="s">
        <v>14</v>
      </c>
      <c r="F2776" s="1" t="s">
        <v>15</v>
      </c>
      <c r="G2776" s="1" t="s">
        <v>16</v>
      </c>
      <c r="H2776" s="1" t="s">
        <v>25</v>
      </c>
      <c r="I2776" s="1" t="s">
        <v>41</v>
      </c>
      <c r="J2776">
        <v>15</v>
      </c>
      <c r="K2776">
        <v>41</v>
      </c>
      <c r="L2776" s="1" t="s">
        <v>21</v>
      </c>
    </row>
    <row r="2777" spans="1:12" x14ac:dyDescent="0.3">
      <c r="A2777" s="1" t="s">
        <v>1400</v>
      </c>
      <c r="B2777" s="2">
        <v>45796</v>
      </c>
      <c r="C2777" s="2">
        <v>45863</v>
      </c>
      <c r="D2777" s="1" t="s">
        <v>23</v>
      </c>
      <c r="E2777" s="1" t="s">
        <v>14</v>
      </c>
      <c r="F2777" s="1" t="s">
        <v>15</v>
      </c>
      <c r="G2777" s="1" t="s">
        <v>16</v>
      </c>
      <c r="H2777" s="1" t="s">
        <v>25</v>
      </c>
      <c r="I2777" s="1" t="s">
        <v>18</v>
      </c>
      <c r="J2777">
        <v>15</v>
      </c>
      <c r="K2777">
        <v>67</v>
      </c>
      <c r="L2777" s="1" t="s">
        <v>80</v>
      </c>
    </row>
    <row r="2778" spans="1:12" x14ac:dyDescent="0.3">
      <c r="A2778" s="1" t="s">
        <v>1687</v>
      </c>
      <c r="B2778" s="2">
        <v>45796</v>
      </c>
      <c r="C2778" s="2">
        <v>45838</v>
      </c>
      <c r="D2778" s="1" t="s">
        <v>23</v>
      </c>
      <c r="E2778" s="1" t="s">
        <v>14</v>
      </c>
      <c r="F2778" s="1" t="s">
        <v>15</v>
      </c>
      <c r="G2778" s="1" t="s">
        <v>16</v>
      </c>
      <c r="H2778" s="1" t="s">
        <v>25</v>
      </c>
      <c r="I2778" s="1" t="s">
        <v>18</v>
      </c>
      <c r="J2778">
        <v>30</v>
      </c>
      <c r="K2778">
        <v>42</v>
      </c>
      <c r="L2778" s="1" t="s">
        <v>21</v>
      </c>
    </row>
    <row r="2779" spans="1:12" x14ac:dyDescent="0.3">
      <c r="A2779" s="1" t="s">
        <v>1937</v>
      </c>
      <c r="B2779" s="2">
        <v>45796</v>
      </c>
      <c r="C2779" s="2">
        <v>45857</v>
      </c>
      <c r="D2779" s="1" t="s">
        <v>28</v>
      </c>
      <c r="E2779" s="1" t="s">
        <v>14</v>
      </c>
      <c r="F2779" s="1" t="s">
        <v>38</v>
      </c>
      <c r="G2779" s="1" t="s">
        <v>53</v>
      </c>
      <c r="H2779" s="1" t="s">
        <v>54</v>
      </c>
      <c r="I2779" s="1" t="s">
        <v>26</v>
      </c>
      <c r="J2779">
        <v>15</v>
      </c>
      <c r="K2779">
        <v>61</v>
      </c>
      <c r="L2779" s="1" t="s">
        <v>80</v>
      </c>
    </row>
    <row r="2780" spans="1:12" x14ac:dyDescent="0.3">
      <c r="A2780" s="1" t="s">
        <v>2249</v>
      </c>
      <c r="B2780" s="2">
        <v>45796</v>
      </c>
      <c r="C2780" s="2">
        <v>45847</v>
      </c>
      <c r="D2780" s="1" t="s">
        <v>32</v>
      </c>
      <c r="E2780" s="1" t="s">
        <v>24</v>
      </c>
      <c r="F2780" s="1" t="s">
        <v>15</v>
      </c>
      <c r="G2780" s="1" t="s">
        <v>16</v>
      </c>
      <c r="H2780" s="1" t="s">
        <v>71</v>
      </c>
      <c r="I2780" s="1" t="s">
        <v>18</v>
      </c>
      <c r="J2780">
        <v>30</v>
      </c>
      <c r="K2780">
        <v>51</v>
      </c>
      <c r="L2780" s="1" t="s">
        <v>44</v>
      </c>
    </row>
    <row r="2781" spans="1:12" x14ac:dyDescent="0.3">
      <c r="A2781" s="1" t="s">
        <v>2473</v>
      </c>
      <c r="B2781" s="2">
        <v>45796</v>
      </c>
      <c r="C2781" s="2">
        <v>45836</v>
      </c>
      <c r="D2781" s="1" t="s">
        <v>23</v>
      </c>
      <c r="E2781" s="1" t="s">
        <v>24</v>
      </c>
      <c r="F2781" s="1" t="s">
        <v>38</v>
      </c>
      <c r="G2781" s="1" t="s">
        <v>16</v>
      </c>
      <c r="H2781" s="1" t="s">
        <v>25</v>
      </c>
      <c r="I2781" s="1" t="s">
        <v>26</v>
      </c>
      <c r="J2781">
        <v>30</v>
      </c>
      <c r="K2781">
        <v>40</v>
      </c>
      <c r="L2781" s="1" t="s">
        <v>21</v>
      </c>
    </row>
    <row r="2782" spans="1:12" x14ac:dyDescent="0.3">
      <c r="A2782" s="1" t="s">
        <v>2803</v>
      </c>
      <c r="B2782" s="2">
        <v>45796</v>
      </c>
      <c r="C2782" s="2">
        <v>45818</v>
      </c>
      <c r="D2782" s="1" t="s">
        <v>28</v>
      </c>
      <c r="E2782" s="1" t="s">
        <v>24</v>
      </c>
      <c r="F2782" s="1" t="s">
        <v>38</v>
      </c>
      <c r="G2782" s="1" t="s">
        <v>16</v>
      </c>
      <c r="H2782" s="1" t="s">
        <v>29</v>
      </c>
      <c r="I2782" s="1" t="s">
        <v>26</v>
      </c>
      <c r="J2782">
        <v>30</v>
      </c>
      <c r="K2782">
        <v>22</v>
      </c>
      <c r="L2782" s="1" t="s">
        <v>19</v>
      </c>
    </row>
    <row r="2783" spans="1:12" x14ac:dyDescent="0.3">
      <c r="A2783" s="1" t="s">
        <v>115</v>
      </c>
      <c r="B2783" s="2">
        <v>45795</v>
      </c>
      <c r="C2783" s="2">
        <v>45829</v>
      </c>
      <c r="D2783" s="1" t="s">
        <v>32</v>
      </c>
      <c r="E2783" s="1" t="s">
        <v>14</v>
      </c>
      <c r="F2783" s="1" t="s">
        <v>15</v>
      </c>
      <c r="G2783" s="1" t="s">
        <v>16</v>
      </c>
      <c r="H2783" s="1" t="s">
        <v>71</v>
      </c>
      <c r="I2783" s="1" t="s">
        <v>26</v>
      </c>
      <c r="J2783">
        <v>15</v>
      </c>
      <c r="K2783">
        <v>34</v>
      </c>
      <c r="L2783" s="1" t="s">
        <v>21</v>
      </c>
    </row>
    <row r="2784" spans="1:12" x14ac:dyDescent="0.3">
      <c r="A2784" s="1" t="s">
        <v>456</v>
      </c>
      <c r="B2784" s="2">
        <v>45795</v>
      </c>
      <c r="C2784" s="2">
        <v>45860</v>
      </c>
      <c r="D2784" s="1" t="s">
        <v>28</v>
      </c>
      <c r="E2784" s="1" t="s">
        <v>14</v>
      </c>
      <c r="F2784" s="1" t="s">
        <v>15</v>
      </c>
      <c r="G2784" s="1" t="s">
        <v>16</v>
      </c>
      <c r="H2784" s="1" t="s">
        <v>54</v>
      </c>
      <c r="I2784" s="1" t="s">
        <v>41</v>
      </c>
      <c r="J2784">
        <v>30</v>
      </c>
      <c r="K2784">
        <v>65</v>
      </c>
      <c r="L2784" s="1" t="s">
        <v>80</v>
      </c>
    </row>
    <row r="2785" spans="1:12" x14ac:dyDescent="0.3">
      <c r="A2785" s="1" t="s">
        <v>476</v>
      </c>
      <c r="B2785" s="2">
        <v>45795</v>
      </c>
      <c r="C2785" s="2">
        <v>45847</v>
      </c>
      <c r="D2785" s="1" t="s">
        <v>13</v>
      </c>
      <c r="E2785" s="1" t="s">
        <v>14</v>
      </c>
      <c r="F2785" s="1" t="s">
        <v>15</v>
      </c>
      <c r="G2785" s="1" t="s">
        <v>16</v>
      </c>
      <c r="H2785" s="1" t="s">
        <v>47</v>
      </c>
      <c r="I2785" s="1" t="s">
        <v>26</v>
      </c>
      <c r="J2785">
        <v>15</v>
      </c>
      <c r="K2785">
        <v>52</v>
      </c>
      <c r="L2785" s="1" t="s">
        <v>44</v>
      </c>
    </row>
    <row r="2786" spans="1:12" x14ac:dyDescent="0.3">
      <c r="A2786" s="1" t="s">
        <v>747</v>
      </c>
      <c r="B2786" s="2">
        <v>45795</v>
      </c>
      <c r="C2786" s="2">
        <v>45838</v>
      </c>
      <c r="D2786" s="1" t="s">
        <v>13</v>
      </c>
      <c r="E2786" s="1" t="s">
        <v>14</v>
      </c>
      <c r="F2786" s="1" t="s">
        <v>15</v>
      </c>
      <c r="G2786" s="1" t="s">
        <v>33</v>
      </c>
      <c r="H2786" s="1" t="s">
        <v>17</v>
      </c>
      <c r="I2786" s="1" t="s">
        <v>18</v>
      </c>
      <c r="J2786">
        <v>15</v>
      </c>
      <c r="K2786">
        <v>43</v>
      </c>
      <c r="L2786" s="1" t="s">
        <v>44</v>
      </c>
    </row>
    <row r="2787" spans="1:12" x14ac:dyDescent="0.3">
      <c r="A2787" s="1" t="s">
        <v>987</v>
      </c>
      <c r="B2787" s="2">
        <v>45795</v>
      </c>
      <c r="C2787" s="2">
        <v>45851</v>
      </c>
      <c r="D2787" s="1" t="s">
        <v>32</v>
      </c>
      <c r="E2787" s="1" t="s">
        <v>14</v>
      </c>
      <c r="F2787" s="1" t="s">
        <v>15</v>
      </c>
      <c r="G2787" s="1" t="s">
        <v>16</v>
      </c>
      <c r="H2787" s="1" t="s">
        <v>71</v>
      </c>
      <c r="I2787" s="1" t="s">
        <v>26</v>
      </c>
      <c r="J2787">
        <v>30</v>
      </c>
      <c r="K2787">
        <v>56</v>
      </c>
      <c r="L2787" s="1" t="s">
        <v>44</v>
      </c>
    </row>
    <row r="2788" spans="1:12" x14ac:dyDescent="0.3">
      <c r="A2788" s="1" t="s">
        <v>1818</v>
      </c>
      <c r="B2788" s="2">
        <v>45795</v>
      </c>
      <c r="C2788" s="2">
        <v>45824</v>
      </c>
      <c r="D2788" s="1" t="s">
        <v>28</v>
      </c>
      <c r="E2788" s="1" t="s">
        <v>24</v>
      </c>
      <c r="F2788" s="1" t="s">
        <v>15</v>
      </c>
      <c r="G2788" s="1" t="s">
        <v>16</v>
      </c>
      <c r="H2788" s="1" t="s">
        <v>29</v>
      </c>
      <c r="I2788" s="1" t="s">
        <v>18</v>
      </c>
      <c r="J2788">
        <v>30</v>
      </c>
      <c r="K2788">
        <v>29</v>
      </c>
      <c r="L2788" s="1" t="s">
        <v>21</v>
      </c>
    </row>
    <row r="2789" spans="1:12" x14ac:dyDescent="0.3">
      <c r="A2789" s="1" t="s">
        <v>1968</v>
      </c>
      <c r="B2789" s="2">
        <v>45795</v>
      </c>
      <c r="C2789" s="2">
        <v>45849</v>
      </c>
      <c r="D2789" s="1" t="s">
        <v>13</v>
      </c>
      <c r="E2789" s="1" t="s">
        <v>24</v>
      </c>
      <c r="F2789" s="1" t="s">
        <v>15</v>
      </c>
      <c r="G2789" s="1" t="s">
        <v>16</v>
      </c>
      <c r="H2789" s="1" t="s">
        <v>47</v>
      </c>
      <c r="I2789" s="1" t="s">
        <v>18</v>
      </c>
      <c r="J2789">
        <v>30</v>
      </c>
      <c r="K2789">
        <v>54</v>
      </c>
      <c r="L2789" s="1" t="s">
        <v>44</v>
      </c>
    </row>
    <row r="2790" spans="1:12" x14ac:dyDescent="0.3">
      <c r="A2790" s="1" t="s">
        <v>2127</v>
      </c>
      <c r="B2790" s="2">
        <v>45795</v>
      </c>
      <c r="C2790" s="2">
        <v>45825</v>
      </c>
      <c r="D2790" s="1" t="s">
        <v>28</v>
      </c>
      <c r="E2790" s="1" t="s">
        <v>24</v>
      </c>
      <c r="F2790" s="1" t="s">
        <v>15</v>
      </c>
      <c r="G2790" s="1" t="s">
        <v>16</v>
      </c>
      <c r="H2790" s="1" t="s">
        <v>54</v>
      </c>
      <c r="I2790" s="1" t="s">
        <v>18</v>
      </c>
      <c r="J2790">
        <v>30</v>
      </c>
      <c r="K2790">
        <v>30</v>
      </c>
      <c r="L2790" s="1" t="s">
        <v>21</v>
      </c>
    </row>
    <row r="2791" spans="1:12" x14ac:dyDescent="0.3">
      <c r="A2791" s="1" t="s">
        <v>2146</v>
      </c>
      <c r="B2791" s="2">
        <v>45795</v>
      </c>
      <c r="C2791" s="2">
        <v>45835</v>
      </c>
      <c r="D2791" s="1" t="s">
        <v>37</v>
      </c>
      <c r="E2791" s="1" t="s">
        <v>14</v>
      </c>
      <c r="F2791" s="1" t="s">
        <v>15</v>
      </c>
      <c r="G2791" s="1" t="s">
        <v>33</v>
      </c>
      <c r="H2791" s="1" t="s">
        <v>49</v>
      </c>
      <c r="I2791" s="1" t="s">
        <v>18</v>
      </c>
      <c r="J2791">
        <v>30</v>
      </c>
      <c r="K2791">
        <v>40</v>
      </c>
      <c r="L2791" s="1" t="s">
        <v>21</v>
      </c>
    </row>
    <row r="2792" spans="1:12" x14ac:dyDescent="0.3">
      <c r="A2792" s="1" t="s">
        <v>3064</v>
      </c>
      <c r="B2792" s="2">
        <v>45795</v>
      </c>
      <c r="C2792" s="2">
        <v>45844</v>
      </c>
      <c r="D2792" s="1" t="s">
        <v>13</v>
      </c>
      <c r="E2792" s="1" t="s">
        <v>14</v>
      </c>
      <c r="F2792" s="1" t="s">
        <v>15</v>
      </c>
      <c r="G2792" s="1" t="s">
        <v>16</v>
      </c>
      <c r="H2792" s="1" t="s">
        <v>17</v>
      </c>
      <c r="I2792" s="1" t="s">
        <v>26</v>
      </c>
      <c r="J2792">
        <v>15</v>
      </c>
      <c r="K2792">
        <v>49</v>
      </c>
      <c r="L2792" s="1" t="s">
        <v>44</v>
      </c>
    </row>
    <row r="2793" spans="1:12" x14ac:dyDescent="0.3">
      <c r="A2793" s="1" t="s">
        <v>3144</v>
      </c>
      <c r="B2793" s="2">
        <v>45795</v>
      </c>
      <c r="C2793" s="2">
        <v>45823</v>
      </c>
      <c r="D2793" s="1" t="s">
        <v>28</v>
      </c>
      <c r="E2793" s="1" t="s">
        <v>14</v>
      </c>
      <c r="F2793" s="1" t="s">
        <v>15</v>
      </c>
      <c r="G2793" s="1" t="s">
        <v>16</v>
      </c>
      <c r="H2793" s="1" t="s">
        <v>29</v>
      </c>
      <c r="I2793" s="1" t="s">
        <v>18</v>
      </c>
      <c r="J2793">
        <v>30</v>
      </c>
      <c r="K2793">
        <v>28</v>
      </c>
      <c r="L2793" s="1" t="s">
        <v>19</v>
      </c>
    </row>
    <row r="2794" spans="1:12" x14ac:dyDescent="0.3">
      <c r="A2794" s="1" t="s">
        <v>57</v>
      </c>
      <c r="B2794" s="2">
        <v>45794</v>
      </c>
      <c r="C2794" s="2">
        <v>45847</v>
      </c>
      <c r="D2794" s="1" t="s">
        <v>28</v>
      </c>
      <c r="E2794" s="1" t="s">
        <v>14</v>
      </c>
      <c r="F2794" s="1" t="s">
        <v>38</v>
      </c>
      <c r="G2794" s="1" t="s">
        <v>16</v>
      </c>
      <c r="H2794" s="1" t="s">
        <v>54</v>
      </c>
      <c r="I2794" s="1" t="s">
        <v>26</v>
      </c>
      <c r="J2794">
        <v>15</v>
      </c>
      <c r="K2794">
        <v>53</v>
      </c>
      <c r="L2794" s="1" t="s">
        <v>44</v>
      </c>
    </row>
    <row r="2795" spans="1:12" x14ac:dyDescent="0.3">
      <c r="A2795" s="1" t="s">
        <v>801</v>
      </c>
      <c r="B2795" s="2">
        <v>45794</v>
      </c>
      <c r="C2795" s="2">
        <v>45869</v>
      </c>
      <c r="D2795" s="1" t="s">
        <v>13</v>
      </c>
      <c r="E2795" s="1" t="s">
        <v>14</v>
      </c>
      <c r="F2795" s="1" t="s">
        <v>15</v>
      </c>
      <c r="G2795" s="1" t="s">
        <v>16</v>
      </c>
      <c r="H2795" s="1" t="s">
        <v>17</v>
      </c>
      <c r="I2795" s="1" t="s">
        <v>26</v>
      </c>
      <c r="J2795">
        <v>15</v>
      </c>
      <c r="K2795">
        <v>75</v>
      </c>
      <c r="L2795" s="1" t="s">
        <v>80</v>
      </c>
    </row>
    <row r="2796" spans="1:12" x14ac:dyDescent="0.3">
      <c r="A2796" s="1" t="s">
        <v>1672</v>
      </c>
      <c r="B2796" s="2">
        <v>45794</v>
      </c>
      <c r="C2796" s="2">
        <v>45804</v>
      </c>
      <c r="D2796" s="1" t="s">
        <v>23</v>
      </c>
      <c r="E2796" s="1" t="s">
        <v>14</v>
      </c>
      <c r="F2796" s="1" t="s">
        <v>15</v>
      </c>
      <c r="G2796" s="1" t="s">
        <v>16</v>
      </c>
      <c r="H2796" s="1" t="s">
        <v>25</v>
      </c>
      <c r="I2796" s="1" t="s">
        <v>41</v>
      </c>
      <c r="J2796">
        <v>15</v>
      </c>
      <c r="K2796">
        <v>10</v>
      </c>
      <c r="L2796" s="1" t="s">
        <v>30</v>
      </c>
    </row>
    <row r="2797" spans="1:12" x14ac:dyDescent="0.3">
      <c r="A2797" s="1" t="s">
        <v>1847</v>
      </c>
      <c r="B2797" s="2">
        <v>45794</v>
      </c>
      <c r="C2797" s="2">
        <v>45837</v>
      </c>
      <c r="D2797" s="1" t="s">
        <v>28</v>
      </c>
      <c r="E2797" s="1" t="s">
        <v>14</v>
      </c>
      <c r="F2797" s="1" t="s">
        <v>15</v>
      </c>
      <c r="G2797" s="1" t="s">
        <v>16</v>
      </c>
      <c r="H2797" s="1" t="s">
        <v>54</v>
      </c>
      <c r="I2797" s="1" t="s">
        <v>26</v>
      </c>
      <c r="J2797">
        <v>15</v>
      </c>
      <c r="K2797">
        <v>43</v>
      </c>
      <c r="L2797" s="1" t="s">
        <v>44</v>
      </c>
    </row>
    <row r="2798" spans="1:12" x14ac:dyDescent="0.3">
      <c r="A2798" s="1" t="s">
        <v>2592</v>
      </c>
      <c r="B2798" s="2">
        <v>45794</v>
      </c>
      <c r="C2798" s="2">
        <v>45829</v>
      </c>
      <c r="D2798" s="1" t="s">
        <v>23</v>
      </c>
      <c r="E2798" s="1" t="s">
        <v>24</v>
      </c>
      <c r="F2798" s="1" t="s">
        <v>15</v>
      </c>
      <c r="G2798" s="1" t="s">
        <v>16</v>
      </c>
      <c r="H2798" s="1" t="s">
        <v>43</v>
      </c>
      <c r="I2798" s="1" t="s">
        <v>26</v>
      </c>
      <c r="J2798">
        <v>45</v>
      </c>
      <c r="K2798">
        <v>35</v>
      </c>
      <c r="L2798" s="1" t="s">
        <v>21</v>
      </c>
    </row>
    <row r="2799" spans="1:12" x14ac:dyDescent="0.3">
      <c r="A2799" s="1" t="s">
        <v>2739</v>
      </c>
      <c r="B2799" s="2">
        <v>45794</v>
      </c>
      <c r="C2799" s="2">
        <v>45797</v>
      </c>
      <c r="D2799" s="1" t="s">
        <v>23</v>
      </c>
      <c r="E2799" s="1" t="s">
        <v>24</v>
      </c>
      <c r="F2799" s="1" t="s">
        <v>15</v>
      </c>
      <c r="G2799" s="1" t="s">
        <v>16</v>
      </c>
      <c r="H2799" s="1" t="s">
        <v>43</v>
      </c>
      <c r="I2799" s="1" t="s">
        <v>41</v>
      </c>
      <c r="J2799">
        <v>30</v>
      </c>
      <c r="K2799">
        <v>3</v>
      </c>
      <c r="L2799" s="1" t="s">
        <v>30</v>
      </c>
    </row>
    <row r="2800" spans="1:12" x14ac:dyDescent="0.3">
      <c r="A2800" s="1" t="s">
        <v>2048</v>
      </c>
      <c r="B2800" s="2">
        <v>45794</v>
      </c>
      <c r="C2800" s="2">
        <v>45859</v>
      </c>
      <c r="D2800" s="1" t="s">
        <v>37</v>
      </c>
      <c r="E2800" s="1" t="s">
        <v>14</v>
      </c>
      <c r="F2800" s="1" t="s">
        <v>15</v>
      </c>
      <c r="G2800" s="1" t="s">
        <v>16</v>
      </c>
      <c r="H2800" s="1" t="s">
        <v>49</v>
      </c>
      <c r="I2800" s="1" t="s">
        <v>26</v>
      </c>
      <c r="J2800">
        <v>15</v>
      </c>
      <c r="K2800">
        <v>65</v>
      </c>
      <c r="L2800" s="1" t="s">
        <v>80</v>
      </c>
    </row>
    <row r="2801" spans="1:12" x14ac:dyDescent="0.3">
      <c r="A2801" s="1" t="s">
        <v>2741</v>
      </c>
      <c r="B2801" s="2">
        <v>45794</v>
      </c>
      <c r="C2801" s="2">
        <v>45856</v>
      </c>
      <c r="D2801" s="1" t="s">
        <v>37</v>
      </c>
      <c r="E2801" s="1" t="s">
        <v>14</v>
      </c>
      <c r="F2801" s="1" t="s">
        <v>15</v>
      </c>
      <c r="G2801" s="1" t="s">
        <v>16</v>
      </c>
      <c r="H2801" s="1" t="s">
        <v>49</v>
      </c>
      <c r="I2801" s="1" t="s">
        <v>26</v>
      </c>
      <c r="J2801">
        <v>15</v>
      </c>
      <c r="K2801">
        <v>62</v>
      </c>
      <c r="L2801" s="1" t="s">
        <v>80</v>
      </c>
    </row>
    <row r="2802" spans="1:12" x14ac:dyDescent="0.3">
      <c r="A2802" s="1" t="s">
        <v>1047</v>
      </c>
      <c r="B2802" s="2">
        <v>45794</v>
      </c>
      <c r="C2802" s="2">
        <v>45849</v>
      </c>
      <c r="D2802" s="1" t="s">
        <v>37</v>
      </c>
      <c r="E2802" s="1" t="s">
        <v>24</v>
      </c>
      <c r="F2802" s="1" t="s">
        <v>38</v>
      </c>
      <c r="G2802" s="1" t="s">
        <v>16</v>
      </c>
      <c r="H2802" s="1" t="s">
        <v>39</v>
      </c>
      <c r="I2802" s="1" t="s">
        <v>18</v>
      </c>
      <c r="J2802">
        <v>45</v>
      </c>
      <c r="K2802">
        <v>55</v>
      </c>
      <c r="L2802" s="1" t="s">
        <v>44</v>
      </c>
    </row>
    <row r="2803" spans="1:12" x14ac:dyDescent="0.3">
      <c r="A2803" s="1" t="s">
        <v>262</v>
      </c>
      <c r="B2803" s="2">
        <v>45794</v>
      </c>
      <c r="C2803" s="2">
        <v>45843</v>
      </c>
      <c r="D2803" s="1" t="s">
        <v>37</v>
      </c>
      <c r="E2803" s="1" t="s">
        <v>24</v>
      </c>
      <c r="F2803" s="1" t="s">
        <v>15</v>
      </c>
      <c r="G2803" s="1" t="s">
        <v>16</v>
      </c>
      <c r="H2803" s="1" t="s">
        <v>39</v>
      </c>
      <c r="I2803" s="1" t="s">
        <v>26</v>
      </c>
      <c r="J2803">
        <v>30</v>
      </c>
      <c r="K2803">
        <v>49</v>
      </c>
      <c r="L2803" s="1" t="s">
        <v>44</v>
      </c>
    </row>
    <row r="2804" spans="1:12" x14ac:dyDescent="0.3">
      <c r="A2804" s="1" t="s">
        <v>3207</v>
      </c>
      <c r="B2804" s="2">
        <v>45794</v>
      </c>
      <c r="C2804" s="2">
        <v>45833</v>
      </c>
      <c r="D2804" s="1" t="s">
        <v>37</v>
      </c>
      <c r="E2804" s="1" t="s">
        <v>14</v>
      </c>
      <c r="F2804" s="1" t="s">
        <v>15</v>
      </c>
      <c r="G2804" s="1" t="s">
        <v>16</v>
      </c>
      <c r="H2804" s="1" t="s">
        <v>49</v>
      </c>
      <c r="I2804" s="1" t="s">
        <v>18</v>
      </c>
      <c r="J2804">
        <v>15</v>
      </c>
      <c r="K2804">
        <v>39</v>
      </c>
      <c r="L2804" s="1" t="s">
        <v>21</v>
      </c>
    </row>
    <row r="2805" spans="1:12" x14ac:dyDescent="0.3">
      <c r="A2805" s="1" t="s">
        <v>2861</v>
      </c>
      <c r="B2805" s="2">
        <v>45794</v>
      </c>
      <c r="C2805" s="2">
        <v>45820</v>
      </c>
      <c r="D2805" s="1" t="s">
        <v>13</v>
      </c>
      <c r="E2805" s="1" t="s">
        <v>24</v>
      </c>
      <c r="F2805" s="1" t="s">
        <v>15</v>
      </c>
      <c r="G2805" s="1" t="s">
        <v>16</v>
      </c>
      <c r="H2805" s="1" t="s">
        <v>47</v>
      </c>
      <c r="I2805" s="1" t="s">
        <v>26</v>
      </c>
      <c r="J2805">
        <v>30</v>
      </c>
      <c r="K2805">
        <v>26</v>
      </c>
      <c r="L2805" s="1" t="s">
        <v>19</v>
      </c>
    </row>
    <row r="2806" spans="1:12" x14ac:dyDescent="0.3">
      <c r="A2806" s="1" t="s">
        <v>2865</v>
      </c>
      <c r="B2806" s="2">
        <v>45794</v>
      </c>
      <c r="C2806" s="2">
        <v>45837</v>
      </c>
      <c r="D2806" s="1" t="s">
        <v>23</v>
      </c>
      <c r="E2806" s="1" t="s">
        <v>24</v>
      </c>
      <c r="F2806" s="1" t="s">
        <v>15</v>
      </c>
      <c r="G2806" s="1" t="s">
        <v>16</v>
      </c>
      <c r="H2806" s="1" t="s">
        <v>43</v>
      </c>
      <c r="I2806" s="1" t="s">
        <v>41</v>
      </c>
      <c r="J2806">
        <v>30</v>
      </c>
      <c r="K2806">
        <v>43</v>
      </c>
      <c r="L2806" s="1" t="s">
        <v>44</v>
      </c>
    </row>
    <row r="2807" spans="1:12" x14ac:dyDescent="0.3">
      <c r="A2807" s="1" t="s">
        <v>2872</v>
      </c>
      <c r="B2807" s="2">
        <v>45794</v>
      </c>
      <c r="C2807" s="2">
        <v>45857</v>
      </c>
      <c r="D2807" s="1" t="s">
        <v>28</v>
      </c>
      <c r="E2807" s="1" t="s">
        <v>24</v>
      </c>
      <c r="F2807" s="1" t="s">
        <v>15</v>
      </c>
      <c r="G2807" s="1" t="s">
        <v>53</v>
      </c>
      <c r="H2807" s="1" t="s">
        <v>54</v>
      </c>
      <c r="I2807" s="1" t="s">
        <v>26</v>
      </c>
      <c r="J2807">
        <v>30</v>
      </c>
      <c r="K2807">
        <v>63</v>
      </c>
      <c r="L2807" s="1" t="s">
        <v>80</v>
      </c>
    </row>
    <row r="2808" spans="1:12" x14ac:dyDescent="0.3">
      <c r="A2808" s="1" t="s">
        <v>2951</v>
      </c>
      <c r="B2808" s="2">
        <v>45794</v>
      </c>
      <c r="C2808" s="2">
        <v>45872</v>
      </c>
      <c r="D2808" s="1" t="s">
        <v>32</v>
      </c>
      <c r="E2808" s="1" t="s">
        <v>24</v>
      </c>
      <c r="F2808" s="1" t="s">
        <v>15</v>
      </c>
      <c r="G2808" s="1" t="s">
        <v>16</v>
      </c>
      <c r="H2808" s="1" t="s">
        <v>71</v>
      </c>
      <c r="I2808" s="1" t="s">
        <v>26</v>
      </c>
      <c r="J2808">
        <v>30</v>
      </c>
      <c r="K2808">
        <v>78</v>
      </c>
      <c r="L2808" s="1" t="s">
        <v>80</v>
      </c>
    </row>
    <row r="2809" spans="1:12" x14ac:dyDescent="0.3">
      <c r="A2809" s="1" t="s">
        <v>3106</v>
      </c>
      <c r="B2809" s="2">
        <v>45794</v>
      </c>
      <c r="C2809" s="2">
        <v>45844</v>
      </c>
      <c r="D2809" s="1" t="s">
        <v>13</v>
      </c>
      <c r="E2809" s="1" t="s">
        <v>24</v>
      </c>
      <c r="F2809" s="1" t="s">
        <v>15</v>
      </c>
      <c r="G2809" s="1" t="s">
        <v>16</v>
      </c>
      <c r="H2809" s="1" t="s">
        <v>17</v>
      </c>
      <c r="I2809" s="1" t="s">
        <v>41</v>
      </c>
      <c r="J2809">
        <v>45</v>
      </c>
      <c r="K2809">
        <v>50</v>
      </c>
      <c r="L2809" s="1" t="s">
        <v>44</v>
      </c>
    </row>
    <row r="2810" spans="1:12" x14ac:dyDescent="0.3">
      <c r="A2810" s="1" t="s">
        <v>198</v>
      </c>
      <c r="B2810" s="2">
        <v>45793</v>
      </c>
      <c r="C2810" s="2">
        <v>45817</v>
      </c>
      <c r="D2810" s="1" t="s">
        <v>32</v>
      </c>
      <c r="E2810" s="1" t="s">
        <v>14</v>
      </c>
      <c r="F2810" s="1" t="s">
        <v>15</v>
      </c>
      <c r="G2810" s="1" t="s">
        <v>16</v>
      </c>
      <c r="H2810" s="1" t="s">
        <v>34</v>
      </c>
      <c r="I2810" s="1" t="s">
        <v>41</v>
      </c>
      <c r="J2810">
        <v>15</v>
      </c>
      <c r="K2810">
        <v>24</v>
      </c>
      <c r="L2810" s="1" t="s">
        <v>19</v>
      </c>
    </row>
    <row r="2811" spans="1:12" x14ac:dyDescent="0.3">
      <c r="A2811" s="1" t="s">
        <v>478</v>
      </c>
      <c r="B2811" s="2">
        <v>45793</v>
      </c>
      <c r="C2811" s="2">
        <v>45835</v>
      </c>
      <c r="D2811" s="1" t="s">
        <v>32</v>
      </c>
      <c r="E2811" s="1" t="s">
        <v>14</v>
      </c>
      <c r="F2811" s="1" t="s">
        <v>15</v>
      </c>
      <c r="G2811" s="1" t="s">
        <v>16</v>
      </c>
      <c r="H2811" s="1" t="s">
        <v>71</v>
      </c>
      <c r="I2811" s="1" t="s">
        <v>26</v>
      </c>
      <c r="J2811">
        <v>30</v>
      </c>
      <c r="K2811">
        <v>42</v>
      </c>
      <c r="L2811" s="1" t="s">
        <v>21</v>
      </c>
    </row>
    <row r="2812" spans="1:12" x14ac:dyDescent="0.3">
      <c r="A2812" s="1" t="s">
        <v>916</v>
      </c>
      <c r="B2812" s="2">
        <v>45793</v>
      </c>
      <c r="C2812" s="2">
        <v>45829</v>
      </c>
      <c r="D2812" s="1" t="s">
        <v>13</v>
      </c>
      <c r="E2812" s="1" t="s">
        <v>14</v>
      </c>
      <c r="F2812" s="1" t="s">
        <v>38</v>
      </c>
      <c r="G2812" s="1" t="s">
        <v>16</v>
      </c>
      <c r="H2812" s="1" t="s">
        <v>47</v>
      </c>
      <c r="I2812" s="1" t="s">
        <v>26</v>
      </c>
      <c r="J2812">
        <v>15</v>
      </c>
      <c r="K2812">
        <v>36</v>
      </c>
      <c r="L2812" s="1" t="s">
        <v>21</v>
      </c>
    </row>
    <row r="2813" spans="1:12" x14ac:dyDescent="0.3">
      <c r="A2813" s="1" t="s">
        <v>1652</v>
      </c>
      <c r="B2813" s="2">
        <v>45793</v>
      </c>
      <c r="C2813" s="2">
        <v>45806</v>
      </c>
      <c r="D2813" s="1" t="s">
        <v>32</v>
      </c>
      <c r="E2813" s="1" t="s">
        <v>14</v>
      </c>
      <c r="F2813" s="1" t="s">
        <v>15</v>
      </c>
      <c r="G2813" s="1" t="s">
        <v>16</v>
      </c>
      <c r="H2813" s="1" t="s">
        <v>34</v>
      </c>
      <c r="I2813" s="1" t="s">
        <v>26</v>
      </c>
      <c r="J2813">
        <v>15</v>
      </c>
      <c r="K2813">
        <v>13</v>
      </c>
      <c r="L2813" s="1" t="s">
        <v>30</v>
      </c>
    </row>
    <row r="2814" spans="1:12" x14ac:dyDescent="0.3">
      <c r="A2814" s="1" t="s">
        <v>2122</v>
      </c>
      <c r="B2814" s="2">
        <v>45793</v>
      </c>
      <c r="C2814" s="2">
        <v>45803</v>
      </c>
      <c r="D2814" s="1" t="s">
        <v>28</v>
      </c>
      <c r="E2814" s="1" t="s">
        <v>14</v>
      </c>
      <c r="F2814" s="1" t="s">
        <v>15</v>
      </c>
      <c r="G2814" s="1" t="s">
        <v>16</v>
      </c>
      <c r="H2814" s="1" t="s">
        <v>54</v>
      </c>
      <c r="I2814" s="1" t="s">
        <v>18</v>
      </c>
      <c r="J2814">
        <v>30</v>
      </c>
      <c r="K2814">
        <v>10</v>
      </c>
      <c r="L2814" s="1" t="s">
        <v>30</v>
      </c>
    </row>
    <row r="2815" spans="1:12" x14ac:dyDescent="0.3">
      <c r="A2815" s="1" t="s">
        <v>1970</v>
      </c>
      <c r="B2815" s="2">
        <v>45793</v>
      </c>
      <c r="C2815" s="2">
        <v>45832</v>
      </c>
      <c r="D2815" s="1" t="s">
        <v>37</v>
      </c>
      <c r="E2815" s="1" t="s">
        <v>24</v>
      </c>
      <c r="F2815" s="1" t="s">
        <v>15</v>
      </c>
      <c r="G2815" s="1" t="s">
        <v>16</v>
      </c>
      <c r="H2815" s="1" t="s">
        <v>39</v>
      </c>
      <c r="I2815" s="1" t="s">
        <v>18</v>
      </c>
      <c r="J2815">
        <v>30</v>
      </c>
      <c r="K2815">
        <v>39</v>
      </c>
      <c r="L2815" s="1" t="s">
        <v>21</v>
      </c>
    </row>
    <row r="2816" spans="1:12" x14ac:dyDescent="0.3">
      <c r="A2816" s="1" t="s">
        <v>1280</v>
      </c>
      <c r="B2816" s="2">
        <v>45793</v>
      </c>
      <c r="C2816" s="2">
        <v>45823</v>
      </c>
      <c r="D2816" s="1" t="s">
        <v>37</v>
      </c>
      <c r="E2816" s="1" t="s">
        <v>14</v>
      </c>
      <c r="F2816" s="1" t="s">
        <v>15</v>
      </c>
      <c r="G2816" s="1" t="s">
        <v>16</v>
      </c>
      <c r="H2816" s="1" t="s">
        <v>39</v>
      </c>
      <c r="I2816" s="1" t="s">
        <v>26</v>
      </c>
      <c r="J2816">
        <v>15</v>
      </c>
      <c r="K2816">
        <v>30</v>
      </c>
      <c r="L2816" s="1" t="s">
        <v>21</v>
      </c>
    </row>
    <row r="2817" spans="1:12" x14ac:dyDescent="0.3">
      <c r="A2817" s="1" t="s">
        <v>1647</v>
      </c>
      <c r="B2817" s="2">
        <v>45793</v>
      </c>
      <c r="C2817" s="2">
        <v>45816</v>
      </c>
      <c r="D2817" s="1" t="s">
        <v>37</v>
      </c>
      <c r="E2817" s="1" t="s">
        <v>14</v>
      </c>
      <c r="F2817" s="1" t="s">
        <v>15</v>
      </c>
      <c r="G2817" s="1" t="s">
        <v>16</v>
      </c>
      <c r="H2817" s="1" t="s">
        <v>49</v>
      </c>
      <c r="I2817" s="1" t="s">
        <v>41</v>
      </c>
      <c r="J2817">
        <v>15</v>
      </c>
      <c r="K2817">
        <v>23</v>
      </c>
      <c r="L2817" s="1" t="s">
        <v>19</v>
      </c>
    </row>
    <row r="2818" spans="1:12" x14ac:dyDescent="0.3">
      <c r="A2818" s="1" t="s">
        <v>2965</v>
      </c>
      <c r="B2818" s="2">
        <v>45793</v>
      </c>
      <c r="C2818" s="2">
        <v>45835</v>
      </c>
      <c r="D2818" s="1" t="s">
        <v>23</v>
      </c>
      <c r="E2818" s="1" t="s">
        <v>14</v>
      </c>
      <c r="F2818" s="1" t="s">
        <v>15</v>
      </c>
      <c r="G2818" s="1" t="s">
        <v>33</v>
      </c>
      <c r="H2818" s="1" t="s">
        <v>43</v>
      </c>
      <c r="I2818" s="1" t="s">
        <v>41</v>
      </c>
      <c r="J2818">
        <v>15</v>
      </c>
      <c r="K2818">
        <v>42</v>
      </c>
      <c r="L2818" s="1" t="s">
        <v>21</v>
      </c>
    </row>
    <row r="2819" spans="1:12" x14ac:dyDescent="0.3">
      <c r="A2819" s="1" t="s">
        <v>460</v>
      </c>
      <c r="B2819" s="2">
        <v>45792</v>
      </c>
      <c r="C2819" s="2">
        <v>45830</v>
      </c>
      <c r="D2819" s="1" t="s">
        <v>28</v>
      </c>
      <c r="E2819" s="1" t="s">
        <v>14</v>
      </c>
      <c r="F2819" s="1" t="s">
        <v>38</v>
      </c>
      <c r="G2819" s="1" t="s">
        <v>33</v>
      </c>
      <c r="H2819" s="1" t="s">
        <v>29</v>
      </c>
      <c r="I2819" s="1" t="s">
        <v>26</v>
      </c>
      <c r="J2819">
        <v>15</v>
      </c>
      <c r="K2819">
        <v>38</v>
      </c>
      <c r="L2819" s="1" t="s">
        <v>21</v>
      </c>
    </row>
    <row r="2820" spans="1:12" x14ac:dyDescent="0.3">
      <c r="A2820" s="1" t="s">
        <v>825</v>
      </c>
      <c r="B2820" s="2">
        <v>45792</v>
      </c>
      <c r="C2820" s="2">
        <v>45794</v>
      </c>
      <c r="D2820" s="1" t="s">
        <v>28</v>
      </c>
      <c r="E2820" s="1" t="s">
        <v>24</v>
      </c>
      <c r="F2820" s="1" t="s">
        <v>15</v>
      </c>
      <c r="G2820" s="1" t="s">
        <v>16</v>
      </c>
      <c r="H2820" s="1" t="s">
        <v>54</v>
      </c>
      <c r="I2820" s="1" t="s">
        <v>41</v>
      </c>
      <c r="J2820">
        <v>45</v>
      </c>
      <c r="K2820">
        <v>2</v>
      </c>
      <c r="L2820" s="1" t="s">
        <v>30</v>
      </c>
    </row>
    <row r="2821" spans="1:12" x14ac:dyDescent="0.3">
      <c r="A2821" s="1" t="s">
        <v>826</v>
      </c>
      <c r="B2821" s="2">
        <v>45792</v>
      </c>
      <c r="C2821" s="2">
        <v>45823</v>
      </c>
      <c r="D2821" s="1" t="s">
        <v>23</v>
      </c>
      <c r="E2821" s="1" t="s">
        <v>24</v>
      </c>
      <c r="F2821" s="1" t="s">
        <v>15</v>
      </c>
      <c r="G2821" s="1" t="s">
        <v>53</v>
      </c>
      <c r="H2821" s="1" t="s">
        <v>25</v>
      </c>
      <c r="I2821" s="1" t="s">
        <v>26</v>
      </c>
      <c r="J2821">
        <v>30</v>
      </c>
      <c r="K2821">
        <v>31</v>
      </c>
      <c r="L2821" s="1" t="s">
        <v>21</v>
      </c>
    </row>
    <row r="2822" spans="1:12" x14ac:dyDescent="0.3">
      <c r="A2822" s="1" t="s">
        <v>1661</v>
      </c>
      <c r="B2822" s="2">
        <v>45792</v>
      </c>
      <c r="C2822" s="2">
        <v>45838</v>
      </c>
      <c r="D2822" s="1" t="s">
        <v>28</v>
      </c>
      <c r="E2822" s="1" t="s">
        <v>14</v>
      </c>
      <c r="F2822" s="1" t="s">
        <v>15</v>
      </c>
      <c r="G2822" s="1" t="s">
        <v>16</v>
      </c>
      <c r="H2822" s="1" t="s">
        <v>29</v>
      </c>
      <c r="I2822" s="1" t="s">
        <v>26</v>
      </c>
      <c r="J2822">
        <v>15</v>
      </c>
      <c r="K2822">
        <v>46</v>
      </c>
      <c r="L2822" s="1" t="s">
        <v>44</v>
      </c>
    </row>
    <row r="2823" spans="1:12" x14ac:dyDescent="0.3">
      <c r="A2823" s="1" t="s">
        <v>2552</v>
      </c>
      <c r="B2823" s="2">
        <v>45792</v>
      </c>
      <c r="C2823" s="2">
        <v>45794</v>
      </c>
      <c r="D2823" s="1" t="s">
        <v>23</v>
      </c>
      <c r="E2823" s="1" t="s">
        <v>14</v>
      </c>
      <c r="F2823" s="1" t="s">
        <v>15</v>
      </c>
      <c r="G2823" s="1" t="s">
        <v>16</v>
      </c>
      <c r="H2823" s="1" t="s">
        <v>43</v>
      </c>
      <c r="I2823" s="1" t="s">
        <v>26</v>
      </c>
      <c r="J2823">
        <v>15</v>
      </c>
      <c r="K2823">
        <v>2</v>
      </c>
      <c r="L2823" s="1" t="s">
        <v>30</v>
      </c>
    </row>
    <row r="2824" spans="1:12" x14ac:dyDescent="0.3">
      <c r="A2824" s="1" t="s">
        <v>428</v>
      </c>
      <c r="B2824" s="2">
        <v>45792</v>
      </c>
      <c r="C2824" s="2">
        <v>45794</v>
      </c>
      <c r="D2824" s="1" t="s">
        <v>37</v>
      </c>
      <c r="E2824" s="1" t="s">
        <v>14</v>
      </c>
      <c r="F2824" s="1" t="s">
        <v>15</v>
      </c>
      <c r="G2824" s="1" t="s">
        <v>16</v>
      </c>
      <c r="H2824" s="1" t="s">
        <v>49</v>
      </c>
      <c r="I2824" s="1" t="s">
        <v>26</v>
      </c>
      <c r="J2824">
        <v>15</v>
      </c>
      <c r="K2824">
        <v>2</v>
      </c>
      <c r="L2824" s="1" t="s">
        <v>30</v>
      </c>
    </row>
    <row r="2825" spans="1:12" x14ac:dyDescent="0.3">
      <c r="A2825" s="1" t="s">
        <v>354</v>
      </c>
      <c r="B2825" s="2">
        <v>45791</v>
      </c>
      <c r="C2825" s="2">
        <v>45814</v>
      </c>
      <c r="D2825" s="1" t="s">
        <v>32</v>
      </c>
      <c r="E2825" s="1" t="s">
        <v>14</v>
      </c>
      <c r="F2825" s="1" t="s">
        <v>15</v>
      </c>
      <c r="G2825" s="1" t="s">
        <v>16</v>
      </c>
      <c r="H2825" s="1" t="s">
        <v>34</v>
      </c>
      <c r="I2825" s="1" t="s">
        <v>26</v>
      </c>
      <c r="J2825">
        <v>30</v>
      </c>
      <c r="K2825">
        <v>23</v>
      </c>
      <c r="L2825" s="1" t="s">
        <v>19</v>
      </c>
    </row>
    <row r="2826" spans="1:12" x14ac:dyDescent="0.3">
      <c r="A2826" s="1" t="s">
        <v>539</v>
      </c>
      <c r="B2826" s="2">
        <v>45791</v>
      </c>
      <c r="C2826" s="2">
        <v>45817</v>
      </c>
      <c r="D2826" s="1" t="s">
        <v>32</v>
      </c>
      <c r="E2826" s="1" t="s">
        <v>14</v>
      </c>
      <c r="F2826" s="1" t="s">
        <v>15</v>
      </c>
      <c r="G2826" s="1" t="s">
        <v>16</v>
      </c>
      <c r="H2826" s="1" t="s">
        <v>34</v>
      </c>
      <c r="I2826" s="1" t="s">
        <v>26</v>
      </c>
      <c r="J2826">
        <v>30</v>
      </c>
      <c r="K2826">
        <v>26</v>
      </c>
      <c r="L2826" s="1" t="s">
        <v>19</v>
      </c>
    </row>
    <row r="2827" spans="1:12" x14ac:dyDescent="0.3">
      <c r="A2827" s="1" t="s">
        <v>766</v>
      </c>
      <c r="B2827" s="2">
        <v>45791</v>
      </c>
      <c r="C2827" s="2">
        <v>45830</v>
      </c>
      <c r="D2827" s="1" t="s">
        <v>23</v>
      </c>
      <c r="E2827" s="1" t="s">
        <v>24</v>
      </c>
      <c r="F2827" s="1" t="s">
        <v>15</v>
      </c>
      <c r="G2827" s="1" t="s">
        <v>16</v>
      </c>
      <c r="H2827" s="1" t="s">
        <v>43</v>
      </c>
      <c r="I2827" s="1" t="s">
        <v>41</v>
      </c>
      <c r="J2827">
        <v>30</v>
      </c>
      <c r="K2827">
        <v>39</v>
      </c>
      <c r="L2827" s="1" t="s">
        <v>21</v>
      </c>
    </row>
    <row r="2828" spans="1:12" x14ac:dyDescent="0.3">
      <c r="A2828" s="1" t="s">
        <v>820</v>
      </c>
      <c r="B2828" s="2">
        <v>45791</v>
      </c>
      <c r="C2828" s="2">
        <v>45841</v>
      </c>
      <c r="D2828" s="1" t="s">
        <v>23</v>
      </c>
      <c r="E2828" s="1" t="s">
        <v>24</v>
      </c>
      <c r="F2828" s="1" t="s">
        <v>15</v>
      </c>
      <c r="G2828" s="1" t="s">
        <v>16</v>
      </c>
      <c r="H2828" s="1" t="s">
        <v>25</v>
      </c>
      <c r="I2828" s="1" t="s">
        <v>26</v>
      </c>
      <c r="J2828">
        <v>30</v>
      </c>
      <c r="K2828">
        <v>50</v>
      </c>
      <c r="L2828" s="1" t="s">
        <v>44</v>
      </c>
    </row>
    <row r="2829" spans="1:12" x14ac:dyDescent="0.3">
      <c r="A2829" s="1" t="s">
        <v>905</v>
      </c>
      <c r="B2829" s="2">
        <v>45791</v>
      </c>
      <c r="C2829" s="2">
        <v>45853</v>
      </c>
      <c r="D2829" s="1" t="s">
        <v>32</v>
      </c>
      <c r="E2829" s="1" t="s">
        <v>24</v>
      </c>
      <c r="F2829" s="1" t="s">
        <v>15</v>
      </c>
      <c r="G2829" s="1" t="s">
        <v>16</v>
      </c>
      <c r="H2829" s="1" t="s">
        <v>71</v>
      </c>
      <c r="I2829" s="1" t="s">
        <v>26</v>
      </c>
      <c r="J2829">
        <v>30</v>
      </c>
      <c r="K2829">
        <v>62</v>
      </c>
      <c r="L2829" s="1" t="s">
        <v>80</v>
      </c>
    </row>
    <row r="2830" spans="1:12" x14ac:dyDescent="0.3">
      <c r="A2830" s="1" t="s">
        <v>988</v>
      </c>
      <c r="B2830" s="2">
        <v>45791</v>
      </c>
      <c r="C2830" s="2">
        <v>45842</v>
      </c>
      <c r="D2830" s="1" t="s">
        <v>23</v>
      </c>
      <c r="E2830" s="1" t="s">
        <v>14</v>
      </c>
      <c r="F2830" s="1" t="s">
        <v>15</v>
      </c>
      <c r="G2830" s="1" t="s">
        <v>16</v>
      </c>
      <c r="H2830" s="1" t="s">
        <v>43</v>
      </c>
      <c r="I2830" s="1" t="s">
        <v>41</v>
      </c>
      <c r="J2830">
        <v>30</v>
      </c>
      <c r="K2830">
        <v>51</v>
      </c>
      <c r="L2830" s="1" t="s">
        <v>44</v>
      </c>
    </row>
    <row r="2831" spans="1:12" x14ac:dyDescent="0.3">
      <c r="A2831" s="1" t="s">
        <v>1385</v>
      </c>
      <c r="B2831" s="2">
        <v>45791</v>
      </c>
      <c r="C2831" s="2">
        <v>45844</v>
      </c>
      <c r="D2831" s="1" t="s">
        <v>28</v>
      </c>
      <c r="E2831" s="1" t="s">
        <v>24</v>
      </c>
      <c r="F2831" s="1" t="s">
        <v>15</v>
      </c>
      <c r="G2831" s="1" t="s">
        <v>16</v>
      </c>
      <c r="H2831" s="1" t="s">
        <v>54</v>
      </c>
      <c r="I2831" s="1" t="s">
        <v>26</v>
      </c>
      <c r="J2831">
        <v>30</v>
      </c>
      <c r="K2831">
        <v>53</v>
      </c>
      <c r="L2831" s="1" t="s">
        <v>44</v>
      </c>
    </row>
    <row r="2832" spans="1:12" x14ac:dyDescent="0.3">
      <c r="A2832" s="1" t="s">
        <v>1988</v>
      </c>
      <c r="B2832" s="2">
        <v>45791</v>
      </c>
      <c r="C2832" s="2">
        <v>45855</v>
      </c>
      <c r="D2832" s="1" t="s">
        <v>23</v>
      </c>
      <c r="E2832" s="1" t="s">
        <v>14</v>
      </c>
      <c r="F2832" s="1" t="s">
        <v>15</v>
      </c>
      <c r="G2832" s="1" t="s">
        <v>16</v>
      </c>
      <c r="H2832" s="1" t="s">
        <v>43</v>
      </c>
      <c r="I2832" s="1" t="s">
        <v>41</v>
      </c>
      <c r="J2832">
        <v>15</v>
      </c>
      <c r="K2832">
        <v>64</v>
      </c>
      <c r="L2832" s="1" t="s">
        <v>80</v>
      </c>
    </row>
    <row r="2833" spans="1:12" x14ac:dyDescent="0.3">
      <c r="A2833" s="1" t="s">
        <v>2311</v>
      </c>
      <c r="B2833" s="2">
        <v>45791</v>
      </c>
      <c r="C2833" s="2">
        <v>45830</v>
      </c>
      <c r="D2833" s="1" t="s">
        <v>13</v>
      </c>
      <c r="E2833" s="1" t="s">
        <v>14</v>
      </c>
      <c r="F2833" s="1" t="s">
        <v>38</v>
      </c>
      <c r="G2833" s="1" t="s">
        <v>16</v>
      </c>
      <c r="H2833" s="1" t="s">
        <v>47</v>
      </c>
      <c r="I2833" s="1" t="s">
        <v>41</v>
      </c>
      <c r="J2833">
        <v>15</v>
      </c>
      <c r="K2833">
        <v>39</v>
      </c>
      <c r="L2833" s="1" t="s">
        <v>21</v>
      </c>
    </row>
    <row r="2834" spans="1:12" x14ac:dyDescent="0.3">
      <c r="A2834" s="1" t="s">
        <v>2406</v>
      </c>
      <c r="B2834" s="2">
        <v>45791</v>
      </c>
      <c r="C2834" s="2">
        <v>45837</v>
      </c>
      <c r="D2834" s="1" t="s">
        <v>13</v>
      </c>
      <c r="E2834" s="1" t="s">
        <v>24</v>
      </c>
      <c r="F2834" s="1" t="s">
        <v>15</v>
      </c>
      <c r="G2834" s="1" t="s">
        <v>16</v>
      </c>
      <c r="H2834" s="1" t="s">
        <v>17</v>
      </c>
      <c r="I2834" s="1" t="s">
        <v>26</v>
      </c>
      <c r="J2834">
        <v>30</v>
      </c>
      <c r="K2834">
        <v>46</v>
      </c>
      <c r="L2834" s="1" t="s">
        <v>44</v>
      </c>
    </row>
    <row r="2835" spans="1:12" x14ac:dyDescent="0.3">
      <c r="A2835" s="1" t="s">
        <v>2742</v>
      </c>
      <c r="B2835" s="2">
        <v>45791</v>
      </c>
      <c r="C2835" s="2">
        <v>45819</v>
      </c>
      <c r="D2835" s="1" t="s">
        <v>23</v>
      </c>
      <c r="E2835" s="1" t="s">
        <v>14</v>
      </c>
      <c r="F2835" s="1" t="s">
        <v>38</v>
      </c>
      <c r="G2835" s="1" t="s">
        <v>16</v>
      </c>
      <c r="H2835" s="1" t="s">
        <v>25</v>
      </c>
      <c r="I2835" s="1" t="s">
        <v>26</v>
      </c>
      <c r="J2835">
        <v>15</v>
      </c>
      <c r="K2835">
        <v>28</v>
      </c>
      <c r="L2835" s="1" t="s">
        <v>19</v>
      </c>
    </row>
    <row r="2836" spans="1:12" x14ac:dyDescent="0.3">
      <c r="A2836" s="1" t="s">
        <v>1918</v>
      </c>
      <c r="B2836" s="2">
        <v>45791</v>
      </c>
      <c r="C2836" s="2">
        <v>45835</v>
      </c>
      <c r="D2836" s="1" t="s">
        <v>37</v>
      </c>
      <c r="E2836" s="1" t="s">
        <v>14</v>
      </c>
      <c r="F2836" s="1" t="s">
        <v>15</v>
      </c>
      <c r="G2836" s="1" t="s">
        <v>53</v>
      </c>
      <c r="H2836" s="1" t="s">
        <v>39</v>
      </c>
      <c r="I2836" s="1" t="s">
        <v>26</v>
      </c>
      <c r="J2836">
        <v>15</v>
      </c>
      <c r="K2836">
        <v>44</v>
      </c>
      <c r="L2836" s="1" t="s">
        <v>44</v>
      </c>
    </row>
    <row r="2837" spans="1:12" x14ac:dyDescent="0.3">
      <c r="A2837" s="1" t="s">
        <v>1199</v>
      </c>
      <c r="B2837" s="2">
        <v>45791</v>
      </c>
      <c r="C2837" s="2">
        <v>45828</v>
      </c>
      <c r="D2837" s="1" t="s">
        <v>37</v>
      </c>
      <c r="E2837" s="1" t="s">
        <v>24</v>
      </c>
      <c r="F2837" s="1" t="s">
        <v>15</v>
      </c>
      <c r="G2837" s="1" t="s">
        <v>16</v>
      </c>
      <c r="H2837" s="1" t="s">
        <v>49</v>
      </c>
      <c r="I2837" s="1" t="s">
        <v>26</v>
      </c>
      <c r="J2837">
        <v>30</v>
      </c>
      <c r="K2837">
        <v>37</v>
      </c>
      <c r="L2837" s="1" t="s">
        <v>21</v>
      </c>
    </row>
    <row r="2838" spans="1:12" x14ac:dyDescent="0.3">
      <c r="A2838" s="1" t="s">
        <v>1092</v>
      </c>
      <c r="B2838" s="2">
        <v>45791</v>
      </c>
      <c r="C2838" s="2">
        <v>45802</v>
      </c>
      <c r="D2838" s="1" t="s">
        <v>37</v>
      </c>
      <c r="E2838" s="1" t="s">
        <v>14</v>
      </c>
      <c r="F2838" s="1" t="s">
        <v>15</v>
      </c>
      <c r="G2838" s="1" t="s">
        <v>33</v>
      </c>
      <c r="H2838" s="1" t="s">
        <v>39</v>
      </c>
      <c r="I2838" s="1" t="s">
        <v>18</v>
      </c>
      <c r="J2838">
        <v>15</v>
      </c>
      <c r="K2838">
        <v>11</v>
      </c>
      <c r="L2838" s="1" t="s">
        <v>30</v>
      </c>
    </row>
    <row r="2839" spans="1:12" x14ac:dyDescent="0.3">
      <c r="A2839" s="1" t="s">
        <v>3203</v>
      </c>
      <c r="B2839" s="2">
        <v>45791</v>
      </c>
      <c r="C2839" s="2">
        <v>45793</v>
      </c>
      <c r="D2839" s="1" t="s">
        <v>23</v>
      </c>
      <c r="E2839" s="1" t="s">
        <v>14</v>
      </c>
      <c r="F2839" s="1" t="s">
        <v>15</v>
      </c>
      <c r="G2839" s="1" t="s">
        <v>53</v>
      </c>
      <c r="H2839" s="1" t="s">
        <v>43</v>
      </c>
      <c r="I2839" s="1" t="s">
        <v>26</v>
      </c>
      <c r="J2839">
        <v>15</v>
      </c>
      <c r="K2839">
        <v>2</v>
      </c>
      <c r="L2839" s="1" t="s">
        <v>30</v>
      </c>
    </row>
    <row r="2840" spans="1:12" x14ac:dyDescent="0.3">
      <c r="A2840" s="1" t="s">
        <v>239</v>
      </c>
      <c r="B2840" s="2">
        <v>45790</v>
      </c>
      <c r="C2840" s="2">
        <v>45865</v>
      </c>
      <c r="D2840" s="1" t="s">
        <v>13</v>
      </c>
      <c r="E2840" s="1" t="s">
        <v>24</v>
      </c>
      <c r="F2840" s="1" t="s">
        <v>15</v>
      </c>
      <c r="G2840" s="1" t="s">
        <v>16</v>
      </c>
      <c r="H2840" s="1" t="s">
        <v>17</v>
      </c>
      <c r="I2840" s="1" t="s">
        <v>41</v>
      </c>
      <c r="J2840">
        <v>30</v>
      </c>
      <c r="K2840">
        <v>75</v>
      </c>
      <c r="L2840" s="1" t="s">
        <v>80</v>
      </c>
    </row>
    <row r="2841" spans="1:12" x14ac:dyDescent="0.3">
      <c r="A2841" s="1" t="s">
        <v>406</v>
      </c>
      <c r="B2841" s="2">
        <v>45790</v>
      </c>
      <c r="C2841" s="2">
        <v>45824</v>
      </c>
      <c r="D2841" s="1" t="s">
        <v>13</v>
      </c>
      <c r="E2841" s="1" t="s">
        <v>24</v>
      </c>
      <c r="F2841" s="1" t="s">
        <v>15</v>
      </c>
      <c r="G2841" s="1" t="s">
        <v>16</v>
      </c>
      <c r="H2841" s="1" t="s">
        <v>47</v>
      </c>
      <c r="I2841" s="1" t="s">
        <v>26</v>
      </c>
      <c r="J2841">
        <v>30</v>
      </c>
      <c r="K2841">
        <v>34</v>
      </c>
      <c r="L2841" s="1" t="s">
        <v>21</v>
      </c>
    </row>
    <row r="2842" spans="1:12" x14ac:dyDescent="0.3">
      <c r="A2842" s="1" t="s">
        <v>580</v>
      </c>
      <c r="B2842" s="2">
        <v>45790</v>
      </c>
      <c r="C2842" s="2">
        <v>45810</v>
      </c>
      <c r="D2842" s="1" t="s">
        <v>28</v>
      </c>
      <c r="E2842" s="1" t="s">
        <v>14</v>
      </c>
      <c r="F2842" s="1" t="s">
        <v>15</v>
      </c>
      <c r="G2842" s="1" t="s">
        <v>53</v>
      </c>
      <c r="H2842" s="1" t="s">
        <v>54</v>
      </c>
      <c r="I2842" s="1" t="s">
        <v>26</v>
      </c>
      <c r="J2842">
        <v>15</v>
      </c>
      <c r="K2842">
        <v>20</v>
      </c>
      <c r="L2842" s="1" t="s">
        <v>19</v>
      </c>
    </row>
    <row r="2843" spans="1:12" x14ac:dyDescent="0.3">
      <c r="A2843" s="1" t="s">
        <v>2256</v>
      </c>
      <c r="B2843" s="2">
        <v>45790</v>
      </c>
      <c r="C2843" s="2">
        <v>45834</v>
      </c>
      <c r="D2843" s="1" t="s">
        <v>28</v>
      </c>
      <c r="E2843" s="1" t="s">
        <v>14</v>
      </c>
      <c r="F2843" s="1" t="s">
        <v>15</v>
      </c>
      <c r="G2843" s="1" t="s">
        <v>33</v>
      </c>
      <c r="H2843" s="1" t="s">
        <v>54</v>
      </c>
      <c r="I2843" s="1" t="s">
        <v>18</v>
      </c>
      <c r="J2843">
        <v>15</v>
      </c>
      <c r="K2843">
        <v>44</v>
      </c>
      <c r="L2843" s="1" t="s">
        <v>44</v>
      </c>
    </row>
    <row r="2844" spans="1:12" x14ac:dyDescent="0.3">
      <c r="A2844" s="1" t="s">
        <v>1062</v>
      </c>
      <c r="B2844" s="2">
        <v>45790</v>
      </c>
      <c r="C2844" s="2">
        <v>45849</v>
      </c>
      <c r="D2844" s="1" t="s">
        <v>37</v>
      </c>
      <c r="E2844" s="1" t="s">
        <v>24</v>
      </c>
      <c r="F2844" s="1" t="s">
        <v>15</v>
      </c>
      <c r="G2844" s="1" t="s">
        <v>16</v>
      </c>
      <c r="H2844" s="1" t="s">
        <v>49</v>
      </c>
      <c r="I2844" s="1" t="s">
        <v>41</v>
      </c>
      <c r="J2844">
        <v>30</v>
      </c>
      <c r="K2844">
        <v>59</v>
      </c>
      <c r="L2844" s="1" t="s">
        <v>80</v>
      </c>
    </row>
    <row r="2845" spans="1:12" x14ac:dyDescent="0.3">
      <c r="A2845" s="1" t="s">
        <v>768</v>
      </c>
      <c r="B2845" s="2">
        <v>45790</v>
      </c>
      <c r="C2845" s="2">
        <v>45831</v>
      </c>
      <c r="D2845" s="1" t="s">
        <v>37</v>
      </c>
      <c r="E2845" s="1" t="s">
        <v>24</v>
      </c>
      <c r="F2845" s="1" t="s">
        <v>38</v>
      </c>
      <c r="G2845" s="1" t="s">
        <v>16</v>
      </c>
      <c r="H2845" s="1" t="s">
        <v>39</v>
      </c>
      <c r="I2845" s="1" t="s">
        <v>26</v>
      </c>
      <c r="J2845">
        <v>30</v>
      </c>
      <c r="K2845">
        <v>41</v>
      </c>
      <c r="L2845" s="1" t="s">
        <v>21</v>
      </c>
    </row>
    <row r="2846" spans="1:12" x14ac:dyDescent="0.3">
      <c r="A2846" s="1" t="s">
        <v>2828</v>
      </c>
      <c r="B2846" s="2">
        <v>45790</v>
      </c>
      <c r="C2846" s="2">
        <v>45831</v>
      </c>
      <c r="D2846" s="1" t="s">
        <v>37</v>
      </c>
      <c r="E2846" s="1" t="s">
        <v>24</v>
      </c>
      <c r="F2846" s="1" t="s">
        <v>15</v>
      </c>
      <c r="G2846" s="1" t="s">
        <v>16</v>
      </c>
      <c r="H2846" s="1" t="s">
        <v>39</v>
      </c>
      <c r="I2846" s="1" t="s">
        <v>26</v>
      </c>
      <c r="J2846">
        <v>45</v>
      </c>
      <c r="K2846">
        <v>41</v>
      </c>
      <c r="L2846" s="1" t="s">
        <v>21</v>
      </c>
    </row>
    <row r="2847" spans="1:12" x14ac:dyDescent="0.3">
      <c r="A2847" s="1" t="s">
        <v>2723</v>
      </c>
      <c r="B2847" s="2">
        <v>45790</v>
      </c>
      <c r="C2847" s="2">
        <v>45825</v>
      </c>
      <c r="D2847" s="1" t="s">
        <v>37</v>
      </c>
      <c r="E2847" s="1" t="s">
        <v>14</v>
      </c>
      <c r="F2847" s="1" t="s">
        <v>15</v>
      </c>
      <c r="G2847" s="1" t="s">
        <v>53</v>
      </c>
      <c r="H2847" s="1" t="s">
        <v>39</v>
      </c>
      <c r="I2847" s="1" t="s">
        <v>26</v>
      </c>
      <c r="J2847">
        <v>15</v>
      </c>
      <c r="K2847">
        <v>35</v>
      </c>
      <c r="L2847" s="1" t="s">
        <v>21</v>
      </c>
    </row>
    <row r="2848" spans="1:12" x14ac:dyDescent="0.3">
      <c r="A2848" s="1" t="s">
        <v>161</v>
      </c>
      <c r="B2848" s="2">
        <v>45789</v>
      </c>
      <c r="C2848" s="2">
        <v>45818</v>
      </c>
      <c r="D2848" s="1" t="s">
        <v>28</v>
      </c>
      <c r="E2848" s="1" t="s">
        <v>24</v>
      </c>
      <c r="F2848" s="1" t="s">
        <v>15</v>
      </c>
      <c r="G2848" s="1" t="s">
        <v>16</v>
      </c>
      <c r="H2848" s="1" t="s">
        <v>29</v>
      </c>
      <c r="I2848" s="1" t="s">
        <v>26</v>
      </c>
      <c r="J2848">
        <v>45</v>
      </c>
      <c r="K2848">
        <v>29</v>
      </c>
      <c r="L2848" s="1" t="s">
        <v>21</v>
      </c>
    </row>
    <row r="2849" spans="1:12" x14ac:dyDescent="0.3">
      <c r="A2849" s="1" t="s">
        <v>543</v>
      </c>
      <c r="B2849" s="2">
        <v>45789</v>
      </c>
      <c r="C2849" s="2">
        <v>45797</v>
      </c>
      <c r="D2849" s="1" t="s">
        <v>23</v>
      </c>
      <c r="E2849" s="1" t="s">
        <v>14</v>
      </c>
      <c r="F2849" s="1" t="s">
        <v>15</v>
      </c>
      <c r="G2849" s="1" t="s">
        <v>53</v>
      </c>
      <c r="H2849" s="1" t="s">
        <v>25</v>
      </c>
      <c r="I2849" s="1" t="s">
        <v>26</v>
      </c>
      <c r="J2849">
        <v>15</v>
      </c>
      <c r="K2849">
        <v>8</v>
      </c>
      <c r="L2849" s="1" t="s">
        <v>30</v>
      </c>
    </row>
    <row r="2850" spans="1:12" x14ac:dyDescent="0.3">
      <c r="A2850" s="1" t="s">
        <v>915</v>
      </c>
      <c r="B2850" s="2">
        <v>45789</v>
      </c>
      <c r="C2850" s="2">
        <v>45805</v>
      </c>
      <c r="D2850" s="1" t="s">
        <v>23</v>
      </c>
      <c r="E2850" s="1" t="s">
        <v>24</v>
      </c>
      <c r="F2850" s="1" t="s">
        <v>15</v>
      </c>
      <c r="G2850" s="1" t="s">
        <v>16</v>
      </c>
      <c r="H2850" s="1" t="s">
        <v>25</v>
      </c>
      <c r="I2850" s="1" t="s">
        <v>26</v>
      </c>
      <c r="J2850">
        <v>30</v>
      </c>
      <c r="K2850">
        <v>16</v>
      </c>
      <c r="L2850" s="1" t="s">
        <v>19</v>
      </c>
    </row>
    <row r="2851" spans="1:12" x14ac:dyDescent="0.3">
      <c r="A2851" s="1" t="s">
        <v>1258</v>
      </c>
      <c r="B2851" s="2">
        <v>45789</v>
      </c>
      <c r="C2851" s="2">
        <v>45871</v>
      </c>
      <c r="D2851" s="1" t="s">
        <v>32</v>
      </c>
      <c r="E2851" s="1" t="s">
        <v>24</v>
      </c>
      <c r="F2851" s="1" t="s">
        <v>38</v>
      </c>
      <c r="G2851" s="1" t="s">
        <v>16</v>
      </c>
      <c r="H2851" s="1" t="s">
        <v>34</v>
      </c>
      <c r="I2851" s="1" t="s">
        <v>41</v>
      </c>
      <c r="J2851">
        <v>30</v>
      </c>
      <c r="K2851">
        <v>82</v>
      </c>
      <c r="L2851" s="1" t="s">
        <v>80</v>
      </c>
    </row>
    <row r="2852" spans="1:12" x14ac:dyDescent="0.3">
      <c r="A2852" s="1" t="s">
        <v>1363</v>
      </c>
      <c r="B2852" s="2">
        <v>45789</v>
      </c>
      <c r="C2852" s="2">
        <v>45829</v>
      </c>
      <c r="D2852" s="1" t="s">
        <v>28</v>
      </c>
      <c r="E2852" s="1" t="s">
        <v>14</v>
      </c>
      <c r="F2852" s="1" t="s">
        <v>15</v>
      </c>
      <c r="G2852" s="1" t="s">
        <v>16</v>
      </c>
      <c r="H2852" s="1" t="s">
        <v>29</v>
      </c>
      <c r="I2852" s="1" t="s">
        <v>41</v>
      </c>
      <c r="J2852">
        <v>15</v>
      </c>
      <c r="K2852">
        <v>40</v>
      </c>
      <c r="L2852" s="1" t="s">
        <v>21</v>
      </c>
    </row>
    <row r="2853" spans="1:12" x14ac:dyDescent="0.3">
      <c r="A2853" s="1" t="s">
        <v>1621</v>
      </c>
      <c r="B2853" s="2">
        <v>45789</v>
      </c>
      <c r="C2853" s="2">
        <v>45833</v>
      </c>
      <c r="D2853" s="1" t="s">
        <v>28</v>
      </c>
      <c r="E2853" s="1" t="s">
        <v>14</v>
      </c>
      <c r="F2853" s="1" t="s">
        <v>15</v>
      </c>
      <c r="G2853" s="1" t="s">
        <v>53</v>
      </c>
      <c r="H2853" s="1" t="s">
        <v>54</v>
      </c>
      <c r="I2853" s="1" t="s">
        <v>26</v>
      </c>
      <c r="J2853">
        <v>15</v>
      </c>
      <c r="K2853">
        <v>44</v>
      </c>
      <c r="L2853" s="1" t="s">
        <v>44</v>
      </c>
    </row>
    <row r="2854" spans="1:12" x14ac:dyDescent="0.3">
      <c r="A2854" s="1" t="s">
        <v>2548</v>
      </c>
      <c r="B2854" s="2">
        <v>45789</v>
      </c>
      <c r="C2854" s="2">
        <v>45831</v>
      </c>
      <c r="D2854" s="1" t="s">
        <v>23</v>
      </c>
      <c r="E2854" s="1" t="s">
        <v>14</v>
      </c>
      <c r="F2854" s="1" t="s">
        <v>15</v>
      </c>
      <c r="G2854" s="1" t="s">
        <v>16</v>
      </c>
      <c r="H2854" s="1" t="s">
        <v>43</v>
      </c>
      <c r="I2854" s="1" t="s">
        <v>18</v>
      </c>
      <c r="J2854">
        <v>30</v>
      </c>
      <c r="K2854">
        <v>42</v>
      </c>
      <c r="L2854" s="1" t="s">
        <v>21</v>
      </c>
    </row>
    <row r="2855" spans="1:12" x14ac:dyDescent="0.3">
      <c r="A2855" s="1" t="s">
        <v>2257</v>
      </c>
      <c r="B2855" s="2">
        <v>45789</v>
      </c>
      <c r="C2855" s="2">
        <v>45843</v>
      </c>
      <c r="D2855" s="1" t="s">
        <v>37</v>
      </c>
      <c r="E2855" s="1" t="s">
        <v>14</v>
      </c>
      <c r="F2855" s="1" t="s">
        <v>38</v>
      </c>
      <c r="G2855" s="1" t="s">
        <v>16</v>
      </c>
      <c r="H2855" s="1" t="s">
        <v>49</v>
      </c>
      <c r="I2855" s="1" t="s">
        <v>41</v>
      </c>
      <c r="J2855">
        <v>15</v>
      </c>
      <c r="K2855">
        <v>54</v>
      </c>
      <c r="L2855" s="1" t="s">
        <v>44</v>
      </c>
    </row>
    <row r="2856" spans="1:12" x14ac:dyDescent="0.3">
      <c r="A2856" s="1" t="s">
        <v>2765</v>
      </c>
      <c r="B2856" s="2">
        <v>45789</v>
      </c>
      <c r="C2856" s="2">
        <v>45838</v>
      </c>
      <c r="D2856" s="1" t="s">
        <v>37</v>
      </c>
      <c r="E2856" s="1" t="s">
        <v>24</v>
      </c>
      <c r="F2856" s="1" t="s">
        <v>15</v>
      </c>
      <c r="G2856" s="1" t="s">
        <v>53</v>
      </c>
      <c r="H2856" s="1" t="s">
        <v>39</v>
      </c>
      <c r="I2856" s="1" t="s">
        <v>26</v>
      </c>
      <c r="J2856">
        <v>30</v>
      </c>
      <c r="K2856">
        <v>49</v>
      </c>
      <c r="L2856" s="1" t="s">
        <v>44</v>
      </c>
    </row>
    <row r="2857" spans="1:12" x14ac:dyDescent="0.3">
      <c r="A2857" s="1" t="s">
        <v>3069</v>
      </c>
      <c r="B2857" s="2">
        <v>45789</v>
      </c>
      <c r="C2857" s="2">
        <v>45833</v>
      </c>
      <c r="D2857" s="1" t="s">
        <v>37</v>
      </c>
      <c r="E2857" s="1" t="s">
        <v>14</v>
      </c>
      <c r="F2857" s="1" t="s">
        <v>38</v>
      </c>
      <c r="G2857" s="1" t="s">
        <v>16</v>
      </c>
      <c r="H2857" s="1" t="s">
        <v>49</v>
      </c>
      <c r="I2857" s="1" t="s">
        <v>41</v>
      </c>
      <c r="J2857">
        <v>15</v>
      </c>
      <c r="K2857">
        <v>44</v>
      </c>
      <c r="L2857" s="1" t="s">
        <v>44</v>
      </c>
    </row>
    <row r="2858" spans="1:12" x14ac:dyDescent="0.3">
      <c r="A2858" s="1" t="s">
        <v>2895</v>
      </c>
      <c r="B2858" s="2">
        <v>45789</v>
      </c>
      <c r="C2858" s="2">
        <v>45837</v>
      </c>
      <c r="D2858" s="1" t="s">
        <v>32</v>
      </c>
      <c r="E2858" s="1" t="s">
        <v>24</v>
      </c>
      <c r="F2858" s="1" t="s">
        <v>38</v>
      </c>
      <c r="G2858" s="1" t="s">
        <v>16</v>
      </c>
      <c r="H2858" s="1" t="s">
        <v>71</v>
      </c>
      <c r="I2858" s="1" t="s">
        <v>41</v>
      </c>
      <c r="J2858">
        <v>45</v>
      </c>
      <c r="K2858">
        <v>48</v>
      </c>
      <c r="L2858" s="1" t="s">
        <v>44</v>
      </c>
    </row>
    <row r="2859" spans="1:12" x14ac:dyDescent="0.3">
      <c r="A2859" s="1" t="s">
        <v>850</v>
      </c>
      <c r="B2859" s="2">
        <v>45788</v>
      </c>
      <c r="C2859" s="2">
        <v>45816</v>
      </c>
      <c r="D2859" s="1" t="s">
        <v>23</v>
      </c>
      <c r="E2859" s="1" t="s">
        <v>24</v>
      </c>
      <c r="F2859" s="1" t="s">
        <v>15</v>
      </c>
      <c r="G2859" s="1" t="s">
        <v>16</v>
      </c>
      <c r="H2859" s="1" t="s">
        <v>43</v>
      </c>
      <c r="I2859" s="1" t="s">
        <v>18</v>
      </c>
      <c r="J2859">
        <v>30</v>
      </c>
      <c r="K2859">
        <v>28</v>
      </c>
      <c r="L2859" s="1" t="s">
        <v>19</v>
      </c>
    </row>
    <row r="2860" spans="1:12" x14ac:dyDescent="0.3">
      <c r="A2860" s="1" t="s">
        <v>1508</v>
      </c>
      <c r="B2860" s="2">
        <v>45788</v>
      </c>
      <c r="C2860" s="2">
        <v>45823</v>
      </c>
      <c r="D2860" s="1" t="s">
        <v>28</v>
      </c>
      <c r="E2860" s="1" t="s">
        <v>14</v>
      </c>
      <c r="F2860" s="1" t="s">
        <v>15</v>
      </c>
      <c r="G2860" s="1" t="s">
        <v>16</v>
      </c>
      <c r="H2860" s="1" t="s">
        <v>29</v>
      </c>
      <c r="I2860" s="1" t="s">
        <v>26</v>
      </c>
      <c r="J2860">
        <v>15</v>
      </c>
      <c r="K2860">
        <v>35</v>
      </c>
      <c r="L2860" s="1" t="s">
        <v>21</v>
      </c>
    </row>
    <row r="2861" spans="1:12" x14ac:dyDescent="0.3">
      <c r="A2861" s="1" t="s">
        <v>1526</v>
      </c>
      <c r="B2861" s="2">
        <v>45788</v>
      </c>
      <c r="C2861" s="2">
        <v>45814</v>
      </c>
      <c r="D2861" s="1" t="s">
        <v>32</v>
      </c>
      <c r="E2861" s="1" t="s">
        <v>24</v>
      </c>
      <c r="F2861" s="1" t="s">
        <v>15</v>
      </c>
      <c r="G2861" s="1" t="s">
        <v>16</v>
      </c>
      <c r="H2861" s="1" t="s">
        <v>34</v>
      </c>
      <c r="I2861" s="1" t="s">
        <v>41</v>
      </c>
      <c r="J2861">
        <v>30</v>
      </c>
      <c r="K2861">
        <v>26</v>
      </c>
      <c r="L2861" s="1" t="s">
        <v>19</v>
      </c>
    </row>
    <row r="2862" spans="1:12" x14ac:dyDescent="0.3">
      <c r="A2862" s="1" t="s">
        <v>1531</v>
      </c>
      <c r="B2862" s="2">
        <v>45788</v>
      </c>
      <c r="C2862" s="2">
        <v>45839</v>
      </c>
      <c r="D2862" s="1" t="s">
        <v>28</v>
      </c>
      <c r="E2862" s="1" t="s">
        <v>24</v>
      </c>
      <c r="F2862" s="1" t="s">
        <v>15</v>
      </c>
      <c r="G2862" s="1" t="s">
        <v>16</v>
      </c>
      <c r="H2862" s="1" t="s">
        <v>54</v>
      </c>
      <c r="I2862" s="1" t="s">
        <v>41</v>
      </c>
      <c r="J2862">
        <v>30</v>
      </c>
      <c r="K2862">
        <v>51</v>
      </c>
      <c r="L2862" s="1" t="s">
        <v>44</v>
      </c>
    </row>
    <row r="2863" spans="1:12" x14ac:dyDescent="0.3">
      <c r="A2863" s="1" t="s">
        <v>1580</v>
      </c>
      <c r="B2863" s="2">
        <v>45788</v>
      </c>
      <c r="C2863" s="2">
        <v>45811</v>
      </c>
      <c r="D2863" s="1" t="s">
        <v>23</v>
      </c>
      <c r="E2863" s="1" t="s">
        <v>14</v>
      </c>
      <c r="F2863" s="1" t="s">
        <v>15</v>
      </c>
      <c r="G2863" s="1" t="s">
        <v>16</v>
      </c>
      <c r="H2863" s="1" t="s">
        <v>25</v>
      </c>
      <c r="I2863" s="1" t="s">
        <v>41</v>
      </c>
      <c r="J2863">
        <v>15</v>
      </c>
      <c r="K2863">
        <v>23</v>
      </c>
      <c r="L2863" s="1" t="s">
        <v>19</v>
      </c>
    </row>
    <row r="2864" spans="1:12" x14ac:dyDescent="0.3">
      <c r="A2864" s="1" t="s">
        <v>1909</v>
      </c>
      <c r="B2864" s="2">
        <v>45788</v>
      </c>
      <c r="C2864" s="2">
        <v>45829</v>
      </c>
      <c r="D2864" s="1" t="s">
        <v>23</v>
      </c>
      <c r="E2864" s="1" t="s">
        <v>24</v>
      </c>
      <c r="F2864" s="1" t="s">
        <v>15</v>
      </c>
      <c r="G2864" s="1" t="s">
        <v>16</v>
      </c>
      <c r="H2864" s="1" t="s">
        <v>25</v>
      </c>
      <c r="I2864" s="1" t="s">
        <v>41</v>
      </c>
      <c r="J2864">
        <v>30</v>
      </c>
      <c r="K2864">
        <v>41</v>
      </c>
      <c r="L2864" s="1" t="s">
        <v>21</v>
      </c>
    </row>
    <row r="2865" spans="1:12" x14ac:dyDescent="0.3">
      <c r="A2865" s="1" t="s">
        <v>2286</v>
      </c>
      <c r="B2865" s="2">
        <v>45788</v>
      </c>
      <c r="C2865" s="2">
        <v>45828</v>
      </c>
      <c r="D2865" s="1" t="s">
        <v>23</v>
      </c>
      <c r="E2865" s="1" t="s">
        <v>14</v>
      </c>
      <c r="F2865" s="1" t="s">
        <v>38</v>
      </c>
      <c r="G2865" s="1" t="s">
        <v>16</v>
      </c>
      <c r="H2865" s="1" t="s">
        <v>25</v>
      </c>
      <c r="I2865" s="1" t="s">
        <v>41</v>
      </c>
      <c r="J2865">
        <v>30</v>
      </c>
      <c r="K2865">
        <v>40</v>
      </c>
      <c r="L2865" s="1" t="s">
        <v>21</v>
      </c>
    </row>
    <row r="2866" spans="1:12" x14ac:dyDescent="0.3">
      <c r="A2866" s="1" t="s">
        <v>1858</v>
      </c>
      <c r="B2866" s="2">
        <v>45788</v>
      </c>
      <c r="C2866" s="2">
        <v>45812</v>
      </c>
      <c r="D2866" s="1" t="s">
        <v>37</v>
      </c>
      <c r="E2866" s="1" t="s">
        <v>14</v>
      </c>
      <c r="F2866" s="1" t="s">
        <v>15</v>
      </c>
      <c r="G2866" s="1" t="s">
        <v>16</v>
      </c>
      <c r="H2866" s="1" t="s">
        <v>39</v>
      </c>
      <c r="I2866" s="1" t="s">
        <v>18</v>
      </c>
      <c r="J2866">
        <v>15</v>
      </c>
      <c r="K2866">
        <v>24</v>
      </c>
      <c r="L2866" s="1" t="s">
        <v>19</v>
      </c>
    </row>
    <row r="2867" spans="1:12" x14ac:dyDescent="0.3">
      <c r="A2867" s="1" t="s">
        <v>2953</v>
      </c>
      <c r="B2867" s="2">
        <v>45788</v>
      </c>
      <c r="C2867" s="2">
        <v>45828</v>
      </c>
      <c r="D2867" s="1" t="s">
        <v>28</v>
      </c>
      <c r="E2867" s="1" t="s">
        <v>24</v>
      </c>
      <c r="F2867" s="1" t="s">
        <v>15</v>
      </c>
      <c r="G2867" s="1" t="s">
        <v>16</v>
      </c>
      <c r="H2867" s="1" t="s">
        <v>54</v>
      </c>
      <c r="I2867" s="1" t="s">
        <v>26</v>
      </c>
      <c r="J2867">
        <v>30</v>
      </c>
      <c r="K2867">
        <v>40</v>
      </c>
      <c r="L2867" s="1" t="s">
        <v>21</v>
      </c>
    </row>
    <row r="2868" spans="1:12" x14ac:dyDescent="0.3">
      <c r="A2868" s="1" t="s">
        <v>3076</v>
      </c>
      <c r="B2868" s="2">
        <v>45788</v>
      </c>
      <c r="C2868" s="2">
        <v>45817</v>
      </c>
      <c r="D2868" s="1" t="s">
        <v>23</v>
      </c>
      <c r="E2868" s="1" t="s">
        <v>14</v>
      </c>
      <c r="F2868" s="1" t="s">
        <v>15</v>
      </c>
      <c r="G2868" s="1" t="s">
        <v>16</v>
      </c>
      <c r="H2868" s="1" t="s">
        <v>43</v>
      </c>
      <c r="I2868" s="1" t="s">
        <v>41</v>
      </c>
      <c r="J2868">
        <v>15</v>
      </c>
      <c r="K2868">
        <v>29</v>
      </c>
      <c r="L2868" s="1" t="s">
        <v>21</v>
      </c>
    </row>
    <row r="2869" spans="1:12" x14ac:dyDescent="0.3">
      <c r="A2869" s="1" t="s">
        <v>351</v>
      </c>
      <c r="B2869" s="2">
        <v>45787</v>
      </c>
      <c r="C2869" s="2">
        <v>45826</v>
      </c>
      <c r="D2869" s="1" t="s">
        <v>28</v>
      </c>
      <c r="E2869" s="1" t="s">
        <v>14</v>
      </c>
      <c r="F2869" s="1" t="s">
        <v>15</v>
      </c>
      <c r="G2869" s="1" t="s">
        <v>53</v>
      </c>
      <c r="H2869" s="1" t="s">
        <v>29</v>
      </c>
      <c r="I2869" s="1" t="s">
        <v>26</v>
      </c>
      <c r="J2869">
        <v>30</v>
      </c>
      <c r="K2869">
        <v>39</v>
      </c>
      <c r="L2869" s="1" t="s">
        <v>21</v>
      </c>
    </row>
    <row r="2870" spans="1:12" x14ac:dyDescent="0.3">
      <c r="A2870" s="1" t="s">
        <v>363</v>
      </c>
      <c r="B2870" s="2">
        <v>45787</v>
      </c>
      <c r="C2870" s="2">
        <v>45847</v>
      </c>
      <c r="D2870" s="1" t="s">
        <v>28</v>
      </c>
      <c r="E2870" s="1" t="s">
        <v>14</v>
      </c>
      <c r="F2870" s="1" t="s">
        <v>15</v>
      </c>
      <c r="G2870" s="1" t="s">
        <v>16</v>
      </c>
      <c r="H2870" s="1" t="s">
        <v>54</v>
      </c>
      <c r="I2870" s="1" t="s">
        <v>26</v>
      </c>
      <c r="J2870">
        <v>15</v>
      </c>
      <c r="K2870">
        <v>60</v>
      </c>
      <c r="L2870" s="1" t="s">
        <v>80</v>
      </c>
    </row>
    <row r="2871" spans="1:12" x14ac:dyDescent="0.3">
      <c r="A2871" s="1" t="s">
        <v>522</v>
      </c>
      <c r="B2871" s="2">
        <v>45787</v>
      </c>
      <c r="C2871" s="2">
        <v>45827</v>
      </c>
      <c r="D2871" s="1" t="s">
        <v>28</v>
      </c>
      <c r="E2871" s="1" t="s">
        <v>14</v>
      </c>
      <c r="F2871" s="1" t="s">
        <v>15</v>
      </c>
      <c r="G2871" s="1" t="s">
        <v>16</v>
      </c>
      <c r="H2871" s="1" t="s">
        <v>54</v>
      </c>
      <c r="I2871" s="1" t="s">
        <v>26</v>
      </c>
      <c r="J2871">
        <v>30</v>
      </c>
      <c r="K2871">
        <v>40</v>
      </c>
      <c r="L2871" s="1" t="s">
        <v>21</v>
      </c>
    </row>
    <row r="2872" spans="1:12" x14ac:dyDescent="0.3">
      <c r="A2872" s="1" t="s">
        <v>1269</v>
      </c>
      <c r="B2872" s="2">
        <v>45787</v>
      </c>
      <c r="C2872" s="2">
        <v>45822</v>
      </c>
      <c r="D2872" s="1" t="s">
        <v>28</v>
      </c>
      <c r="E2872" s="1" t="s">
        <v>24</v>
      </c>
      <c r="F2872" s="1" t="s">
        <v>15</v>
      </c>
      <c r="G2872" s="1" t="s">
        <v>16</v>
      </c>
      <c r="H2872" s="1" t="s">
        <v>54</v>
      </c>
      <c r="I2872" s="1" t="s">
        <v>18</v>
      </c>
      <c r="J2872">
        <v>30</v>
      </c>
      <c r="K2872">
        <v>35</v>
      </c>
      <c r="L2872" s="1" t="s">
        <v>21</v>
      </c>
    </row>
    <row r="2873" spans="1:12" x14ac:dyDescent="0.3">
      <c r="A2873" s="1" t="s">
        <v>1314</v>
      </c>
      <c r="B2873" s="2">
        <v>45787</v>
      </c>
      <c r="C2873" s="2">
        <v>45839</v>
      </c>
      <c r="D2873" s="1" t="s">
        <v>32</v>
      </c>
      <c r="E2873" s="1" t="s">
        <v>24</v>
      </c>
      <c r="F2873" s="1" t="s">
        <v>15</v>
      </c>
      <c r="G2873" s="1" t="s">
        <v>16</v>
      </c>
      <c r="H2873" s="1" t="s">
        <v>34</v>
      </c>
      <c r="I2873" s="1" t="s">
        <v>41</v>
      </c>
      <c r="J2873">
        <v>30</v>
      </c>
      <c r="K2873">
        <v>52</v>
      </c>
      <c r="L2873" s="1" t="s">
        <v>44</v>
      </c>
    </row>
    <row r="2874" spans="1:12" x14ac:dyDescent="0.3">
      <c r="A2874" s="1" t="s">
        <v>2546</v>
      </c>
      <c r="B2874" s="2">
        <v>45787</v>
      </c>
      <c r="C2874" s="2">
        <v>45810</v>
      </c>
      <c r="D2874" s="1" t="s">
        <v>13</v>
      </c>
      <c r="E2874" s="1" t="s">
        <v>24</v>
      </c>
      <c r="F2874" s="1" t="s">
        <v>38</v>
      </c>
      <c r="G2874" s="1" t="s">
        <v>16</v>
      </c>
      <c r="H2874" s="1" t="s">
        <v>47</v>
      </c>
      <c r="I2874" s="1" t="s">
        <v>26</v>
      </c>
      <c r="J2874">
        <v>30</v>
      </c>
      <c r="K2874">
        <v>23</v>
      </c>
      <c r="L2874" s="1" t="s">
        <v>19</v>
      </c>
    </row>
    <row r="2875" spans="1:12" x14ac:dyDescent="0.3">
      <c r="A2875" s="1" t="s">
        <v>3119</v>
      </c>
      <c r="B2875" s="2">
        <v>45787</v>
      </c>
      <c r="C2875" s="2">
        <v>45789</v>
      </c>
      <c r="D2875" s="1" t="s">
        <v>37</v>
      </c>
      <c r="E2875" s="1" t="s">
        <v>24</v>
      </c>
      <c r="F2875" s="1" t="s">
        <v>38</v>
      </c>
      <c r="G2875" s="1" t="s">
        <v>16</v>
      </c>
      <c r="H2875" s="1" t="s">
        <v>39</v>
      </c>
      <c r="I2875" s="1" t="s">
        <v>41</v>
      </c>
      <c r="J2875">
        <v>30</v>
      </c>
      <c r="K2875">
        <v>2</v>
      </c>
      <c r="L2875" s="1" t="s">
        <v>30</v>
      </c>
    </row>
    <row r="2876" spans="1:12" x14ac:dyDescent="0.3">
      <c r="A2876" s="1" t="s">
        <v>2988</v>
      </c>
      <c r="B2876" s="2">
        <v>45787</v>
      </c>
      <c r="C2876" s="2">
        <v>45850</v>
      </c>
      <c r="D2876" s="1" t="s">
        <v>13</v>
      </c>
      <c r="E2876" s="1" t="s">
        <v>14</v>
      </c>
      <c r="F2876" s="1" t="s">
        <v>38</v>
      </c>
      <c r="G2876" s="1" t="s">
        <v>16</v>
      </c>
      <c r="H2876" s="1" t="s">
        <v>47</v>
      </c>
      <c r="I2876" s="1" t="s">
        <v>26</v>
      </c>
      <c r="J2876">
        <v>15</v>
      </c>
      <c r="K2876">
        <v>63</v>
      </c>
      <c r="L2876" s="1" t="s">
        <v>80</v>
      </c>
    </row>
    <row r="2877" spans="1:12" x14ac:dyDescent="0.3">
      <c r="A2877" s="1" t="s">
        <v>3192</v>
      </c>
      <c r="B2877" s="2">
        <v>45787</v>
      </c>
      <c r="C2877" s="2">
        <v>45831</v>
      </c>
      <c r="D2877" s="1" t="s">
        <v>32</v>
      </c>
      <c r="E2877" s="1" t="s">
        <v>14</v>
      </c>
      <c r="F2877" s="1" t="s">
        <v>15</v>
      </c>
      <c r="G2877" s="1" t="s">
        <v>53</v>
      </c>
      <c r="H2877" s="1" t="s">
        <v>71</v>
      </c>
      <c r="I2877" s="1" t="s">
        <v>41</v>
      </c>
      <c r="J2877">
        <v>30</v>
      </c>
      <c r="K2877">
        <v>44</v>
      </c>
      <c r="L2877" s="1" t="s">
        <v>44</v>
      </c>
    </row>
    <row r="2878" spans="1:12" x14ac:dyDescent="0.3">
      <c r="A2878" s="1" t="s">
        <v>212</v>
      </c>
      <c r="B2878" s="2">
        <v>45786</v>
      </c>
      <c r="C2878" s="2">
        <v>45819</v>
      </c>
      <c r="D2878" s="1" t="s">
        <v>23</v>
      </c>
      <c r="E2878" s="1" t="s">
        <v>24</v>
      </c>
      <c r="F2878" s="1" t="s">
        <v>15</v>
      </c>
      <c r="G2878" s="1" t="s">
        <v>53</v>
      </c>
      <c r="H2878" s="1" t="s">
        <v>43</v>
      </c>
      <c r="I2878" s="1" t="s">
        <v>41</v>
      </c>
      <c r="J2878">
        <v>30</v>
      </c>
      <c r="K2878">
        <v>33</v>
      </c>
      <c r="L2878" s="1" t="s">
        <v>21</v>
      </c>
    </row>
    <row r="2879" spans="1:12" x14ac:dyDescent="0.3">
      <c r="A2879" s="1" t="s">
        <v>502</v>
      </c>
      <c r="B2879" s="2">
        <v>45786</v>
      </c>
      <c r="C2879" s="2">
        <v>45829</v>
      </c>
      <c r="D2879" s="1" t="s">
        <v>32</v>
      </c>
      <c r="E2879" s="1" t="s">
        <v>14</v>
      </c>
      <c r="F2879" s="1" t="s">
        <v>15</v>
      </c>
      <c r="G2879" s="1" t="s">
        <v>16</v>
      </c>
      <c r="H2879" s="1" t="s">
        <v>71</v>
      </c>
      <c r="I2879" s="1" t="s">
        <v>41</v>
      </c>
      <c r="J2879">
        <v>15</v>
      </c>
      <c r="K2879">
        <v>43</v>
      </c>
      <c r="L2879" s="1" t="s">
        <v>44</v>
      </c>
    </row>
    <row r="2880" spans="1:12" x14ac:dyDescent="0.3">
      <c r="A2880" s="1" t="s">
        <v>558</v>
      </c>
      <c r="B2880" s="2">
        <v>45786</v>
      </c>
      <c r="C2880" s="2">
        <v>45797</v>
      </c>
      <c r="D2880" s="1" t="s">
        <v>28</v>
      </c>
      <c r="E2880" s="1" t="s">
        <v>14</v>
      </c>
      <c r="F2880" s="1" t="s">
        <v>15</v>
      </c>
      <c r="G2880" s="1" t="s">
        <v>16</v>
      </c>
      <c r="H2880" s="1" t="s">
        <v>54</v>
      </c>
      <c r="I2880" s="1" t="s">
        <v>26</v>
      </c>
      <c r="J2880">
        <v>15</v>
      </c>
      <c r="K2880">
        <v>11</v>
      </c>
      <c r="L2880" s="1" t="s">
        <v>30</v>
      </c>
    </row>
    <row r="2881" spans="1:12" x14ac:dyDescent="0.3">
      <c r="A2881" s="1" t="s">
        <v>625</v>
      </c>
      <c r="B2881" s="2">
        <v>45786</v>
      </c>
      <c r="C2881" s="2">
        <v>45869</v>
      </c>
      <c r="D2881" s="1" t="s">
        <v>32</v>
      </c>
      <c r="E2881" s="1" t="s">
        <v>24</v>
      </c>
      <c r="F2881" s="1" t="s">
        <v>38</v>
      </c>
      <c r="G2881" s="1" t="s">
        <v>16</v>
      </c>
      <c r="H2881" s="1" t="s">
        <v>34</v>
      </c>
      <c r="I2881" s="1" t="s">
        <v>26</v>
      </c>
      <c r="J2881">
        <v>30</v>
      </c>
      <c r="K2881">
        <v>83</v>
      </c>
      <c r="L2881" s="1" t="s">
        <v>80</v>
      </c>
    </row>
    <row r="2882" spans="1:12" x14ac:dyDescent="0.3">
      <c r="A2882" s="1" t="s">
        <v>860</v>
      </c>
      <c r="B2882" s="2">
        <v>45786</v>
      </c>
      <c r="C2882" s="2">
        <v>45808</v>
      </c>
      <c r="D2882" s="1" t="s">
        <v>13</v>
      </c>
      <c r="E2882" s="1" t="s">
        <v>24</v>
      </c>
      <c r="F2882" s="1" t="s">
        <v>15</v>
      </c>
      <c r="G2882" s="1" t="s">
        <v>16</v>
      </c>
      <c r="H2882" s="1" t="s">
        <v>47</v>
      </c>
      <c r="I2882" s="1" t="s">
        <v>26</v>
      </c>
      <c r="J2882">
        <v>45</v>
      </c>
      <c r="K2882">
        <v>22</v>
      </c>
      <c r="L2882" s="1" t="s">
        <v>19</v>
      </c>
    </row>
    <row r="2883" spans="1:12" x14ac:dyDescent="0.3">
      <c r="A2883" s="1" t="s">
        <v>1772</v>
      </c>
      <c r="B2883" s="2">
        <v>45786</v>
      </c>
      <c r="C2883" s="2">
        <v>45802</v>
      </c>
      <c r="D2883" s="1" t="s">
        <v>13</v>
      </c>
      <c r="E2883" s="1" t="s">
        <v>24</v>
      </c>
      <c r="F2883" s="1" t="s">
        <v>15</v>
      </c>
      <c r="G2883" s="1" t="s">
        <v>16</v>
      </c>
      <c r="H2883" s="1" t="s">
        <v>17</v>
      </c>
      <c r="I2883" s="1" t="s">
        <v>41</v>
      </c>
      <c r="J2883">
        <v>45</v>
      </c>
      <c r="K2883">
        <v>16</v>
      </c>
      <c r="L2883" s="1" t="s">
        <v>19</v>
      </c>
    </row>
    <row r="2884" spans="1:12" x14ac:dyDescent="0.3">
      <c r="A2884" s="1" t="s">
        <v>1869</v>
      </c>
      <c r="B2884" s="2">
        <v>45786</v>
      </c>
      <c r="C2884" s="2">
        <v>45820</v>
      </c>
      <c r="D2884" s="1" t="s">
        <v>28</v>
      </c>
      <c r="E2884" s="1" t="s">
        <v>14</v>
      </c>
      <c r="F2884" s="1" t="s">
        <v>15</v>
      </c>
      <c r="G2884" s="1" t="s">
        <v>33</v>
      </c>
      <c r="H2884" s="1" t="s">
        <v>54</v>
      </c>
      <c r="I2884" s="1" t="s">
        <v>18</v>
      </c>
      <c r="J2884">
        <v>15</v>
      </c>
      <c r="K2884">
        <v>34</v>
      </c>
      <c r="L2884" s="1" t="s">
        <v>21</v>
      </c>
    </row>
    <row r="2885" spans="1:12" x14ac:dyDescent="0.3">
      <c r="A2885" s="1" t="s">
        <v>2219</v>
      </c>
      <c r="B2885" s="2">
        <v>45786</v>
      </c>
      <c r="C2885" s="2">
        <v>45812</v>
      </c>
      <c r="D2885" s="1" t="s">
        <v>23</v>
      </c>
      <c r="E2885" s="1" t="s">
        <v>14</v>
      </c>
      <c r="F2885" s="1" t="s">
        <v>15</v>
      </c>
      <c r="G2885" s="1" t="s">
        <v>16</v>
      </c>
      <c r="H2885" s="1" t="s">
        <v>25</v>
      </c>
      <c r="I2885" s="1" t="s">
        <v>41</v>
      </c>
      <c r="J2885">
        <v>15</v>
      </c>
      <c r="K2885">
        <v>26</v>
      </c>
      <c r="L2885" s="1" t="s">
        <v>19</v>
      </c>
    </row>
    <row r="2886" spans="1:12" x14ac:dyDescent="0.3">
      <c r="A2886" s="1" t="s">
        <v>2307</v>
      </c>
      <c r="B2886" s="2">
        <v>45786</v>
      </c>
      <c r="C2886" s="2">
        <v>45815</v>
      </c>
      <c r="D2886" s="1" t="s">
        <v>37</v>
      </c>
      <c r="E2886" s="1" t="s">
        <v>24</v>
      </c>
      <c r="F2886" s="1" t="s">
        <v>15</v>
      </c>
      <c r="G2886" s="1" t="s">
        <v>53</v>
      </c>
      <c r="H2886" s="1" t="s">
        <v>39</v>
      </c>
      <c r="I2886" s="1" t="s">
        <v>26</v>
      </c>
      <c r="J2886">
        <v>45</v>
      </c>
      <c r="K2886">
        <v>29</v>
      </c>
      <c r="L2886" s="1" t="s">
        <v>21</v>
      </c>
    </row>
    <row r="2887" spans="1:12" x14ac:dyDescent="0.3">
      <c r="A2887" s="1" t="s">
        <v>1208</v>
      </c>
      <c r="B2887" s="2">
        <v>45786</v>
      </c>
      <c r="C2887" s="2">
        <v>45814</v>
      </c>
      <c r="D2887" s="1" t="s">
        <v>37</v>
      </c>
      <c r="E2887" s="1" t="s">
        <v>24</v>
      </c>
      <c r="F2887" s="1" t="s">
        <v>15</v>
      </c>
      <c r="G2887" s="1" t="s">
        <v>16</v>
      </c>
      <c r="H2887" s="1" t="s">
        <v>49</v>
      </c>
      <c r="I2887" s="1" t="s">
        <v>18</v>
      </c>
      <c r="J2887">
        <v>30</v>
      </c>
      <c r="K2887">
        <v>28</v>
      </c>
      <c r="L2887" s="1" t="s">
        <v>19</v>
      </c>
    </row>
    <row r="2888" spans="1:12" x14ac:dyDescent="0.3">
      <c r="A2888" s="1" t="s">
        <v>2517</v>
      </c>
      <c r="B2888" s="2">
        <v>45786</v>
      </c>
      <c r="C2888" s="2">
        <v>45807</v>
      </c>
      <c r="D2888" s="1" t="s">
        <v>37</v>
      </c>
      <c r="E2888" s="1" t="s">
        <v>14</v>
      </c>
      <c r="F2888" s="1" t="s">
        <v>38</v>
      </c>
      <c r="G2888" s="1" t="s">
        <v>53</v>
      </c>
      <c r="H2888" s="1" t="s">
        <v>39</v>
      </c>
      <c r="I2888" s="1" t="s">
        <v>41</v>
      </c>
      <c r="J2888">
        <v>30</v>
      </c>
      <c r="K2888">
        <v>21</v>
      </c>
      <c r="L2888" s="1" t="s">
        <v>19</v>
      </c>
    </row>
    <row r="2889" spans="1:12" x14ac:dyDescent="0.3">
      <c r="A2889" s="1" t="s">
        <v>1897</v>
      </c>
      <c r="B2889" s="2">
        <v>45786</v>
      </c>
      <c r="C2889" s="2">
        <v>45801</v>
      </c>
      <c r="D2889" s="1" t="s">
        <v>37</v>
      </c>
      <c r="E2889" s="1" t="s">
        <v>14</v>
      </c>
      <c r="F2889" s="1" t="s">
        <v>15</v>
      </c>
      <c r="G2889" s="1" t="s">
        <v>53</v>
      </c>
      <c r="H2889" s="1" t="s">
        <v>49</v>
      </c>
      <c r="I2889" s="1" t="s">
        <v>26</v>
      </c>
      <c r="J2889">
        <v>30</v>
      </c>
      <c r="K2889">
        <v>15</v>
      </c>
      <c r="L2889" s="1" t="s">
        <v>19</v>
      </c>
    </row>
    <row r="2890" spans="1:12" x14ac:dyDescent="0.3">
      <c r="A2890" s="1" t="s">
        <v>2657</v>
      </c>
      <c r="B2890" s="2">
        <v>45786</v>
      </c>
      <c r="C2890" s="2">
        <v>45801</v>
      </c>
      <c r="D2890" s="1" t="s">
        <v>37</v>
      </c>
      <c r="E2890" s="1" t="s">
        <v>24</v>
      </c>
      <c r="F2890" s="1" t="s">
        <v>38</v>
      </c>
      <c r="G2890" s="1" t="s">
        <v>16</v>
      </c>
      <c r="H2890" s="1" t="s">
        <v>49</v>
      </c>
      <c r="I2890" s="1" t="s">
        <v>26</v>
      </c>
      <c r="J2890">
        <v>30</v>
      </c>
      <c r="K2890">
        <v>15</v>
      </c>
      <c r="L2890" s="1" t="s">
        <v>19</v>
      </c>
    </row>
    <row r="2891" spans="1:12" x14ac:dyDescent="0.3">
      <c r="A2891" s="1" t="s">
        <v>299</v>
      </c>
      <c r="B2891" s="2">
        <v>45785</v>
      </c>
      <c r="C2891" s="2">
        <v>45836</v>
      </c>
      <c r="D2891" s="1" t="s">
        <v>28</v>
      </c>
      <c r="E2891" s="1" t="s">
        <v>14</v>
      </c>
      <c r="F2891" s="1" t="s">
        <v>15</v>
      </c>
      <c r="G2891" s="1" t="s">
        <v>16</v>
      </c>
      <c r="H2891" s="1" t="s">
        <v>54</v>
      </c>
      <c r="I2891" s="1" t="s">
        <v>41</v>
      </c>
      <c r="J2891">
        <v>15</v>
      </c>
      <c r="K2891">
        <v>51</v>
      </c>
      <c r="L2891" s="1" t="s">
        <v>44</v>
      </c>
    </row>
    <row r="2892" spans="1:12" x14ac:dyDescent="0.3">
      <c r="A2892" s="1" t="s">
        <v>622</v>
      </c>
      <c r="B2892" s="2">
        <v>45785</v>
      </c>
      <c r="C2892" s="2">
        <v>45842</v>
      </c>
      <c r="D2892" s="1" t="s">
        <v>32</v>
      </c>
      <c r="E2892" s="1" t="s">
        <v>14</v>
      </c>
      <c r="F2892" s="1" t="s">
        <v>15</v>
      </c>
      <c r="G2892" s="1" t="s">
        <v>33</v>
      </c>
      <c r="H2892" s="1" t="s">
        <v>71</v>
      </c>
      <c r="I2892" s="1" t="s">
        <v>18</v>
      </c>
      <c r="J2892">
        <v>15</v>
      </c>
      <c r="K2892">
        <v>57</v>
      </c>
      <c r="L2892" s="1" t="s">
        <v>80</v>
      </c>
    </row>
    <row r="2893" spans="1:12" x14ac:dyDescent="0.3">
      <c r="A2893" s="1" t="s">
        <v>1331</v>
      </c>
      <c r="B2893" s="2">
        <v>45785</v>
      </c>
      <c r="C2893" s="2">
        <v>45834</v>
      </c>
      <c r="D2893" s="1" t="s">
        <v>32</v>
      </c>
      <c r="E2893" s="1" t="s">
        <v>14</v>
      </c>
      <c r="F2893" s="1" t="s">
        <v>15</v>
      </c>
      <c r="G2893" s="1" t="s">
        <v>16</v>
      </c>
      <c r="H2893" s="1" t="s">
        <v>34</v>
      </c>
      <c r="I2893" s="1" t="s">
        <v>18</v>
      </c>
      <c r="J2893">
        <v>15</v>
      </c>
      <c r="K2893">
        <v>49</v>
      </c>
      <c r="L2893" s="1" t="s">
        <v>44</v>
      </c>
    </row>
    <row r="2894" spans="1:12" x14ac:dyDescent="0.3">
      <c r="A2894" s="1" t="s">
        <v>1401</v>
      </c>
      <c r="B2894" s="2">
        <v>45785</v>
      </c>
      <c r="C2894" s="2">
        <v>45801</v>
      </c>
      <c r="D2894" s="1" t="s">
        <v>28</v>
      </c>
      <c r="E2894" s="1" t="s">
        <v>24</v>
      </c>
      <c r="F2894" s="1" t="s">
        <v>15</v>
      </c>
      <c r="G2894" s="1" t="s">
        <v>16</v>
      </c>
      <c r="H2894" s="1" t="s">
        <v>29</v>
      </c>
      <c r="I2894" s="1" t="s">
        <v>26</v>
      </c>
      <c r="J2894">
        <v>30</v>
      </c>
      <c r="K2894">
        <v>16</v>
      </c>
      <c r="L2894" s="1" t="s">
        <v>19</v>
      </c>
    </row>
    <row r="2895" spans="1:12" x14ac:dyDescent="0.3">
      <c r="A2895" s="1" t="s">
        <v>1478</v>
      </c>
      <c r="B2895" s="2">
        <v>45785</v>
      </c>
      <c r="C2895" s="2">
        <v>45806</v>
      </c>
      <c r="D2895" s="1" t="s">
        <v>23</v>
      </c>
      <c r="E2895" s="1" t="s">
        <v>14</v>
      </c>
      <c r="F2895" s="1" t="s">
        <v>15</v>
      </c>
      <c r="G2895" s="1" t="s">
        <v>16</v>
      </c>
      <c r="H2895" s="1" t="s">
        <v>43</v>
      </c>
      <c r="I2895" s="1" t="s">
        <v>18</v>
      </c>
      <c r="J2895">
        <v>30</v>
      </c>
      <c r="K2895">
        <v>21</v>
      </c>
      <c r="L2895" s="1" t="s">
        <v>19</v>
      </c>
    </row>
    <row r="2896" spans="1:12" x14ac:dyDescent="0.3">
      <c r="A2896" s="1" t="s">
        <v>1492</v>
      </c>
      <c r="B2896" s="2">
        <v>45785</v>
      </c>
      <c r="C2896" s="2">
        <v>45833</v>
      </c>
      <c r="D2896" s="1" t="s">
        <v>28</v>
      </c>
      <c r="E2896" s="1" t="s">
        <v>24</v>
      </c>
      <c r="F2896" s="1" t="s">
        <v>15</v>
      </c>
      <c r="G2896" s="1" t="s">
        <v>16</v>
      </c>
      <c r="H2896" s="1" t="s">
        <v>54</v>
      </c>
      <c r="I2896" s="1" t="s">
        <v>26</v>
      </c>
      <c r="J2896">
        <v>45</v>
      </c>
      <c r="K2896">
        <v>48</v>
      </c>
      <c r="L2896" s="1" t="s">
        <v>44</v>
      </c>
    </row>
    <row r="2897" spans="1:12" x14ac:dyDescent="0.3">
      <c r="A2897" s="1" t="s">
        <v>2465</v>
      </c>
      <c r="B2897" s="2">
        <v>45785</v>
      </c>
      <c r="C2897" s="2">
        <v>45813</v>
      </c>
      <c r="D2897" s="1" t="s">
        <v>28</v>
      </c>
      <c r="E2897" s="1" t="s">
        <v>24</v>
      </c>
      <c r="F2897" s="1" t="s">
        <v>38</v>
      </c>
      <c r="G2897" s="1" t="s">
        <v>16</v>
      </c>
      <c r="H2897" s="1" t="s">
        <v>54</v>
      </c>
      <c r="I2897" s="1" t="s">
        <v>26</v>
      </c>
      <c r="J2897">
        <v>30</v>
      </c>
      <c r="K2897">
        <v>28</v>
      </c>
      <c r="L2897" s="1" t="s">
        <v>19</v>
      </c>
    </row>
    <row r="2898" spans="1:12" x14ac:dyDescent="0.3">
      <c r="A2898" s="1" t="s">
        <v>2557</v>
      </c>
      <c r="B2898" s="2">
        <v>45785</v>
      </c>
      <c r="C2898" s="2">
        <v>45798</v>
      </c>
      <c r="D2898" s="1" t="s">
        <v>23</v>
      </c>
      <c r="E2898" s="1" t="s">
        <v>14</v>
      </c>
      <c r="F2898" s="1" t="s">
        <v>15</v>
      </c>
      <c r="G2898" s="1" t="s">
        <v>16</v>
      </c>
      <c r="H2898" s="1" t="s">
        <v>25</v>
      </c>
      <c r="I2898" s="1" t="s">
        <v>18</v>
      </c>
      <c r="J2898">
        <v>15</v>
      </c>
      <c r="K2898">
        <v>13</v>
      </c>
      <c r="L2898" s="1" t="s">
        <v>30</v>
      </c>
    </row>
    <row r="2899" spans="1:12" x14ac:dyDescent="0.3">
      <c r="A2899" s="1" t="s">
        <v>2598</v>
      </c>
      <c r="B2899" s="2">
        <v>45785</v>
      </c>
      <c r="C2899" s="2">
        <v>45809</v>
      </c>
      <c r="D2899" s="1" t="s">
        <v>23</v>
      </c>
      <c r="E2899" s="1" t="s">
        <v>14</v>
      </c>
      <c r="F2899" s="1" t="s">
        <v>38</v>
      </c>
      <c r="G2899" s="1" t="s">
        <v>16</v>
      </c>
      <c r="H2899" s="1" t="s">
        <v>43</v>
      </c>
      <c r="I2899" s="1" t="s">
        <v>26</v>
      </c>
      <c r="J2899">
        <v>30</v>
      </c>
      <c r="K2899">
        <v>24</v>
      </c>
      <c r="L2899" s="1" t="s">
        <v>19</v>
      </c>
    </row>
    <row r="2900" spans="1:12" x14ac:dyDescent="0.3">
      <c r="A2900" s="1" t="s">
        <v>2665</v>
      </c>
      <c r="B2900" s="2">
        <v>45785</v>
      </c>
      <c r="C2900" s="2">
        <v>45794</v>
      </c>
      <c r="D2900" s="1" t="s">
        <v>28</v>
      </c>
      <c r="E2900" s="1" t="s">
        <v>14</v>
      </c>
      <c r="F2900" s="1" t="s">
        <v>15</v>
      </c>
      <c r="G2900" s="1" t="s">
        <v>16</v>
      </c>
      <c r="H2900" s="1" t="s">
        <v>29</v>
      </c>
      <c r="I2900" s="1" t="s">
        <v>26</v>
      </c>
      <c r="J2900">
        <v>15</v>
      </c>
      <c r="K2900">
        <v>9</v>
      </c>
      <c r="L2900" s="1" t="s">
        <v>30</v>
      </c>
    </row>
    <row r="2901" spans="1:12" x14ac:dyDescent="0.3">
      <c r="A2901" s="1" t="s">
        <v>933</v>
      </c>
      <c r="B2901" s="2">
        <v>45784</v>
      </c>
      <c r="C2901" s="2">
        <v>45809</v>
      </c>
      <c r="D2901" s="1" t="s">
        <v>13</v>
      </c>
      <c r="E2901" s="1" t="s">
        <v>14</v>
      </c>
      <c r="F2901" s="1" t="s">
        <v>15</v>
      </c>
      <c r="G2901" s="1" t="s">
        <v>16</v>
      </c>
      <c r="H2901" s="1" t="s">
        <v>47</v>
      </c>
      <c r="I2901" s="1" t="s">
        <v>18</v>
      </c>
      <c r="J2901">
        <v>15</v>
      </c>
      <c r="K2901">
        <v>25</v>
      </c>
      <c r="L2901" s="1" t="s">
        <v>19</v>
      </c>
    </row>
    <row r="2902" spans="1:12" x14ac:dyDescent="0.3">
      <c r="A2902" s="1" t="s">
        <v>1780</v>
      </c>
      <c r="B2902" s="2">
        <v>45784</v>
      </c>
      <c r="C2902" s="2">
        <v>45817</v>
      </c>
      <c r="D2902" s="1" t="s">
        <v>23</v>
      </c>
      <c r="E2902" s="1" t="s">
        <v>24</v>
      </c>
      <c r="F2902" s="1" t="s">
        <v>15</v>
      </c>
      <c r="G2902" s="1" t="s">
        <v>16</v>
      </c>
      <c r="H2902" s="1" t="s">
        <v>25</v>
      </c>
      <c r="I2902" s="1" t="s">
        <v>26</v>
      </c>
      <c r="J2902">
        <v>30</v>
      </c>
      <c r="K2902">
        <v>33</v>
      </c>
      <c r="L2902" s="1" t="s">
        <v>21</v>
      </c>
    </row>
    <row r="2903" spans="1:12" x14ac:dyDescent="0.3">
      <c r="A2903" s="1" t="s">
        <v>1830</v>
      </c>
      <c r="B2903" s="2">
        <v>45784</v>
      </c>
      <c r="C2903" s="2">
        <v>45822</v>
      </c>
      <c r="D2903" s="1" t="s">
        <v>32</v>
      </c>
      <c r="E2903" s="1" t="s">
        <v>14</v>
      </c>
      <c r="F2903" s="1" t="s">
        <v>15</v>
      </c>
      <c r="G2903" s="1" t="s">
        <v>16</v>
      </c>
      <c r="H2903" s="1" t="s">
        <v>71</v>
      </c>
      <c r="I2903" s="1" t="s">
        <v>18</v>
      </c>
      <c r="J2903">
        <v>15</v>
      </c>
      <c r="K2903">
        <v>38</v>
      </c>
      <c r="L2903" s="1" t="s">
        <v>21</v>
      </c>
    </row>
    <row r="2904" spans="1:12" x14ac:dyDescent="0.3">
      <c r="A2904" s="1" t="s">
        <v>2514</v>
      </c>
      <c r="B2904" s="2">
        <v>45784</v>
      </c>
      <c r="C2904" s="2">
        <v>45810</v>
      </c>
      <c r="D2904" s="1" t="s">
        <v>23</v>
      </c>
      <c r="E2904" s="1" t="s">
        <v>14</v>
      </c>
      <c r="F2904" s="1" t="s">
        <v>15</v>
      </c>
      <c r="G2904" s="1" t="s">
        <v>16</v>
      </c>
      <c r="H2904" s="1" t="s">
        <v>43</v>
      </c>
      <c r="I2904" s="1" t="s">
        <v>18</v>
      </c>
      <c r="J2904">
        <v>15</v>
      </c>
      <c r="K2904">
        <v>26</v>
      </c>
      <c r="L2904" s="1" t="s">
        <v>19</v>
      </c>
    </row>
    <row r="2905" spans="1:12" x14ac:dyDescent="0.3">
      <c r="A2905" s="1" t="s">
        <v>2544</v>
      </c>
      <c r="B2905" s="2">
        <v>45784</v>
      </c>
      <c r="C2905" s="2">
        <v>45838</v>
      </c>
      <c r="D2905" s="1" t="s">
        <v>13</v>
      </c>
      <c r="E2905" s="1" t="s">
        <v>24</v>
      </c>
      <c r="F2905" s="1" t="s">
        <v>15</v>
      </c>
      <c r="G2905" s="1" t="s">
        <v>53</v>
      </c>
      <c r="H2905" s="1" t="s">
        <v>17</v>
      </c>
      <c r="I2905" s="1" t="s">
        <v>26</v>
      </c>
      <c r="J2905">
        <v>45</v>
      </c>
      <c r="K2905">
        <v>54</v>
      </c>
      <c r="L2905" s="1" t="s">
        <v>44</v>
      </c>
    </row>
    <row r="2906" spans="1:12" x14ac:dyDescent="0.3">
      <c r="A2906" s="1" t="s">
        <v>1922</v>
      </c>
      <c r="B2906" s="2">
        <v>45784</v>
      </c>
      <c r="C2906" s="2">
        <v>45853</v>
      </c>
      <c r="D2906" s="1" t="s">
        <v>37</v>
      </c>
      <c r="E2906" s="1" t="s">
        <v>24</v>
      </c>
      <c r="F2906" s="1" t="s">
        <v>15</v>
      </c>
      <c r="G2906" s="1" t="s">
        <v>16</v>
      </c>
      <c r="H2906" s="1" t="s">
        <v>49</v>
      </c>
      <c r="I2906" s="1" t="s">
        <v>41</v>
      </c>
      <c r="J2906">
        <v>30</v>
      </c>
      <c r="K2906">
        <v>69</v>
      </c>
      <c r="L2906" s="1" t="s">
        <v>80</v>
      </c>
    </row>
    <row r="2907" spans="1:12" x14ac:dyDescent="0.3">
      <c r="A2907" s="1" t="s">
        <v>630</v>
      </c>
      <c r="B2907" s="2">
        <v>45784</v>
      </c>
      <c r="C2907" s="2">
        <v>45835</v>
      </c>
      <c r="D2907" s="1" t="s">
        <v>37</v>
      </c>
      <c r="E2907" s="1" t="s">
        <v>14</v>
      </c>
      <c r="F2907" s="1" t="s">
        <v>15</v>
      </c>
      <c r="G2907" s="1" t="s">
        <v>16</v>
      </c>
      <c r="H2907" s="1" t="s">
        <v>49</v>
      </c>
      <c r="I2907" s="1" t="s">
        <v>26</v>
      </c>
      <c r="J2907">
        <v>30</v>
      </c>
      <c r="K2907">
        <v>51</v>
      </c>
      <c r="L2907" s="1" t="s">
        <v>44</v>
      </c>
    </row>
    <row r="2908" spans="1:12" x14ac:dyDescent="0.3">
      <c r="A2908" s="1" t="s">
        <v>2724</v>
      </c>
      <c r="B2908" s="2">
        <v>45784</v>
      </c>
      <c r="C2908" s="2">
        <v>45803</v>
      </c>
      <c r="D2908" s="1" t="s">
        <v>37</v>
      </c>
      <c r="E2908" s="1" t="s">
        <v>14</v>
      </c>
      <c r="F2908" s="1" t="s">
        <v>15</v>
      </c>
      <c r="G2908" s="1" t="s">
        <v>16</v>
      </c>
      <c r="H2908" s="1" t="s">
        <v>39</v>
      </c>
      <c r="I2908" s="1" t="s">
        <v>18</v>
      </c>
      <c r="J2908">
        <v>30</v>
      </c>
      <c r="K2908">
        <v>19</v>
      </c>
      <c r="L2908" s="1" t="s">
        <v>19</v>
      </c>
    </row>
    <row r="2909" spans="1:12" x14ac:dyDescent="0.3">
      <c r="A2909" s="1" t="s">
        <v>2999</v>
      </c>
      <c r="B2909" s="2">
        <v>45784</v>
      </c>
      <c r="C2909" s="2">
        <v>45833</v>
      </c>
      <c r="D2909" s="1" t="s">
        <v>32</v>
      </c>
      <c r="E2909" s="1" t="s">
        <v>14</v>
      </c>
      <c r="F2909" s="1" t="s">
        <v>15</v>
      </c>
      <c r="G2909" s="1" t="s">
        <v>16</v>
      </c>
      <c r="H2909" s="1" t="s">
        <v>71</v>
      </c>
      <c r="I2909" s="1" t="s">
        <v>18</v>
      </c>
      <c r="J2909">
        <v>30</v>
      </c>
      <c r="K2909">
        <v>49</v>
      </c>
      <c r="L2909" s="1" t="s">
        <v>44</v>
      </c>
    </row>
    <row r="2910" spans="1:12" x14ac:dyDescent="0.3">
      <c r="A2910" s="1" t="s">
        <v>3077</v>
      </c>
      <c r="B2910" s="2">
        <v>45784</v>
      </c>
      <c r="C2910" s="2">
        <v>45832</v>
      </c>
      <c r="D2910" s="1" t="s">
        <v>28</v>
      </c>
      <c r="E2910" s="1" t="s">
        <v>24</v>
      </c>
      <c r="F2910" s="1" t="s">
        <v>15</v>
      </c>
      <c r="G2910" s="1" t="s">
        <v>16</v>
      </c>
      <c r="H2910" s="1" t="s">
        <v>54</v>
      </c>
      <c r="I2910" s="1" t="s">
        <v>18</v>
      </c>
      <c r="J2910">
        <v>30</v>
      </c>
      <c r="K2910">
        <v>48</v>
      </c>
      <c r="L2910" s="1" t="s">
        <v>44</v>
      </c>
    </row>
    <row r="2911" spans="1:12" x14ac:dyDescent="0.3">
      <c r="A2911" s="1" t="s">
        <v>128</v>
      </c>
      <c r="B2911" s="2">
        <v>45783</v>
      </c>
      <c r="C2911" s="2">
        <v>45815</v>
      </c>
      <c r="D2911" s="1" t="s">
        <v>13</v>
      </c>
      <c r="E2911" s="1" t="s">
        <v>24</v>
      </c>
      <c r="F2911" s="1" t="s">
        <v>15</v>
      </c>
      <c r="G2911" s="1" t="s">
        <v>16</v>
      </c>
      <c r="H2911" s="1" t="s">
        <v>47</v>
      </c>
      <c r="I2911" s="1" t="s">
        <v>26</v>
      </c>
      <c r="J2911">
        <v>30</v>
      </c>
      <c r="K2911">
        <v>32</v>
      </c>
      <c r="L2911" s="1" t="s">
        <v>21</v>
      </c>
    </row>
    <row r="2912" spans="1:12" x14ac:dyDescent="0.3">
      <c r="A2912" s="1" t="s">
        <v>259</v>
      </c>
      <c r="B2912" s="2">
        <v>45783</v>
      </c>
      <c r="C2912" s="2">
        <v>45821</v>
      </c>
      <c r="D2912" s="1" t="s">
        <v>28</v>
      </c>
      <c r="E2912" s="1" t="s">
        <v>24</v>
      </c>
      <c r="F2912" s="1" t="s">
        <v>15</v>
      </c>
      <c r="G2912" s="1" t="s">
        <v>16</v>
      </c>
      <c r="H2912" s="1" t="s">
        <v>54</v>
      </c>
      <c r="I2912" s="1" t="s">
        <v>26</v>
      </c>
      <c r="J2912">
        <v>30</v>
      </c>
      <c r="K2912">
        <v>38</v>
      </c>
      <c r="L2912" s="1" t="s">
        <v>21</v>
      </c>
    </row>
    <row r="2913" spans="1:12" x14ac:dyDescent="0.3">
      <c r="A2913" s="1" t="s">
        <v>1884</v>
      </c>
      <c r="B2913" s="2">
        <v>45783</v>
      </c>
      <c r="C2913" s="2">
        <v>45832</v>
      </c>
      <c r="D2913" s="1" t="s">
        <v>28</v>
      </c>
      <c r="E2913" s="1" t="s">
        <v>14</v>
      </c>
      <c r="F2913" s="1" t="s">
        <v>15</v>
      </c>
      <c r="G2913" s="1" t="s">
        <v>16</v>
      </c>
      <c r="H2913" s="1" t="s">
        <v>54</v>
      </c>
      <c r="I2913" s="1" t="s">
        <v>18</v>
      </c>
      <c r="J2913">
        <v>30</v>
      </c>
      <c r="K2913">
        <v>49</v>
      </c>
      <c r="L2913" s="1" t="s">
        <v>44</v>
      </c>
    </row>
    <row r="2914" spans="1:12" x14ac:dyDescent="0.3">
      <c r="A2914" s="1" t="s">
        <v>2363</v>
      </c>
      <c r="B2914" s="2">
        <v>45783</v>
      </c>
      <c r="C2914" s="2">
        <v>45809</v>
      </c>
      <c r="D2914" s="1" t="s">
        <v>32</v>
      </c>
      <c r="E2914" s="1" t="s">
        <v>14</v>
      </c>
      <c r="F2914" s="1" t="s">
        <v>15</v>
      </c>
      <c r="G2914" s="1" t="s">
        <v>16</v>
      </c>
      <c r="H2914" s="1" t="s">
        <v>34</v>
      </c>
      <c r="I2914" s="1" t="s">
        <v>18</v>
      </c>
      <c r="J2914">
        <v>15</v>
      </c>
      <c r="K2914">
        <v>26</v>
      </c>
      <c r="L2914" s="1" t="s">
        <v>19</v>
      </c>
    </row>
    <row r="2915" spans="1:12" x14ac:dyDescent="0.3">
      <c r="A2915" s="1" t="s">
        <v>2784</v>
      </c>
      <c r="B2915" s="2">
        <v>45783</v>
      </c>
      <c r="C2915" s="2">
        <v>45837</v>
      </c>
      <c r="D2915" s="1" t="s">
        <v>37</v>
      </c>
      <c r="E2915" s="1" t="s">
        <v>24</v>
      </c>
      <c r="F2915" s="1" t="s">
        <v>38</v>
      </c>
      <c r="G2915" s="1" t="s">
        <v>16</v>
      </c>
      <c r="H2915" s="1" t="s">
        <v>39</v>
      </c>
      <c r="I2915" s="1" t="s">
        <v>26</v>
      </c>
      <c r="J2915">
        <v>30</v>
      </c>
      <c r="K2915">
        <v>54</v>
      </c>
      <c r="L2915" s="1" t="s">
        <v>44</v>
      </c>
    </row>
    <row r="2916" spans="1:12" x14ac:dyDescent="0.3">
      <c r="A2916" s="1" t="s">
        <v>45</v>
      </c>
      <c r="B2916" s="2">
        <v>45782</v>
      </c>
      <c r="C2916" s="2">
        <v>45788</v>
      </c>
      <c r="D2916" s="1" t="s">
        <v>32</v>
      </c>
      <c r="E2916" s="1" t="s">
        <v>24</v>
      </c>
      <c r="F2916" s="1" t="s">
        <v>38</v>
      </c>
      <c r="G2916" s="1" t="s">
        <v>33</v>
      </c>
      <c r="H2916" s="1" t="s">
        <v>34</v>
      </c>
      <c r="I2916" s="1" t="s">
        <v>26</v>
      </c>
      <c r="J2916">
        <v>30</v>
      </c>
      <c r="K2916">
        <v>6</v>
      </c>
      <c r="L2916" s="1" t="s">
        <v>30</v>
      </c>
    </row>
    <row r="2917" spans="1:12" x14ac:dyDescent="0.3">
      <c r="A2917" s="1" t="s">
        <v>284</v>
      </c>
      <c r="B2917" s="2">
        <v>45782</v>
      </c>
      <c r="C2917" s="2">
        <v>45811</v>
      </c>
      <c r="D2917" s="1" t="s">
        <v>32</v>
      </c>
      <c r="E2917" s="1" t="s">
        <v>24</v>
      </c>
      <c r="F2917" s="1" t="s">
        <v>15</v>
      </c>
      <c r="G2917" s="1" t="s">
        <v>33</v>
      </c>
      <c r="H2917" s="1" t="s">
        <v>34</v>
      </c>
      <c r="I2917" s="1" t="s">
        <v>26</v>
      </c>
      <c r="J2917">
        <v>30</v>
      </c>
      <c r="K2917">
        <v>29</v>
      </c>
      <c r="L2917" s="1" t="s">
        <v>21</v>
      </c>
    </row>
    <row r="2918" spans="1:12" x14ac:dyDescent="0.3">
      <c r="A2918" s="1" t="s">
        <v>716</v>
      </c>
      <c r="B2918" s="2">
        <v>45782</v>
      </c>
      <c r="C2918" s="2">
        <v>45845</v>
      </c>
      <c r="D2918" s="1" t="s">
        <v>23</v>
      </c>
      <c r="E2918" s="1" t="s">
        <v>24</v>
      </c>
      <c r="F2918" s="1" t="s">
        <v>15</v>
      </c>
      <c r="G2918" s="1" t="s">
        <v>53</v>
      </c>
      <c r="H2918" s="1" t="s">
        <v>25</v>
      </c>
      <c r="I2918" s="1" t="s">
        <v>18</v>
      </c>
      <c r="J2918">
        <v>45</v>
      </c>
      <c r="K2918">
        <v>63</v>
      </c>
      <c r="L2918" s="1" t="s">
        <v>80</v>
      </c>
    </row>
    <row r="2919" spans="1:12" x14ac:dyDescent="0.3">
      <c r="A2919" s="1" t="s">
        <v>742</v>
      </c>
      <c r="B2919" s="2">
        <v>45782</v>
      </c>
      <c r="C2919" s="2">
        <v>45826</v>
      </c>
      <c r="D2919" s="1" t="s">
        <v>32</v>
      </c>
      <c r="E2919" s="1" t="s">
        <v>14</v>
      </c>
      <c r="F2919" s="1" t="s">
        <v>15</v>
      </c>
      <c r="G2919" s="1" t="s">
        <v>16</v>
      </c>
      <c r="H2919" s="1" t="s">
        <v>34</v>
      </c>
      <c r="I2919" s="1" t="s">
        <v>26</v>
      </c>
      <c r="J2919">
        <v>15</v>
      </c>
      <c r="K2919">
        <v>44</v>
      </c>
      <c r="L2919" s="1" t="s">
        <v>44</v>
      </c>
    </row>
    <row r="2920" spans="1:12" x14ac:dyDescent="0.3">
      <c r="A2920" s="1" t="s">
        <v>833</v>
      </c>
      <c r="B2920" s="2">
        <v>45782</v>
      </c>
      <c r="C2920" s="2">
        <v>45828</v>
      </c>
      <c r="D2920" s="1" t="s">
        <v>32</v>
      </c>
      <c r="E2920" s="1" t="s">
        <v>24</v>
      </c>
      <c r="F2920" s="1" t="s">
        <v>15</v>
      </c>
      <c r="G2920" s="1" t="s">
        <v>16</v>
      </c>
      <c r="H2920" s="1" t="s">
        <v>34</v>
      </c>
      <c r="I2920" s="1" t="s">
        <v>26</v>
      </c>
      <c r="J2920">
        <v>30</v>
      </c>
      <c r="K2920">
        <v>46</v>
      </c>
      <c r="L2920" s="1" t="s">
        <v>44</v>
      </c>
    </row>
    <row r="2921" spans="1:12" x14ac:dyDescent="0.3">
      <c r="A2921" s="1" t="s">
        <v>993</v>
      </c>
      <c r="B2921" s="2">
        <v>45782</v>
      </c>
      <c r="C2921" s="2">
        <v>45806</v>
      </c>
      <c r="D2921" s="1" t="s">
        <v>28</v>
      </c>
      <c r="E2921" s="1" t="s">
        <v>24</v>
      </c>
      <c r="F2921" s="1" t="s">
        <v>38</v>
      </c>
      <c r="G2921" s="1" t="s">
        <v>16</v>
      </c>
      <c r="H2921" s="1" t="s">
        <v>29</v>
      </c>
      <c r="I2921" s="1" t="s">
        <v>26</v>
      </c>
      <c r="J2921">
        <v>30</v>
      </c>
      <c r="K2921">
        <v>24</v>
      </c>
      <c r="L2921" s="1" t="s">
        <v>19</v>
      </c>
    </row>
    <row r="2922" spans="1:12" x14ac:dyDescent="0.3">
      <c r="A2922" s="1" t="s">
        <v>1019</v>
      </c>
      <c r="B2922" s="2">
        <v>45782</v>
      </c>
      <c r="C2922" s="2">
        <v>45801</v>
      </c>
      <c r="D2922" s="1" t="s">
        <v>23</v>
      </c>
      <c r="E2922" s="1" t="s">
        <v>14</v>
      </c>
      <c r="F2922" s="1" t="s">
        <v>15</v>
      </c>
      <c r="G2922" s="1" t="s">
        <v>16</v>
      </c>
      <c r="H2922" s="1" t="s">
        <v>43</v>
      </c>
      <c r="I2922" s="1" t="s">
        <v>26</v>
      </c>
      <c r="J2922">
        <v>30</v>
      </c>
      <c r="K2922">
        <v>19</v>
      </c>
      <c r="L2922" s="1" t="s">
        <v>19</v>
      </c>
    </row>
    <row r="2923" spans="1:12" x14ac:dyDescent="0.3">
      <c r="A2923" s="1" t="s">
        <v>1732</v>
      </c>
      <c r="B2923" s="2">
        <v>45782</v>
      </c>
      <c r="C2923" s="2">
        <v>45820</v>
      </c>
      <c r="D2923" s="1" t="s">
        <v>28</v>
      </c>
      <c r="E2923" s="1" t="s">
        <v>14</v>
      </c>
      <c r="F2923" s="1" t="s">
        <v>15</v>
      </c>
      <c r="G2923" s="1" t="s">
        <v>33</v>
      </c>
      <c r="H2923" s="1" t="s">
        <v>29</v>
      </c>
      <c r="I2923" s="1" t="s">
        <v>26</v>
      </c>
      <c r="J2923">
        <v>30</v>
      </c>
      <c r="K2923">
        <v>38</v>
      </c>
      <c r="L2923" s="1" t="s">
        <v>21</v>
      </c>
    </row>
    <row r="2924" spans="1:12" x14ac:dyDescent="0.3">
      <c r="A2924" s="1" t="s">
        <v>2308</v>
      </c>
      <c r="B2924" s="2">
        <v>45782</v>
      </c>
      <c r="C2924" s="2">
        <v>45812</v>
      </c>
      <c r="D2924" s="1" t="s">
        <v>23</v>
      </c>
      <c r="E2924" s="1" t="s">
        <v>14</v>
      </c>
      <c r="F2924" s="1" t="s">
        <v>15</v>
      </c>
      <c r="G2924" s="1" t="s">
        <v>16</v>
      </c>
      <c r="H2924" s="1" t="s">
        <v>43</v>
      </c>
      <c r="I2924" s="1" t="s">
        <v>26</v>
      </c>
      <c r="J2924">
        <v>15</v>
      </c>
      <c r="K2924">
        <v>30</v>
      </c>
      <c r="L2924" s="1" t="s">
        <v>21</v>
      </c>
    </row>
    <row r="2925" spans="1:12" x14ac:dyDescent="0.3">
      <c r="A2925" s="1" t="s">
        <v>2348</v>
      </c>
      <c r="B2925" s="2">
        <v>45782</v>
      </c>
      <c r="C2925" s="2">
        <v>45797</v>
      </c>
      <c r="D2925" s="1" t="s">
        <v>13</v>
      </c>
      <c r="E2925" s="1" t="s">
        <v>14</v>
      </c>
      <c r="F2925" s="1" t="s">
        <v>15</v>
      </c>
      <c r="G2925" s="1" t="s">
        <v>16</v>
      </c>
      <c r="H2925" s="1" t="s">
        <v>17</v>
      </c>
      <c r="I2925" s="1" t="s">
        <v>26</v>
      </c>
      <c r="J2925">
        <v>30</v>
      </c>
      <c r="K2925">
        <v>15</v>
      </c>
      <c r="L2925" s="1" t="s">
        <v>19</v>
      </c>
    </row>
    <row r="2926" spans="1:12" x14ac:dyDescent="0.3">
      <c r="A2926" s="1" t="s">
        <v>2495</v>
      </c>
      <c r="B2926" s="2">
        <v>45782</v>
      </c>
      <c r="C2926" s="2">
        <v>45829</v>
      </c>
      <c r="D2926" s="1" t="s">
        <v>23</v>
      </c>
      <c r="E2926" s="1" t="s">
        <v>14</v>
      </c>
      <c r="F2926" s="1" t="s">
        <v>15</v>
      </c>
      <c r="G2926" s="1" t="s">
        <v>53</v>
      </c>
      <c r="H2926" s="1" t="s">
        <v>25</v>
      </c>
      <c r="I2926" s="1" t="s">
        <v>18</v>
      </c>
      <c r="J2926">
        <v>15</v>
      </c>
      <c r="K2926">
        <v>47</v>
      </c>
      <c r="L2926" s="1" t="s">
        <v>44</v>
      </c>
    </row>
    <row r="2927" spans="1:12" x14ac:dyDescent="0.3">
      <c r="A2927" s="1" t="s">
        <v>2858</v>
      </c>
      <c r="B2927" s="2">
        <v>45782</v>
      </c>
      <c r="C2927" s="2">
        <v>45784</v>
      </c>
      <c r="D2927" s="1" t="s">
        <v>13</v>
      </c>
      <c r="E2927" s="1" t="s">
        <v>14</v>
      </c>
      <c r="F2927" s="1" t="s">
        <v>15</v>
      </c>
      <c r="G2927" s="1" t="s">
        <v>16</v>
      </c>
      <c r="H2927" s="1" t="s">
        <v>47</v>
      </c>
      <c r="I2927" s="1" t="s">
        <v>26</v>
      </c>
      <c r="J2927">
        <v>30</v>
      </c>
      <c r="K2927">
        <v>2</v>
      </c>
      <c r="L2927" s="1" t="s">
        <v>30</v>
      </c>
    </row>
    <row r="2928" spans="1:12" x14ac:dyDescent="0.3">
      <c r="A2928" s="1" t="s">
        <v>417</v>
      </c>
      <c r="B2928" s="2">
        <v>45782</v>
      </c>
      <c r="C2928" s="2">
        <v>45845</v>
      </c>
      <c r="D2928" s="1" t="s">
        <v>37</v>
      </c>
      <c r="E2928" s="1" t="s">
        <v>14</v>
      </c>
      <c r="F2928" s="1" t="s">
        <v>15</v>
      </c>
      <c r="G2928" s="1" t="s">
        <v>16</v>
      </c>
      <c r="H2928" s="1" t="s">
        <v>49</v>
      </c>
      <c r="I2928" s="1" t="s">
        <v>41</v>
      </c>
      <c r="J2928">
        <v>15</v>
      </c>
      <c r="K2928">
        <v>63</v>
      </c>
      <c r="L2928" s="1" t="s">
        <v>80</v>
      </c>
    </row>
    <row r="2929" spans="1:12" x14ac:dyDescent="0.3">
      <c r="A2929" s="1" t="s">
        <v>2636</v>
      </c>
      <c r="B2929" s="2">
        <v>45782</v>
      </c>
      <c r="C2929" s="2">
        <v>45801</v>
      </c>
      <c r="D2929" s="1" t="s">
        <v>37</v>
      </c>
      <c r="E2929" s="1" t="s">
        <v>14</v>
      </c>
      <c r="F2929" s="1" t="s">
        <v>15</v>
      </c>
      <c r="G2929" s="1" t="s">
        <v>16</v>
      </c>
      <c r="H2929" s="1" t="s">
        <v>49</v>
      </c>
      <c r="I2929" s="1" t="s">
        <v>41</v>
      </c>
      <c r="J2929">
        <v>15</v>
      </c>
      <c r="K2929">
        <v>19</v>
      </c>
      <c r="L2929" s="1" t="s">
        <v>19</v>
      </c>
    </row>
    <row r="2930" spans="1:12" x14ac:dyDescent="0.3">
      <c r="A2930" s="1" t="s">
        <v>73</v>
      </c>
      <c r="B2930" s="2">
        <v>45781</v>
      </c>
      <c r="C2930" s="2">
        <v>45812</v>
      </c>
      <c r="D2930" s="1" t="s">
        <v>23</v>
      </c>
      <c r="E2930" s="1" t="s">
        <v>24</v>
      </c>
      <c r="F2930" s="1" t="s">
        <v>15</v>
      </c>
      <c r="G2930" s="1" t="s">
        <v>53</v>
      </c>
      <c r="H2930" s="1" t="s">
        <v>43</v>
      </c>
      <c r="I2930" s="1" t="s">
        <v>26</v>
      </c>
      <c r="J2930">
        <v>30</v>
      </c>
      <c r="K2930">
        <v>31</v>
      </c>
      <c r="L2930" s="1" t="s">
        <v>21</v>
      </c>
    </row>
    <row r="2931" spans="1:12" x14ac:dyDescent="0.3">
      <c r="A2931" s="1" t="s">
        <v>400</v>
      </c>
      <c r="B2931" s="2">
        <v>45781</v>
      </c>
      <c r="C2931" s="2">
        <v>45810</v>
      </c>
      <c r="D2931" s="1" t="s">
        <v>23</v>
      </c>
      <c r="E2931" s="1" t="s">
        <v>14</v>
      </c>
      <c r="F2931" s="1" t="s">
        <v>15</v>
      </c>
      <c r="G2931" s="1" t="s">
        <v>16</v>
      </c>
      <c r="H2931" s="1" t="s">
        <v>25</v>
      </c>
      <c r="I2931" s="1" t="s">
        <v>18</v>
      </c>
      <c r="J2931">
        <v>15</v>
      </c>
      <c r="K2931">
        <v>29</v>
      </c>
      <c r="L2931" s="1" t="s">
        <v>21</v>
      </c>
    </row>
    <row r="2932" spans="1:12" x14ac:dyDescent="0.3">
      <c r="A2932" s="1" t="s">
        <v>623</v>
      </c>
      <c r="B2932" s="2">
        <v>45781</v>
      </c>
      <c r="C2932" s="2">
        <v>45814</v>
      </c>
      <c r="D2932" s="1" t="s">
        <v>23</v>
      </c>
      <c r="E2932" s="1" t="s">
        <v>14</v>
      </c>
      <c r="F2932" s="1" t="s">
        <v>15</v>
      </c>
      <c r="G2932" s="1" t="s">
        <v>33</v>
      </c>
      <c r="H2932" s="1" t="s">
        <v>25</v>
      </c>
      <c r="I2932" s="1" t="s">
        <v>41</v>
      </c>
      <c r="J2932">
        <v>30</v>
      </c>
      <c r="K2932">
        <v>33</v>
      </c>
      <c r="L2932" s="1" t="s">
        <v>21</v>
      </c>
    </row>
    <row r="2933" spans="1:12" x14ac:dyDescent="0.3">
      <c r="A2933" s="1" t="s">
        <v>2075</v>
      </c>
      <c r="B2933" s="2">
        <v>45781</v>
      </c>
      <c r="C2933" s="2">
        <v>45848</v>
      </c>
      <c r="D2933" s="1" t="s">
        <v>32</v>
      </c>
      <c r="E2933" s="1" t="s">
        <v>24</v>
      </c>
      <c r="F2933" s="1" t="s">
        <v>15</v>
      </c>
      <c r="G2933" s="1" t="s">
        <v>16</v>
      </c>
      <c r="H2933" s="1" t="s">
        <v>71</v>
      </c>
      <c r="I2933" s="1" t="s">
        <v>41</v>
      </c>
      <c r="J2933">
        <v>30</v>
      </c>
      <c r="K2933">
        <v>67</v>
      </c>
      <c r="L2933" s="1" t="s">
        <v>80</v>
      </c>
    </row>
    <row r="2934" spans="1:12" x14ac:dyDescent="0.3">
      <c r="A2934" s="1" t="s">
        <v>2382</v>
      </c>
      <c r="B2934" s="2">
        <v>45781</v>
      </c>
      <c r="C2934" s="2">
        <v>45821</v>
      </c>
      <c r="D2934" s="1" t="s">
        <v>32</v>
      </c>
      <c r="E2934" s="1" t="s">
        <v>24</v>
      </c>
      <c r="F2934" s="1" t="s">
        <v>38</v>
      </c>
      <c r="G2934" s="1" t="s">
        <v>16</v>
      </c>
      <c r="H2934" s="1" t="s">
        <v>71</v>
      </c>
      <c r="I2934" s="1" t="s">
        <v>26</v>
      </c>
      <c r="J2934">
        <v>30</v>
      </c>
      <c r="K2934">
        <v>40</v>
      </c>
      <c r="L2934" s="1" t="s">
        <v>21</v>
      </c>
    </row>
    <row r="2935" spans="1:12" x14ac:dyDescent="0.3">
      <c r="A2935" s="1" t="s">
        <v>2124</v>
      </c>
      <c r="B2935" s="2">
        <v>45781</v>
      </c>
      <c r="C2935" s="2">
        <v>45845</v>
      </c>
      <c r="D2935" s="1" t="s">
        <v>37</v>
      </c>
      <c r="E2935" s="1" t="s">
        <v>14</v>
      </c>
      <c r="F2935" s="1" t="s">
        <v>15</v>
      </c>
      <c r="G2935" s="1" t="s">
        <v>16</v>
      </c>
      <c r="H2935" s="1" t="s">
        <v>39</v>
      </c>
      <c r="I2935" s="1" t="s">
        <v>26</v>
      </c>
      <c r="J2935">
        <v>30</v>
      </c>
      <c r="K2935">
        <v>64</v>
      </c>
      <c r="L2935" s="1" t="s">
        <v>80</v>
      </c>
    </row>
    <row r="2936" spans="1:12" x14ac:dyDescent="0.3">
      <c r="A2936" s="1" t="s">
        <v>1675</v>
      </c>
      <c r="B2936" s="2">
        <v>45781</v>
      </c>
      <c r="C2936" s="2">
        <v>45817</v>
      </c>
      <c r="D2936" s="1" t="s">
        <v>37</v>
      </c>
      <c r="E2936" s="1" t="s">
        <v>14</v>
      </c>
      <c r="F2936" s="1" t="s">
        <v>15</v>
      </c>
      <c r="G2936" s="1" t="s">
        <v>33</v>
      </c>
      <c r="H2936" s="1" t="s">
        <v>49</v>
      </c>
      <c r="I2936" s="1" t="s">
        <v>26</v>
      </c>
      <c r="J2936">
        <v>15</v>
      </c>
      <c r="K2936">
        <v>36</v>
      </c>
      <c r="L2936" s="1" t="s">
        <v>21</v>
      </c>
    </row>
    <row r="2937" spans="1:12" x14ac:dyDescent="0.3">
      <c r="A2937" s="1" t="s">
        <v>952</v>
      </c>
      <c r="B2937" s="2">
        <v>45781</v>
      </c>
      <c r="C2937" s="2">
        <v>45816</v>
      </c>
      <c r="D2937" s="1" t="s">
        <v>37</v>
      </c>
      <c r="E2937" s="1" t="s">
        <v>14</v>
      </c>
      <c r="F2937" s="1" t="s">
        <v>15</v>
      </c>
      <c r="G2937" s="1" t="s">
        <v>16</v>
      </c>
      <c r="H2937" s="1" t="s">
        <v>39</v>
      </c>
      <c r="I2937" s="1" t="s">
        <v>26</v>
      </c>
      <c r="J2937">
        <v>15</v>
      </c>
      <c r="K2937">
        <v>35</v>
      </c>
      <c r="L2937" s="1" t="s">
        <v>21</v>
      </c>
    </row>
    <row r="2938" spans="1:12" x14ac:dyDescent="0.3">
      <c r="A2938" s="1" t="s">
        <v>12</v>
      </c>
      <c r="B2938" s="2">
        <v>45780</v>
      </c>
      <c r="C2938" s="2">
        <v>45807</v>
      </c>
      <c r="D2938" s="1" t="s">
        <v>13</v>
      </c>
      <c r="E2938" s="1" t="s">
        <v>14</v>
      </c>
      <c r="F2938" s="1" t="s">
        <v>15</v>
      </c>
      <c r="G2938" s="1" t="s">
        <v>16</v>
      </c>
      <c r="H2938" s="1" t="s">
        <v>17</v>
      </c>
      <c r="I2938" s="1" t="s">
        <v>18</v>
      </c>
      <c r="J2938">
        <v>15</v>
      </c>
      <c r="K2938">
        <v>27</v>
      </c>
      <c r="L2938" s="1" t="s">
        <v>19</v>
      </c>
    </row>
    <row r="2939" spans="1:12" x14ac:dyDescent="0.3">
      <c r="A2939" s="1" t="s">
        <v>174</v>
      </c>
      <c r="B2939" s="2">
        <v>45780</v>
      </c>
      <c r="C2939" s="2">
        <v>45790</v>
      </c>
      <c r="D2939" s="1" t="s">
        <v>13</v>
      </c>
      <c r="E2939" s="1" t="s">
        <v>14</v>
      </c>
      <c r="F2939" s="1" t="s">
        <v>15</v>
      </c>
      <c r="G2939" s="1" t="s">
        <v>16</v>
      </c>
      <c r="H2939" s="1" t="s">
        <v>17</v>
      </c>
      <c r="I2939" s="1" t="s">
        <v>41</v>
      </c>
      <c r="J2939">
        <v>15</v>
      </c>
      <c r="K2939">
        <v>10</v>
      </c>
      <c r="L2939" s="1" t="s">
        <v>30</v>
      </c>
    </row>
    <row r="2940" spans="1:12" x14ac:dyDescent="0.3">
      <c r="A2940" s="1" t="s">
        <v>737</v>
      </c>
      <c r="B2940" s="2">
        <v>45780</v>
      </c>
      <c r="C2940" s="2">
        <v>45833</v>
      </c>
      <c r="D2940" s="1" t="s">
        <v>28</v>
      </c>
      <c r="E2940" s="1" t="s">
        <v>14</v>
      </c>
      <c r="F2940" s="1" t="s">
        <v>38</v>
      </c>
      <c r="G2940" s="1" t="s">
        <v>16</v>
      </c>
      <c r="H2940" s="1" t="s">
        <v>54</v>
      </c>
      <c r="I2940" s="1" t="s">
        <v>41</v>
      </c>
      <c r="J2940">
        <v>30</v>
      </c>
      <c r="K2940">
        <v>53</v>
      </c>
      <c r="L2940" s="1" t="s">
        <v>44</v>
      </c>
    </row>
    <row r="2941" spans="1:12" x14ac:dyDescent="0.3">
      <c r="A2941" s="1" t="s">
        <v>1573</v>
      </c>
      <c r="B2941" s="2">
        <v>45780</v>
      </c>
      <c r="C2941" s="2">
        <v>45837</v>
      </c>
      <c r="D2941" s="1" t="s">
        <v>32</v>
      </c>
      <c r="E2941" s="1" t="s">
        <v>14</v>
      </c>
      <c r="F2941" s="1" t="s">
        <v>38</v>
      </c>
      <c r="G2941" s="1" t="s">
        <v>16</v>
      </c>
      <c r="H2941" s="1" t="s">
        <v>71</v>
      </c>
      <c r="I2941" s="1" t="s">
        <v>26</v>
      </c>
      <c r="J2941">
        <v>30</v>
      </c>
      <c r="K2941">
        <v>57</v>
      </c>
      <c r="L2941" s="1" t="s">
        <v>80</v>
      </c>
    </row>
    <row r="2942" spans="1:12" x14ac:dyDescent="0.3">
      <c r="A2942" s="1" t="s">
        <v>1585</v>
      </c>
      <c r="B2942" s="2">
        <v>45780</v>
      </c>
      <c r="C2942" s="2">
        <v>45829</v>
      </c>
      <c r="D2942" s="1" t="s">
        <v>13</v>
      </c>
      <c r="E2942" s="1" t="s">
        <v>24</v>
      </c>
      <c r="F2942" s="1" t="s">
        <v>15</v>
      </c>
      <c r="G2942" s="1" t="s">
        <v>16</v>
      </c>
      <c r="H2942" s="1" t="s">
        <v>47</v>
      </c>
      <c r="I2942" s="1" t="s">
        <v>18</v>
      </c>
      <c r="J2942">
        <v>45</v>
      </c>
      <c r="K2942">
        <v>49</v>
      </c>
      <c r="L2942" s="1" t="s">
        <v>44</v>
      </c>
    </row>
    <row r="2943" spans="1:12" x14ac:dyDescent="0.3">
      <c r="A2943" s="1" t="s">
        <v>1763</v>
      </c>
      <c r="B2943" s="2">
        <v>45780</v>
      </c>
      <c r="C2943" s="2">
        <v>45846</v>
      </c>
      <c r="D2943" s="1" t="s">
        <v>23</v>
      </c>
      <c r="E2943" s="1" t="s">
        <v>24</v>
      </c>
      <c r="F2943" s="1" t="s">
        <v>38</v>
      </c>
      <c r="G2943" s="1" t="s">
        <v>16</v>
      </c>
      <c r="H2943" s="1" t="s">
        <v>43</v>
      </c>
      <c r="I2943" s="1" t="s">
        <v>41</v>
      </c>
      <c r="J2943">
        <v>30</v>
      </c>
      <c r="K2943">
        <v>66</v>
      </c>
      <c r="L2943" s="1" t="s">
        <v>80</v>
      </c>
    </row>
    <row r="2944" spans="1:12" x14ac:dyDescent="0.3">
      <c r="A2944" s="1" t="s">
        <v>1973</v>
      </c>
      <c r="B2944" s="2">
        <v>45780</v>
      </c>
      <c r="C2944" s="2">
        <v>45793</v>
      </c>
      <c r="D2944" s="1" t="s">
        <v>28</v>
      </c>
      <c r="E2944" s="1" t="s">
        <v>24</v>
      </c>
      <c r="F2944" s="1" t="s">
        <v>15</v>
      </c>
      <c r="G2944" s="1" t="s">
        <v>16</v>
      </c>
      <c r="H2944" s="1" t="s">
        <v>29</v>
      </c>
      <c r="I2944" s="1" t="s">
        <v>18</v>
      </c>
      <c r="J2944">
        <v>45</v>
      </c>
      <c r="K2944">
        <v>13</v>
      </c>
      <c r="L2944" s="1" t="s">
        <v>30</v>
      </c>
    </row>
    <row r="2945" spans="1:12" x14ac:dyDescent="0.3">
      <c r="A2945" s="1" t="s">
        <v>2896</v>
      </c>
      <c r="B2945" s="2">
        <v>45780</v>
      </c>
      <c r="C2945" s="2">
        <v>45801</v>
      </c>
      <c r="D2945" s="1" t="s">
        <v>28</v>
      </c>
      <c r="E2945" s="1" t="s">
        <v>14</v>
      </c>
      <c r="F2945" s="1" t="s">
        <v>38</v>
      </c>
      <c r="G2945" s="1" t="s">
        <v>16</v>
      </c>
      <c r="H2945" s="1" t="s">
        <v>54</v>
      </c>
      <c r="I2945" s="1" t="s">
        <v>26</v>
      </c>
      <c r="J2945">
        <v>15</v>
      </c>
      <c r="K2945">
        <v>21</v>
      </c>
      <c r="L2945" s="1" t="s">
        <v>19</v>
      </c>
    </row>
    <row r="2946" spans="1:12" x14ac:dyDescent="0.3">
      <c r="A2946" s="1" t="s">
        <v>1851</v>
      </c>
      <c r="B2946" s="2">
        <v>45780</v>
      </c>
      <c r="C2946" s="2">
        <v>45820</v>
      </c>
      <c r="D2946" s="1" t="s">
        <v>37</v>
      </c>
      <c r="E2946" s="1" t="s">
        <v>14</v>
      </c>
      <c r="F2946" s="1" t="s">
        <v>15</v>
      </c>
      <c r="G2946" s="1" t="s">
        <v>16</v>
      </c>
      <c r="H2946" s="1" t="s">
        <v>39</v>
      </c>
      <c r="I2946" s="1" t="s">
        <v>18</v>
      </c>
      <c r="J2946">
        <v>30</v>
      </c>
      <c r="K2946">
        <v>40</v>
      </c>
      <c r="L2946" s="1" t="s">
        <v>21</v>
      </c>
    </row>
    <row r="2947" spans="1:12" x14ac:dyDescent="0.3">
      <c r="A2947" s="1" t="s">
        <v>213</v>
      </c>
      <c r="B2947" s="2">
        <v>45780</v>
      </c>
      <c r="C2947" s="2">
        <v>45814</v>
      </c>
      <c r="D2947" s="1" t="s">
        <v>37</v>
      </c>
      <c r="E2947" s="1" t="s">
        <v>24</v>
      </c>
      <c r="F2947" s="1" t="s">
        <v>15</v>
      </c>
      <c r="G2947" s="1" t="s">
        <v>16</v>
      </c>
      <c r="H2947" s="1" t="s">
        <v>39</v>
      </c>
      <c r="I2947" s="1" t="s">
        <v>41</v>
      </c>
      <c r="J2947">
        <v>30</v>
      </c>
      <c r="K2947">
        <v>34</v>
      </c>
      <c r="L2947" s="1" t="s">
        <v>21</v>
      </c>
    </row>
    <row r="2948" spans="1:12" x14ac:dyDescent="0.3">
      <c r="A2948" s="1" t="s">
        <v>2954</v>
      </c>
      <c r="B2948" s="2">
        <v>45780</v>
      </c>
      <c r="C2948" s="2">
        <v>45801</v>
      </c>
      <c r="D2948" s="1" t="s">
        <v>13</v>
      </c>
      <c r="E2948" s="1" t="s">
        <v>14</v>
      </c>
      <c r="F2948" s="1" t="s">
        <v>38</v>
      </c>
      <c r="G2948" s="1" t="s">
        <v>53</v>
      </c>
      <c r="H2948" s="1" t="s">
        <v>17</v>
      </c>
      <c r="I2948" s="1" t="s">
        <v>18</v>
      </c>
      <c r="J2948">
        <v>30</v>
      </c>
      <c r="K2948">
        <v>21</v>
      </c>
      <c r="L2948" s="1" t="s">
        <v>19</v>
      </c>
    </row>
    <row r="2949" spans="1:12" x14ac:dyDescent="0.3">
      <c r="A2949" s="1" t="s">
        <v>868</v>
      </c>
      <c r="B2949" s="2">
        <v>45780</v>
      </c>
      <c r="C2949" s="2">
        <v>45803</v>
      </c>
      <c r="D2949" s="1" t="s">
        <v>37</v>
      </c>
      <c r="E2949" s="1" t="s">
        <v>24</v>
      </c>
      <c r="F2949" s="1" t="s">
        <v>15</v>
      </c>
      <c r="G2949" s="1" t="s">
        <v>16</v>
      </c>
      <c r="H2949" s="1" t="s">
        <v>49</v>
      </c>
      <c r="I2949" s="1" t="s">
        <v>41</v>
      </c>
      <c r="J2949">
        <v>30</v>
      </c>
      <c r="K2949">
        <v>23</v>
      </c>
      <c r="L2949" s="1" t="s">
        <v>19</v>
      </c>
    </row>
    <row r="2950" spans="1:12" x14ac:dyDescent="0.3">
      <c r="A2950" s="1" t="s">
        <v>237</v>
      </c>
      <c r="B2950" s="2">
        <v>45779</v>
      </c>
      <c r="C2950" s="2">
        <v>45825</v>
      </c>
      <c r="D2950" s="1" t="s">
        <v>28</v>
      </c>
      <c r="E2950" s="1" t="s">
        <v>14</v>
      </c>
      <c r="F2950" s="1" t="s">
        <v>15</v>
      </c>
      <c r="G2950" s="1" t="s">
        <v>16</v>
      </c>
      <c r="H2950" s="1" t="s">
        <v>54</v>
      </c>
      <c r="I2950" s="1" t="s">
        <v>26</v>
      </c>
      <c r="J2950">
        <v>30</v>
      </c>
      <c r="K2950">
        <v>46</v>
      </c>
      <c r="L2950" s="1" t="s">
        <v>44</v>
      </c>
    </row>
    <row r="2951" spans="1:12" x14ac:dyDescent="0.3">
      <c r="A2951" s="1" t="s">
        <v>770</v>
      </c>
      <c r="B2951" s="2">
        <v>45779</v>
      </c>
      <c r="C2951" s="2">
        <v>45854</v>
      </c>
      <c r="D2951" s="1" t="s">
        <v>28</v>
      </c>
      <c r="E2951" s="1" t="s">
        <v>14</v>
      </c>
      <c r="F2951" s="1" t="s">
        <v>15</v>
      </c>
      <c r="G2951" s="1" t="s">
        <v>16</v>
      </c>
      <c r="H2951" s="1" t="s">
        <v>29</v>
      </c>
      <c r="I2951" s="1" t="s">
        <v>26</v>
      </c>
      <c r="J2951">
        <v>30</v>
      </c>
      <c r="K2951">
        <v>75</v>
      </c>
      <c r="L2951" s="1" t="s">
        <v>80</v>
      </c>
    </row>
    <row r="2952" spans="1:12" x14ac:dyDescent="0.3">
      <c r="A2952" s="1" t="s">
        <v>795</v>
      </c>
      <c r="B2952" s="2">
        <v>45779</v>
      </c>
      <c r="C2952" s="2">
        <v>45838</v>
      </c>
      <c r="D2952" s="1" t="s">
        <v>28</v>
      </c>
      <c r="E2952" s="1" t="s">
        <v>24</v>
      </c>
      <c r="F2952" s="1" t="s">
        <v>15</v>
      </c>
      <c r="G2952" s="1" t="s">
        <v>16</v>
      </c>
      <c r="H2952" s="1" t="s">
        <v>29</v>
      </c>
      <c r="I2952" s="1" t="s">
        <v>26</v>
      </c>
      <c r="J2952">
        <v>30</v>
      </c>
      <c r="K2952">
        <v>59</v>
      </c>
      <c r="L2952" s="1" t="s">
        <v>80</v>
      </c>
    </row>
    <row r="2953" spans="1:12" x14ac:dyDescent="0.3">
      <c r="A2953" s="1" t="s">
        <v>923</v>
      </c>
      <c r="B2953" s="2">
        <v>45779</v>
      </c>
      <c r="C2953" s="2">
        <v>45815</v>
      </c>
      <c r="D2953" s="1" t="s">
        <v>13</v>
      </c>
      <c r="E2953" s="1" t="s">
        <v>24</v>
      </c>
      <c r="F2953" s="1" t="s">
        <v>15</v>
      </c>
      <c r="G2953" s="1" t="s">
        <v>16</v>
      </c>
      <c r="H2953" s="1" t="s">
        <v>47</v>
      </c>
      <c r="I2953" s="1" t="s">
        <v>26</v>
      </c>
      <c r="J2953">
        <v>30</v>
      </c>
      <c r="K2953">
        <v>36</v>
      </c>
      <c r="L2953" s="1" t="s">
        <v>21</v>
      </c>
    </row>
    <row r="2954" spans="1:12" x14ac:dyDescent="0.3">
      <c r="A2954" s="1" t="s">
        <v>2408</v>
      </c>
      <c r="B2954" s="2">
        <v>45779</v>
      </c>
      <c r="C2954" s="2">
        <v>45829</v>
      </c>
      <c r="D2954" s="1" t="s">
        <v>37</v>
      </c>
      <c r="E2954" s="1" t="s">
        <v>14</v>
      </c>
      <c r="F2954" s="1" t="s">
        <v>15</v>
      </c>
      <c r="G2954" s="1" t="s">
        <v>16</v>
      </c>
      <c r="H2954" s="1" t="s">
        <v>49</v>
      </c>
      <c r="I2954" s="1" t="s">
        <v>26</v>
      </c>
      <c r="J2954">
        <v>15</v>
      </c>
      <c r="K2954">
        <v>50</v>
      </c>
      <c r="L2954" s="1" t="s">
        <v>44</v>
      </c>
    </row>
    <row r="2955" spans="1:12" x14ac:dyDescent="0.3">
      <c r="A2955" s="1" t="s">
        <v>2571</v>
      </c>
      <c r="B2955" s="2">
        <v>45779</v>
      </c>
      <c r="C2955" s="2">
        <v>45806</v>
      </c>
      <c r="D2955" s="1" t="s">
        <v>37</v>
      </c>
      <c r="E2955" s="1" t="s">
        <v>24</v>
      </c>
      <c r="F2955" s="1" t="s">
        <v>15</v>
      </c>
      <c r="G2955" s="1" t="s">
        <v>33</v>
      </c>
      <c r="H2955" s="1" t="s">
        <v>39</v>
      </c>
      <c r="I2955" s="1" t="s">
        <v>26</v>
      </c>
      <c r="J2955">
        <v>30</v>
      </c>
      <c r="K2955">
        <v>27</v>
      </c>
      <c r="L2955" s="1" t="s">
        <v>19</v>
      </c>
    </row>
    <row r="2956" spans="1:12" x14ac:dyDescent="0.3">
      <c r="A2956" s="1" t="s">
        <v>2907</v>
      </c>
      <c r="B2956" s="2">
        <v>45779</v>
      </c>
      <c r="C2956" s="2">
        <v>45795</v>
      </c>
      <c r="D2956" s="1" t="s">
        <v>37</v>
      </c>
      <c r="E2956" s="1" t="s">
        <v>14</v>
      </c>
      <c r="F2956" s="1" t="s">
        <v>15</v>
      </c>
      <c r="G2956" s="1" t="s">
        <v>16</v>
      </c>
      <c r="H2956" s="1" t="s">
        <v>39</v>
      </c>
      <c r="I2956" s="1" t="s">
        <v>41</v>
      </c>
      <c r="J2956">
        <v>30</v>
      </c>
      <c r="K2956">
        <v>16</v>
      </c>
      <c r="L2956" s="1" t="s">
        <v>19</v>
      </c>
    </row>
    <row r="2957" spans="1:12" x14ac:dyDescent="0.3">
      <c r="A2957" s="1" t="s">
        <v>36</v>
      </c>
      <c r="B2957" s="2">
        <v>45779</v>
      </c>
      <c r="C2957" s="2">
        <v>45793</v>
      </c>
      <c r="D2957" s="1" t="s">
        <v>37</v>
      </c>
      <c r="E2957" s="1" t="s">
        <v>24</v>
      </c>
      <c r="F2957" s="1" t="s">
        <v>38</v>
      </c>
      <c r="G2957" s="1" t="s">
        <v>16</v>
      </c>
      <c r="H2957" s="1" t="s">
        <v>39</v>
      </c>
      <c r="I2957" s="1" t="s">
        <v>26</v>
      </c>
      <c r="J2957">
        <v>30</v>
      </c>
      <c r="K2957">
        <v>14</v>
      </c>
      <c r="L2957" s="1" t="s">
        <v>30</v>
      </c>
    </row>
    <row r="2958" spans="1:12" x14ac:dyDescent="0.3">
      <c r="A2958" s="1" t="s">
        <v>2359</v>
      </c>
      <c r="B2958" s="2">
        <v>45779</v>
      </c>
      <c r="C2958" s="2">
        <v>45793</v>
      </c>
      <c r="D2958" s="1" t="s">
        <v>37</v>
      </c>
      <c r="E2958" s="1" t="s">
        <v>14</v>
      </c>
      <c r="F2958" s="1" t="s">
        <v>15</v>
      </c>
      <c r="G2958" s="1" t="s">
        <v>16</v>
      </c>
      <c r="H2958" s="1" t="s">
        <v>39</v>
      </c>
      <c r="I2958" s="1" t="s">
        <v>26</v>
      </c>
      <c r="J2958">
        <v>30</v>
      </c>
      <c r="K2958">
        <v>14</v>
      </c>
      <c r="L2958" s="1" t="s">
        <v>30</v>
      </c>
    </row>
    <row r="2959" spans="1:12" x14ac:dyDescent="0.3">
      <c r="A2959" s="1" t="s">
        <v>287</v>
      </c>
      <c r="B2959" s="2">
        <v>45778</v>
      </c>
      <c r="C2959" s="2">
        <v>45780</v>
      </c>
      <c r="D2959" s="1" t="s">
        <v>28</v>
      </c>
      <c r="E2959" s="1" t="s">
        <v>14</v>
      </c>
      <c r="F2959" s="1" t="s">
        <v>15</v>
      </c>
      <c r="G2959" s="1" t="s">
        <v>16</v>
      </c>
      <c r="H2959" s="1" t="s">
        <v>29</v>
      </c>
      <c r="I2959" s="1" t="s">
        <v>26</v>
      </c>
      <c r="J2959">
        <v>30</v>
      </c>
      <c r="K2959">
        <v>2</v>
      </c>
      <c r="L2959" s="1" t="s">
        <v>30</v>
      </c>
    </row>
    <row r="2960" spans="1:12" x14ac:dyDescent="0.3">
      <c r="A2960" s="1" t="s">
        <v>321</v>
      </c>
      <c r="B2960" s="2">
        <v>45778</v>
      </c>
      <c r="C2960" s="2">
        <v>45796</v>
      </c>
      <c r="D2960" s="1" t="s">
        <v>28</v>
      </c>
      <c r="E2960" s="1" t="s">
        <v>24</v>
      </c>
      <c r="F2960" s="1" t="s">
        <v>38</v>
      </c>
      <c r="G2960" s="1" t="s">
        <v>53</v>
      </c>
      <c r="H2960" s="1" t="s">
        <v>54</v>
      </c>
      <c r="I2960" s="1" t="s">
        <v>41</v>
      </c>
      <c r="J2960">
        <v>45</v>
      </c>
      <c r="K2960">
        <v>18</v>
      </c>
      <c r="L2960" s="1" t="s">
        <v>19</v>
      </c>
    </row>
    <row r="2961" spans="1:12" x14ac:dyDescent="0.3">
      <c r="A2961" s="1" t="s">
        <v>473</v>
      </c>
      <c r="B2961" s="2">
        <v>45778</v>
      </c>
      <c r="C2961" s="2">
        <v>45820</v>
      </c>
      <c r="D2961" s="1" t="s">
        <v>23</v>
      </c>
      <c r="E2961" s="1" t="s">
        <v>14</v>
      </c>
      <c r="F2961" s="1" t="s">
        <v>15</v>
      </c>
      <c r="G2961" s="1" t="s">
        <v>16</v>
      </c>
      <c r="H2961" s="1" t="s">
        <v>25</v>
      </c>
      <c r="I2961" s="1" t="s">
        <v>26</v>
      </c>
      <c r="J2961">
        <v>15</v>
      </c>
      <c r="K2961">
        <v>42</v>
      </c>
      <c r="L2961" s="1" t="s">
        <v>21</v>
      </c>
    </row>
    <row r="2962" spans="1:12" x14ac:dyDescent="0.3">
      <c r="A2962" s="1" t="s">
        <v>1298</v>
      </c>
      <c r="B2962" s="2">
        <v>45778</v>
      </c>
      <c r="C2962" s="2">
        <v>45803</v>
      </c>
      <c r="D2962" s="1" t="s">
        <v>13</v>
      </c>
      <c r="E2962" s="1" t="s">
        <v>14</v>
      </c>
      <c r="F2962" s="1" t="s">
        <v>15</v>
      </c>
      <c r="G2962" s="1" t="s">
        <v>16</v>
      </c>
      <c r="H2962" s="1" t="s">
        <v>17</v>
      </c>
      <c r="I2962" s="1" t="s">
        <v>26</v>
      </c>
      <c r="J2962">
        <v>15</v>
      </c>
      <c r="K2962">
        <v>25</v>
      </c>
      <c r="L2962" s="1" t="s">
        <v>19</v>
      </c>
    </row>
    <row r="2963" spans="1:12" x14ac:dyDescent="0.3">
      <c r="A2963" s="1" t="s">
        <v>1370</v>
      </c>
      <c r="B2963" s="2">
        <v>45778</v>
      </c>
      <c r="C2963" s="2">
        <v>45815</v>
      </c>
      <c r="D2963" s="1" t="s">
        <v>32</v>
      </c>
      <c r="E2963" s="1" t="s">
        <v>14</v>
      </c>
      <c r="F2963" s="1" t="s">
        <v>15</v>
      </c>
      <c r="G2963" s="1" t="s">
        <v>33</v>
      </c>
      <c r="H2963" s="1" t="s">
        <v>71</v>
      </c>
      <c r="I2963" s="1" t="s">
        <v>18</v>
      </c>
      <c r="J2963">
        <v>15</v>
      </c>
      <c r="K2963">
        <v>37</v>
      </c>
      <c r="L2963" s="1" t="s">
        <v>21</v>
      </c>
    </row>
    <row r="2964" spans="1:12" x14ac:dyDescent="0.3">
      <c r="A2964" s="1" t="s">
        <v>2677</v>
      </c>
      <c r="B2964" s="2">
        <v>45778</v>
      </c>
      <c r="C2964" s="2">
        <v>45835</v>
      </c>
      <c r="D2964" s="1" t="s">
        <v>23</v>
      </c>
      <c r="E2964" s="1" t="s">
        <v>14</v>
      </c>
      <c r="F2964" s="1" t="s">
        <v>38</v>
      </c>
      <c r="G2964" s="1" t="s">
        <v>16</v>
      </c>
      <c r="H2964" s="1" t="s">
        <v>43</v>
      </c>
      <c r="I2964" s="1" t="s">
        <v>26</v>
      </c>
      <c r="J2964">
        <v>15</v>
      </c>
      <c r="K2964">
        <v>57</v>
      </c>
      <c r="L2964" s="1" t="s">
        <v>80</v>
      </c>
    </row>
    <row r="2965" spans="1:12" x14ac:dyDescent="0.3">
      <c r="A2965" s="1" t="s">
        <v>720</v>
      </c>
      <c r="B2965" s="2">
        <v>45778</v>
      </c>
      <c r="C2965" s="2">
        <v>45811</v>
      </c>
      <c r="D2965" s="1" t="s">
        <v>37</v>
      </c>
      <c r="E2965" s="1" t="s">
        <v>24</v>
      </c>
      <c r="F2965" s="1" t="s">
        <v>15</v>
      </c>
      <c r="G2965" s="1" t="s">
        <v>33</v>
      </c>
      <c r="H2965" s="1" t="s">
        <v>49</v>
      </c>
      <c r="I2965" s="1" t="s">
        <v>41</v>
      </c>
      <c r="J2965">
        <v>45</v>
      </c>
      <c r="K2965">
        <v>33</v>
      </c>
      <c r="L2965" s="1" t="s">
        <v>21</v>
      </c>
    </row>
    <row r="2966" spans="1:12" x14ac:dyDescent="0.3">
      <c r="A2966" s="1" t="s">
        <v>1164</v>
      </c>
      <c r="B2966" s="2">
        <v>45778</v>
      </c>
      <c r="C2966" s="2">
        <v>45809</v>
      </c>
      <c r="D2966" s="1" t="s">
        <v>37</v>
      </c>
      <c r="E2966" s="1" t="s">
        <v>14</v>
      </c>
      <c r="F2966" s="1" t="s">
        <v>15</v>
      </c>
      <c r="G2966" s="1" t="s">
        <v>16</v>
      </c>
      <c r="H2966" s="1" t="s">
        <v>39</v>
      </c>
      <c r="I2966" s="1" t="s">
        <v>18</v>
      </c>
      <c r="J2966">
        <v>30</v>
      </c>
      <c r="K2966">
        <v>31</v>
      </c>
      <c r="L2966" s="1" t="s">
        <v>21</v>
      </c>
    </row>
    <row r="2967" spans="1:12" x14ac:dyDescent="0.3">
      <c r="A2967" s="1" t="s">
        <v>1403</v>
      </c>
      <c r="B2967" s="2">
        <v>45778</v>
      </c>
      <c r="C2967" s="2">
        <v>45800</v>
      </c>
      <c r="D2967" s="1" t="s">
        <v>37</v>
      </c>
      <c r="E2967" s="1" t="s">
        <v>14</v>
      </c>
      <c r="F2967" s="1" t="s">
        <v>15</v>
      </c>
      <c r="G2967" s="1" t="s">
        <v>53</v>
      </c>
      <c r="H2967" s="1" t="s">
        <v>49</v>
      </c>
      <c r="I2967" s="1" t="s">
        <v>26</v>
      </c>
      <c r="J2967">
        <v>15</v>
      </c>
      <c r="K2967">
        <v>22</v>
      </c>
      <c r="L2967" s="1" t="s">
        <v>19</v>
      </c>
    </row>
    <row r="2968" spans="1:12" x14ac:dyDescent="0.3">
      <c r="A2968" s="1" t="s">
        <v>481</v>
      </c>
      <c r="B2968" s="2">
        <v>45777</v>
      </c>
      <c r="C2968" s="2">
        <v>45802</v>
      </c>
      <c r="D2968" s="1" t="s">
        <v>23</v>
      </c>
      <c r="E2968" s="1" t="s">
        <v>14</v>
      </c>
      <c r="F2968" s="1" t="s">
        <v>15</v>
      </c>
      <c r="G2968" s="1" t="s">
        <v>16</v>
      </c>
      <c r="H2968" s="1" t="s">
        <v>25</v>
      </c>
      <c r="I2968" s="1" t="s">
        <v>41</v>
      </c>
      <c r="J2968">
        <v>30</v>
      </c>
      <c r="K2968">
        <v>25</v>
      </c>
      <c r="L2968" s="1" t="s">
        <v>19</v>
      </c>
    </row>
    <row r="2969" spans="1:12" x14ac:dyDescent="0.3">
      <c r="A2969" s="1" t="s">
        <v>2794</v>
      </c>
      <c r="B2969" s="2">
        <v>45777</v>
      </c>
      <c r="C2969" s="2">
        <v>45812</v>
      </c>
      <c r="D2969" s="1" t="s">
        <v>37</v>
      </c>
      <c r="E2969" s="1" t="s">
        <v>14</v>
      </c>
      <c r="F2969" s="1" t="s">
        <v>15</v>
      </c>
      <c r="G2969" s="1" t="s">
        <v>33</v>
      </c>
      <c r="H2969" s="1" t="s">
        <v>49</v>
      </c>
      <c r="I2969" s="1" t="s">
        <v>18</v>
      </c>
      <c r="J2969">
        <v>15</v>
      </c>
      <c r="K2969">
        <v>35</v>
      </c>
      <c r="L2969" s="1" t="s">
        <v>21</v>
      </c>
    </row>
    <row r="2970" spans="1:12" x14ac:dyDescent="0.3">
      <c r="A2970" s="1" t="s">
        <v>1138</v>
      </c>
      <c r="B2970" s="2">
        <v>45777</v>
      </c>
      <c r="C2970" s="2">
        <v>45801</v>
      </c>
      <c r="D2970" s="1" t="s">
        <v>37</v>
      </c>
      <c r="E2970" s="1" t="s">
        <v>24</v>
      </c>
      <c r="F2970" s="1" t="s">
        <v>15</v>
      </c>
      <c r="G2970" s="1" t="s">
        <v>16</v>
      </c>
      <c r="H2970" s="1" t="s">
        <v>49</v>
      </c>
      <c r="I2970" s="1" t="s">
        <v>26</v>
      </c>
      <c r="J2970">
        <v>30</v>
      </c>
      <c r="K2970">
        <v>24</v>
      </c>
      <c r="L2970" s="1" t="s">
        <v>19</v>
      </c>
    </row>
    <row r="2971" spans="1:12" x14ac:dyDescent="0.3">
      <c r="A2971" s="1" t="s">
        <v>1893</v>
      </c>
      <c r="B2971" s="2">
        <v>45777</v>
      </c>
      <c r="C2971" s="2">
        <v>45779</v>
      </c>
      <c r="D2971" s="1" t="s">
        <v>37</v>
      </c>
      <c r="E2971" s="1" t="s">
        <v>14</v>
      </c>
      <c r="F2971" s="1" t="s">
        <v>15</v>
      </c>
      <c r="G2971" s="1" t="s">
        <v>16</v>
      </c>
      <c r="H2971" s="1" t="s">
        <v>49</v>
      </c>
      <c r="I2971" s="1" t="s">
        <v>26</v>
      </c>
      <c r="J2971">
        <v>15</v>
      </c>
      <c r="K2971">
        <v>2</v>
      </c>
      <c r="L2971" s="1" t="s">
        <v>30</v>
      </c>
    </row>
    <row r="2972" spans="1:12" x14ac:dyDescent="0.3">
      <c r="A2972" s="1" t="s">
        <v>3176</v>
      </c>
      <c r="B2972" s="2">
        <v>45777</v>
      </c>
      <c r="C2972" s="2">
        <v>45798</v>
      </c>
      <c r="D2972" s="1" t="s">
        <v>32</v>
      </c>
      <c r="E2972" s="1" t="s">
        <v>14</v>
      </c>
      <c r="F2972" s="1" t="s">
        <v>15</v>
      </c>
      <c r="G2972" s="1" t="s">
        <v>16</v>
      </c>
      <c r="H2972" s="1" t="s">
        <v>71</v>
      </c>
      <c r="I2972" s="1" t="s">
        <v>41</v>
      </c>
      <c r="J2972">
        <v>15</v>
      </c>
      <c r="K2972">
        <v>21</v>
      </c>
      <c r="L2972" s="1" t="s">
        <v>19</v>
      </c>
    </row>
    <row r="2973" spans="1:12" x14ac:dyDescent="0.3">
      <c r="A2973" s="1" t="s">
        <v>168</v>
      </c>
      <c r="B2973" s="2">
        <v>45776</v>
      </c>
      <c r="C2973" s="2">
        <v>45801</v>
      </c>
      <c r="D2973" s="1" t="s">
        <v>23</v>
      </c>
      <c r="E2973" s="1" t="s">
        <v>24</v>
      </c>
      <c r="F2973" s="1" t="s">
        <v>15</v>
      </c>
      <c r="G2973" s="1" t="s">
        <v>53</v>
      </c>
      <c r="H2973" s="1" t="s">
        <v>25</v>
      </c>
      <c r="I2973" s="1" t="s">
        <v>18</v>
      </c>
      <c r="J2973">
        <v>30</v>
      </c>
      <c r="K2973">
        <v>25</v>
      </c>
      <c r="L2973" s="1" t="s">
        <v>19</v>
      </c>
    </row>
    <row r="2974" spans="1:12" x14ac:dyDescent="0.3">
      <c r="A2974" s="1" t="s">
        <v>1069</v>
      </c>
      <c r="B2974" s="2">
        <v>45776</v>
      </c>
      <c r="C2974" s="2">
        <v>45812</v>
      </c>
      <c r="D2974" s="1" t="s">
        <v>28</v>
      </c>
      <c r="E2974" s="1" t="s">
        <v>14</v>
      </c>
      <c r="F2974" s="1" t="s">
        <v>15</v>
      </c>
      <c r="G2974" s="1" t="s">
        <v>16</v>
      </c>
      <c r="H2974" s="1" t="s">
        <v>29</v>
      </c>
      <c r="I2974" s="1" t="s">
        <v>18</v>
      </c>
      <c r="J2974">
        <v>15</v>
      </c>
      <c r="K2974">
        <v>36</v>
      </c>
      <c r="L2974" s="1" t="s">
        <v>21</v>
      </c>
    </row>
    <row r="2975" spans="1:12" x14ac:dyDescent="0.3">
      <c r="A2975" s="1" t="s">
        <v>1613</v>
      </c>
      <c r="B2975" s="2">
        <v>45776</v>
      </c>
      <c r="C2975" s="2">
        <v>45823</v>
      </c>
      <c r="D2975" s="1" t="s">
        <v>32</v>
      </c>
      <c r="E2975" s="1" t="s">
        <v>24</v>
      </c>
      <c r="F2975" s="1" t="s">
        <v>15</v>
      </c>
      <c r="G2975" s="1" t="s">
        <v>53</v>
      </c>
      <c r="H2975" s="1" t="s">
        <v>34</v>
      </c>
      <c r="I2975" s="1" t="s">
        <v>26</v>
      </c>
      <c r="J2975">
        <v>30</v>
      </c>
      <c r="K2975">
        <v>47</v>
      </c>
      <c r="L2975" s="1" t="s">
        <v>44</v>
      </c>
    </row>
    <row r="2976" spans="1:12" x14ac:dyDescent="0.3">
      <c r="A2976" s="1" t="s">
        <v>2521</v>
      </c>
      <c r="B2976" s="2">
        <v>45776</v>
      </c>
      <c r="C2976" s="2">
        <v>45798</v>
      </c>
      <c r="D2976" s="1" t="s">
        <v>32</v>
      </c>
      <c r="E2976" s="1" t="s">
        <v>24</v>
      </c>
      <c r="F2976" s="1" t="s">
        <v>38</v>
      </c>
      <c r="G2976" s="1" t="s">
        <v>16</v>
      </c>
      <c r="H2976" s="1" t="s">
        <v>71</v>
      </c>
      <c r="I2976" s="1" t="s">
        <v>41</v>
      </c>
      <c r="J2976">
        <v>30</v>
      </c>
      <c r="K2976">
        <v>22</v>
      </c>
      <c r="L2976" s="1" t="s">
        <v>19</v>
      </c>
    </row>
    <row r="2977" spans="1:12" x14ac:dyDescent="0.3">
      <c r="A2977" s="1" t="s">
        <v>2898</v>
      </c>
      <c r="B2977" s="2">
        <v>45776</v>
      </c>
      <c r="C2977" s="2">
        <v>45795</v>
      </c>
      <c r="D2977" s="1" t="s">
        <v>13</v>
      </c>
      <c r="E2977" s="1" t="s">
        <v>14</v>
      </c>
      <c r="F2977" s="1" t="s">
        <v>15</v>
      </c>
      <c r="G2977" s="1" t="s">
        <v>33</v>
      </c>
      <c r="H2977" s="1" t="s">
        <v>47</v>
      </c>
      <c r="I2977" s="1" t="s">
        <v>26</v>
      </c>
      <c r="J2977">
        <v>30</v>
      </c>
      <c r="K2977">
        <v>19</v>
      </c>
      <c r="L2977" s="1" t="s">
        <v>19</v>
      </c>
    </row>
    <row r="2978" spans="1:12" x14ac:dyDescent="0.3">
      <c r="A2978" s="1" t="s">
        <v>1630</v>
      </c>
      <c r="B2978" s="2">
        <v>45776</v>
      </c>
      <c r="C2978" s="2">
        <v>45808</v>
      </c>
      <c r="D2978" s="1" t="s">
        <v>37</v>
      </c>
      <c r="E2978" s="1" t="s">
        <v>14</v>
      </c>
      <c r="F2978" s="1" t="s">
        <v>38</v>
      </c>
      <c r="G2978" s="1" t="s">
        <v>53</v>
      </c>
      <c r="H2978" s="1" t="s">
        <v>49</v>
      </c>
      <c r="I2978" s="1" t="s">
        <v>26</v>
      </c>
      <c r="J2978">
        <v>15</v>
      </c>
      <c r="K2978">
        <v>32</v>
      </c>
      <c r="L2978" s="1" t="s">
        <v>21</v>
      </c>
    </row>
    <row r="2979" spans="1:12" x14ac:dyDescent="0.3">
      <c r="A2979" s="1" t="s">
        <v>258</v>
      </c>
      <c r="B2979" s="2">
        <v>45776</v>
      </c>
      <c r="C2979" s="2">
        <v>45786</v>
      </c>
      <c r="D2979" s="1" t="s">
        <v>37</v>
      </c>
      <c r="E2979" s="1" t="s">
        <v>14</v>
      </c>
      <c r="F2979" s="1" t="s">
        <v>15</v>
      </c>
      <c r="G2979" s="1" t="s">
        <v>16</v>
      </c>
      <c r="H2979" s="1" t="s">
        <v>39</v>
      </c>
      <c r="I2979" s="1" t="s">
        <v>41</v>
      </c>
      <c r="J2979">
        <v>30</v>
      </c>
      <c r="K2979">
        <v>10</v>
      </c>
      <c r="L2979" s="1" t="s">
        <v>30</v>
      </c>
    </row>
    <row r="2980" spans="1:12" x14ac:dyDescent="0.3">
      <c r="A2980" s="1" t="s">
        <v>110</v>
      </c>
      <c r="B2980" s="2">
        <v>45775</v>
      </c>
      <c r="C2980" s="2">
        <v>45816</v>
      </c>
      <c r="D2980" s="1" t="s">
        <v>28</v>
      </c>
      <c r="E2980" s="1" t="s">
        <v>24</v>
      </c>
      <c r="F2980" s="1" t="s">
        <v>15</v>
      </c>
      <c r="G2980" s="1" t="s">
        <v>16</v>
      </c>
      <c r="H2980" s="1" t="s">
        <v>54</v>
      </c>
      <c r="I2980" s="1" t="s">
        <v>41</v>
      </c>
      <c r="J2980">
        <v>30</v>
      </c>
      <c r="K2980">
        <v>41</v>
      </c>
      <c r="L2980" s="1" t="s">
        <v>21</v>
      </c>
    </row>
    <row r="2981" spans="1:12" x14ac:dyDescent="0.3">
      <c r="A2981" s="1" t="s">
        <v>1097</v>
      </c>
      <c r="B2981" s="2">
        <v>45775</v>
      </c>
      <c r="C2981" s="2">
        <v>45777</v>
      </c>
      <c r="D2981" s="1" t="s">
        <v>13</v>
      </c>
      <c r="E2981" s="1" t="s">
        <v>24</v>
      </c>
      <c r="F2981" s="1" t="s">
        <v>15</v>
      </c>
      <c r="G2981" s="1" t="s">
        <v>16</v>
      </c>
      <c r="H2981" s="1" t="s">
        <v>17</v>
      </c>
      <c r="I2981" s="1" t="s">
        <v>26</v>
      </c>
      <c r="J2981">
        <v>30</v>
      </c>
      <c r="K2981">
        <v>2</v>
      </c>
      <c r="L2981" s="1" t="s">
        <v>30</v>
      </c>
    </row>
    <row r="2982" spans="1:12" x14ac:dyDescent="0.3">
      <c r="A2982" s="1" t="s">
        <v>1257</v>
      </c>
      <c r="B2982" s="2">
        <v>45775</v>
      </c>
      <c r="C2982" s="2">
        <v>45802</v>
      </c>
      <c r="D2982" s="1" t="s">
        <v>32</v>
      </c>
      <c r="E2982" s="1" t="s">
        <v>14</v>
      </c>
      <c r="F2982" s="1" t="s">
        <v>15</v>
      </c>
      <c r="G2982" s="1" t="s">
        <v>16</v>
      </c>
      <c r="H2982" s="1" t="s">
        <v>34</v>
      </c>
      <c r="I2982" s="1" t="s">
        <v>26</v>
      </c>
      <c r="J2982">
        <v>15</v>
      </c>
      <c r="K2982">
        <v>27</v>
      </c>
      <c r="L2982" s="1" t="s">
        <v>19</v>
      </c>
    </row>
    <row r="2983" spans="1:12" x14ac:dyDescent="0.3">
      <c r="A2983" s="1" t="s">
        <v>2711</v>
      </c>
      <c r="B2983" s="2">
        <v>45775</v>
      </c>
      <c r="C2983" s="2">
        <v>45797</v>
      </c>
      <c r="D2983" s="1" t="s">
        <v>28</v>
      </c>
      <c r="E2983" s="1" t="s">
        <v>14</v>
      </c>
      <c r="F2983" s="1" t="s">
        <v>15</v>
      </c>
      <c r="G2983" s="1" t="s">
        <v>33</v>
      </c>
      <c r="H2983" s="1" t="s">
        <v>54</v>
      </c>
      <c r="I2983" s="1" t="s">
        <v>41</v>
      </c>
      <c r="J2983">
        <v>15</v>
      </c>
      <c r="K2983">
        <v>22</v>
      </c>
      <c r="L2983" s="1" t="s">
        <v>19</v>
      </c>
    </row>
    <row r="2984" spans="1:12" x14ac:dyDescent="0.3">
      <c r="A2984" s="1" t="s">
        <v>1953</v>
      </c>
      <c r="B2984" s="2">
        <v>45775</v>
      </c>
      <c r="C2984" s="2">
        <v>45782</v>
      </c>
      <c r="D2984" s="1" t="s">
        <v>37</v>
      </c>
      <c r="E2984" s="1" t="s">
        <v>24</v>
      </c>
      <c r="F2984" s="1" t="s">
        <v>15</v>
      </c>
      <c r="G2984" s="1" t="s">
        <v>16</v>
      </c>
      <c r="H2984" s="1" t="s">
        <v>39</v>
      </c>
      <c r="I2984" s="1" t="s">
        <v>26</v>
      </c>
      <c r="J2984">
        <v>30</v>
      </c>
      <c r="K2984">
        <v>7</v>
      </c>
      <c r="L2984" s="1" t="s">
        <v>30</v>
      </c>
    </row>
    <row r="2985" spans="1:12" x14ac:dyDescent="0.3">
      <c r="A2985" s="1" t="s">
        <v>701</v>
      </c>
      <c r="B2985" s="2">
        <v>45774</v>
      </c>
      <c r="C2985" s="2">
        <v>45797</v>
      </c>
      <c r="D2985" s="1" t="s">
        <v>13</v>
      </c>
      <c r="E2985" s="1" t="s">
        <v>14</v>
      </c>
      <c r="F2985" s="1" t="s">
        <v>38</v>
      </c>
      <c r="G2985" s="1" t="s">
        <v>16</v>
      </c>
      <c r="H2985" s="1" t="s">
        <v>47</v>
      </c>
      <c r="I2985" s="1" t="s">
        <v>26</v>
      </c>
      <c r="J2985">
        <v>30</v>
      </c>
      <c r="K2985">
        <v>23</v>
      </c>
      <c r="L2985" s="1" t="s">
        <v>19</v>
      </c>
    </row>
    <row r="2986" spans="1:12" x14ac:dyDescent="0.3">
      <c r="A2986" s="1" t="s">
        <v>1064</v>
      </c>
      <c r="B2986" s="2">
        <v>45774</v>
      </c>
      <c r="C2986" s="2">
        <v>45826</v>
      </c>
      <c r="D2986" s="1" t="s">
        <v>23</v>
      </c>
      <c r="E2986" s="1" t="s">
        <v>14</v>
      </c>
      <c r="F2986" s="1" t="s">
        <v>15</v>
      </c>
      <c r="G2986" s="1" t="s">
        <v>16</v>
      </c>
      <c r="H2986" s="1" t="s">
        <v>43</v>
      </c>
      <c r="I2986" s="1" t="s">
        <v>26</v>
      </c>
      <c r="J2986">
        <v>30</v>
      </c>
      <c r="K2986">
        <v>52</v>
      </c>
      <c r="L2986" s="1" t="s">
        <v>44</v>
      </c>
    </row>
    <row r="2987" spans="1:12" x14ac:dyDescent="0.3">
      <c r="A2987" s="1" t="s">
        <v>1295</v>
      </c>
      <c r="B2987" s="2">
        <v>45774</v>
      </c>
      <c r="C2987" s="2">
        <v>45801</v>
      </c>
      <c r="D2987" s="1" t="s">
        <v>13</v>
      </c>
      <c r="E2987" s="1" t="s">
        <v>14</v>
      </c>
      <c r="F2987" s="1" t="s">
        <v>15</v>
      </c>
      <c r="G2987" s="1" t="s">
        <v>16</v>
      </c>
      <c r="H2987" s="1" t="s">
        <v>47</v>
      </c>
      <c r="I2987" s="1" t="s">
        <v>18</v>
      </c>
      <c r="J2987">
        <v>15</v>
      </c>
      <c r="K2987">
        <v>27</v>
      </c>
      <c r="L2987" s="1" t="s">
        <v>19</v>
      </c>
    </row>
    <row r="2988" spans="1:12" x14ac:dyDescent="0.3">
      <c r="A2988" s="1" t="s">
        <v>1995</v>
      </c>
      <c r="B2988" s="2">
        <v>45774</v>
      </c>
      <c r="C2988" s="2">
        <v>45797</v>
      </c>
      <c r="D2988" s="1" t="s">
        <v>28</v>
      </c>
      <c r="E2988" s="1" t="s">
        <v>14</v>
      </c>
      <c r="F2988" s="1" t="s">
        <v>15</v>
      </c>
      <c r="G2988" s="1" t="s">
        <v>16</v>
      </c>
      <c r="H2988" s="1" t="s">
        <v>29</v>
      </c>
      <c r="I2988" s="1" t="s">
        <v>26</v>
      </c>
      <c r="J2988">
        <v>15</v>
      </c>
      <c r="K2988">
        <v>23</v>
      </c>
      <c r="L2988" s="1" t="s">
        <v>19</v>
      </c>
    </row>
    <row r="2989" spans="1:12" x14ac:dyDescent="0.3">
      <c r="A2989" s="1" t="s">
        <v>2067</v>
      </c>
      <c r="B2989" s="2">
        <v>45774</v>
      </c>
      <c r="C2989" s="2">
        <v>45814</v>
      </c>
      <c r="D2989" s="1" t="s">
        <v>32</v>
      </c>
      <c r="E2989" s="1" t="s">
        <v>14</v>
      </c>
      <c r="F2989" s="1" t="s">
        <v>38</v>
      </c>
      <c r="G2989" s="1" t="s">
        <v>16</v>
      </c>
      <c r="H2989" s="1" t="s">
        <v>71</v>
      </c>
      <c r="I2989" s="1" t="s">
        <v>18</v>
      </c>
      <c r="J2989">
        <v>15</v>
      </c>
      <c r="K2989">
        <v>40</v>
      </c>
      <c r="L2989" s="1" t="s">
        <v>21</v>
      </c>
    </row>
    <row r="2990" spans="1:12" x14ac:dyDescent="0.3">
      <c r="A2990" s="1" t="s">
        <v>1876</v>
      </c>
      <c r="B2990" s="2">
        <v>45774</v>
      </c>
      <c r="C2990" s="2">
        <v>45790</v>
      </c>
      <c r="D2990" s="1" t="s">
        <v>37</v>
      </c>
      <c r="E2990" s="1" t="s">
        <v>14</v>
      </c>
      <c r="F2990" s="1" t="s">
        <v>15</v>
      </c>
      <c r="G2990" s="1" t="s">
        <v>16</v>
      </c>
      <c r="H2990" s="1" t="s">
        <v>39</v>
      </c>
      <c r="I2990" s="1" t="s">
        <v>18</v>
      </c>
      <c r="J2990">
        <v>15</v>
      </c>
      <c r="K2990">
        <v>16</v>
      </c>
      <c r="L2990" s="1" t="s">
        <v>19</v>
      </c>
    </row>
    <row r="2991" spans="1:12" x14ac:dyDescent="0.3">
      <c r="A2991" s="1" t="s">
        <v>941</v>
      </c>
      <c r="B2991" s="2">
        <v>45773</v>
      </c>
      <c r="C2991" s="2">
        <v>45775</v>
      </c>
      <c r="D2991" s="1" t="s">
        <v>32</v>
      </c>
      <c r="E2991" s="1" t="s">
        <v>24</v>
      </c>
      <c r="F2991" s="1" t="s">
        <v>15</v>
      </c>
      <c r="G2991" s="1" t="s">
        <v>53</v>
      </c>
      <c r="H2991" s="1" t="s">
        <v>34</v>
      </c>
      <c r="I2991" s="1" t="s">
        <v>18</v>
      </c>
      <c r="J2991">
        <v>45</v>
      </c>
      <c r="K2991">
        <v>2</v>
      </c>
      <c r="L2991" s="1" t="s">
        <v>30</v>
      </c>
    </row>
    <row r="2992" spans="1:12" x14ac:dyDescent="0.3">
      <c r="A2992" s="1" t="s">
        <v>2274</v>
      </c>
      <c r="B2992" s="2">
        <v>45773</v>
      </c>
      <c r="C2992" s="2">
        <v>45835</v>
      </c>
      <c r="D2992" s="1" t="s">
        <v>23</v>
      </c>
      <c r="E2992" s="1" t="s">
        <v>24</v>
      </c>
      <c r="F2992" s="1" t="s">
        <v>15</v>
      </c>
      <c r="G2992" s="1" t="s">
        <v>16</v>
      </c>
      <c r="H2992" s="1" t="s">
        <v>43</v>
      </c>
      <c r="I2992" s="1" t="s">
        <v>41</v>
      </c>
      <c r="J2992">
        <v>30</v>
      </c>
      <c r="K2992">
        <v>62</v>
      </c>
      <c r="L2992" s="1" t="s">
        <v>80</v>
      </c>
    </row>
    <row r="2993" spans="1:12" x14ac:dyDescent="0.3">
      <c r="A2993" s="1" t="s">
        <v>2747</v>
      </c>
      <c r="B2993" s="2">
        <v>45773</v>
      </c>
      <c r="C2993" s="2">
        <v>45795</v>
      </c>
      <c r="D2993" s="1" t="s">
        <v>23</v>
      </c>
      <c r="E2993" s="1" t="s">
        <v>24</v>
      </c>
      <c r="F2993" s="1" t="s">
        <v>15</v>
      </c>
      <c r="G2993" s="1" t="s">
        <v>33</v>
      </c>
      <c r="H2993" s="1" t="s">
        <v>25</v>
      </c>
      <c r="I2993" s="1" t="s">
        <v>41</v>
      </c>
      <c r="J2993">
        <v>30</v>
      </c>
      <c r="K2993">
        <v>22</v>
      </c>
      <c r="L2993" s="1" t="s">
        <v>19</v>
      </c>
    </row>
    <row r="2994" spans="1:12" x14ac:dyDescent="0.3">
      <c r="A2994" s="1" t="s">
        <v>2633</v>
      </c>
      <c r="B2994" s="2">
        <v>45773</v>
      </c>
      <c r="C2994" s="2">
        <v>45800</v>
      </c>
      <c r="D2994" s="1" t="s">
        <v>37</v>
      </c>
      <c r="E2994" s="1" t="s">
        <v>24</v>
      </c>
      <c r="F2994" s="1" t="s">
        <v>15</v>
      </c>
      <c r="G2994" s="1" t="s">
        <v>16</v>
      </c>
      <c r="H2994" s="1" t="s">
        <v>39</v>
      </c>
      <c r="I2994" s="1" t="s">
        <v>26</v>
      </c>
      <c r="J2994">
        <v>45</v>
      </c>
      <c r="K2994">
        <v>27</v>
      </c>
      <c r="L2994" s="1" t="s">
        <v>19</v>
      </c>
    </row>
    <row r="2995" spans="1:12" x14ac:dyDescent="0.3">
      <c r="A2995" s="1" t="s">
        <v>2837</v>
      </c>
      <c r="B2995" s="2">
        <v>45773</v>
      </c>
      <c r="C2995" s="2">
        <v>45789</v>
      </c>
      <c r="D2995" s="1" t="s">
        <v>37</v>
      </c>
      <c r="E2995" s="1" t="s">
        <v>14</v>
      </c>
      <c r="F2995" s="1" t="s">
        <v>15</v>
      </c>
      <c r="G2995" s="1" t="s">
        <v>16</v>
      </c>
      <c r="H2995" s="1" t="s">
        <v>39</v>
      </c>
      <c r="I2995" s="1" t="s">
        <v>18</v>
      </c>
      <c r="J2995">
        <v>30</v>
      </c>
      <c r="K2995">
        <v>16</v>
      </c>
      <c r="L2995" s="1" t="s">
        <v>19</v>
      </c>
    </row>
    <row r="2996" spans="1:12" x14ac:dyDescent="0.3">
      <c r="A2996" s="1" t="s">
        <v>3112</v>
      </c>
      <c r="B2996" s="2">
        <v>45773</v>
      </c>
      <c r="C2996" s="2">
        <v>45789</v>
      </c>
      <c r="D2996" s="1" t="s">
        <v>28</v>
      </c>
      <c r="E2996" s="1" t="s">
        <v>24</v>
      </c>
      <c r="F2996" s="1" t="s">
        <v>38</v>
      </c>
      <c r="G2996" s="1" t="s">
        <v>16</v>
      </c>
      <c r="H2996" s="1" t="s">
        <v>29</v>
      </c>
      <c r="I2996" s="1" t="s">
        <v>41</v>
      </c>
      <c r="J2996">
        <v>45</v>
      </c>
      <c r="K2996">
        <v>16</v>
      </c>
      <c r="L2996" s="1" t="s">
        <v>19</v>
      </c>
    </row>
    <row r="2997" spans="1:12" x14ac:dyDescent="0.3">
      <c r="A2997" s="1" t="s">
        <v>3197</v>
      </c>
      <c r="B2997" s="2">
        <v>45773</v>
      </c>
      <c r="C2997" s="2">
        <v>45797</v>
      </c>
      <c r="D2997" s="1" t="s">
        <v>28</v>
      </c>
      <c r="E2997" s="1" t="s">
        <v>24</v>
      </c>
      <c r="F2997" s="1" t="s">
        <v>15</v>
      </c>
      <c r="G2997" s="1" t="s">
        <v>16</v>
      </c>
      <c r="H2997" s="1" t="s">
        <v>29</v>
      </c>
      <c r="I2997" s="1" t="s">
        <v>41</v>
      </c>
      <c r="J2997">
        <v>30</v>
      </c>
      <c r="K2997">
        <v>24</v>
      </c>
      <c r="L2997" s="1" t="s">
        <v>19</v>
      </c>
    </row>
    <row r="2998" spans="1:12" x14ac:dyDescent="0.3">
      <c r="A2998" s="1" t="s">
        <v>86</v>
      </c>
      <c r="B2998" s="2">
        <v>45772</v>
      </c>
      <c r="C2998" s="2">
        <v>45801</v>
      </c>
      <c r="D2998" s="1" t="s">
        <v>13</v>
      </c>
      <c r="E2998" s="1" t="s">
        <v>14</v>
      </c>
      <c r="F2998" s="1" t="s">
        <v>15</v>
      </c>
      <c r="G2998" s="1" t="s">
        <v>16</v>
      </c>
      <c r="H2998" s="1" t="s">
        <v>47</v>
      </c>
      <c r="I2998" s="1" t="s">
        <v>18</v>
      </c>
      <c r="J2998">
        <v>15</v>
      </c>
      <c r="K2998">
        <v>29</v>
      </c>
      <c r="L2998" s="1" t="s">
        <v>21</v>
      </c>
    </row>
    <row r="2999" spans="1:12" x14ac:dyDescent="0.3">
      <c r="A2999" s="1" t="s">
        <v>429</v>
      </c>
      <c r="B2999" s="2">
        <v>45772</v>
      </c>
      <c r="C2999" s="2">
        <v>45793</v>
      </c>
      <c r="D2999" s="1" t="s">
        <v>13</v>
      </c>
      <c r="E2999" s="1" t="s">
        <v>14</v>
      </c>
      <c r="F2999" s="1" t="s">
        <v>15</v>
      </c>
      <c r="G2999" s="1" t="s">
        <v>16</v>
      </c>
      <c r="H2999" s="1" t="s">
        <v>17</v>
      </c>
      <c r="I2999" s="1" t="s">
        <v>26</v>
      </c>
      <c r="J2999">
        <v>15</v>
      </c>
      <c r="K2999">
        <v>21</v>
      </c>
      <c r="L2999" s="1" t="s">
        <v>19</v>
      </c>
    </row>
    <row r="3000" spans="1:12" x14ac:dyDescent="0.3">
      <c r="A3000" s="1" t="s">
        <v>560</v>
      </c>
      <c r="B3000" s="2">
        <v>45772</v>
      </c>
      <c r="C3000" s="2">
        <v>45807</v>
      </c>
      <c r="D3000" s="1" t="s">
        <v>28</v>
      </c>
      <c r="E3000" s="1" t="s">
        <v>14</v>
      </c>
      <c r="F3000" s="1" t="s">
        <v>15</v>
      </c>
      <c r="G3000" s="1" t="s">
        <v>33</v>
      </c>
      <c r="H3000" s="1" t="s">
        <v>54</v>
      </c>
      <c r="I3000" s="1" t="s">
        <v>26</v>
      </c>
      <c r="J3000">
        <v>15</v>
      </c>
      <c r="K3000">
        <v>35</v>
      </c>
      <c r="L3000" s="1" t="s">
        <v>21</v>
      </c>
    </row>
    <row r="3001" spans="1:12" x14ac:dyDescent="0.3">
      <c r="A3001" s="1" t="s">
        <v>1077</v>
      </c>
      <c r="B3001" s="2">
        <v>45772</v>
      </c>
      <c r="C3001" s="2">
        <v>45778</v>
      </c>
      <c r="D3001" s="1" t="s">
        <v>28</v>
      </c>
      <c r="E3001" s="1" t="s">
        <v>14</v>
      </c>
      <c r="F3001" s="1" t="s">
        <v>15</v>
      </c>
      <c r="G3001" s="1" t="s">
        <v>53</v>
      </c>
      <c r="H3001" s="1" t="s">
        <v>54</v>
      </c>
      <c r="I3001" s="1" t="s">
        <v>26</v>
      </c>
      <c r="J3001">
        <v>15</v>
      </c>
      <c r="K3001">
        <v>6</v>
      </c>
      <c r="L3001" s="1" t="s">
        <v>30</v>
      </c>
    </row>
    <row r="3002" spans="1:12" x14ac:dyDescent="0.3">
      <c r="A3002" s="1" t="s">
        <v>1404</v>
      </c>
      <c r="B3002" s="2">
        <v>45772</v>
      </c>
      <c r="C3002" s="2">
        <v>45811</v>
      </c>
      <c r="D3002" s="1" t="s">
        <v>28</v>
      </c>
      <c r="E3002" s="1" t="s">
        <v>24</v>
      </c>
      <c r="F3002" s="1" t="s">
        <v>15</v>
      </c>
      <c r="G3002" s="1" t="s">
        <v>16</v>
      </c>
      <c r="H3002" s="1" t="s">
        <v>54</v>
      </c>
      <c r="I3002" s="1" t="s">
        <v>18</v>
      </c>
      <c r="J3002">
        <v>30</v>
      </c>
      <c r="K3002">
        <v>39</v>
      </c>
      <c r="L3002" s="1" t="s">
        <v>21</v>
      </c>
    </row>
    <row r="3003" spans="1:12" x14ac:dyDescent="0.3">
      <c r="A3003" s="1" t="s">
        <v>1811</v>
      </c>
      <c r="B3003" s="2">
        <v>45772</v>
      </c>
      <c r="C3003" s="2">
        <v>45794</v>
      </c>
      <c r="D3003" s="1" t="s">
        <v>23</v>
      </c>
      <c r="E3003" s="1" t="s">
        <v>14</v>
      </c>
      <c r="F3003" s="1" t="s">
        <v>15</v>
      </c>
      <c r="G3003" s="1" t="s">
        <v>16</v>
      </c>
      <c r="H3003" s="1" t="s">
        <v>43</v>
      </c>
      <c r="I3003" s="1" t="s">
        <v>26</v>
      </c>
      <c r="J3003">
        <v>15</v>
      </c>
      <c r="K3003">
        <v>22</v>
      </c>
      <c r="L3003" s="1" t="s">
        <v>19</v>
      </c>
    </row>
    <row r="3004" spans="1:12" x14ac:dyDescent="0.3">
      <c r="A3004" s="1" t="s">
        <v>2354</v>
      </c>
      <c r="B3004" s="2">
        <v>45772</v>
      </c>
      <c r="C3004" s="2">
        <v>45788</v>
      </c>
      <c r="D3004" s="1" t="s">
        <v>32</v>
      </c>
      <c r="E3004" s="1" t="s">
        <v>24</v>
      </c>
      <c r="F3004" s="1" t="s">
        <v>15</v>
      </c>
      <c r="G3004" s="1" t="s">
        <v>16</v>
      </c>
      <c r="H3004" s="1" t="s">
        <v>71</v>
      </c>
      <c r="I3004" s="1" t="s">
        <v>18</v>
      </c>
      <c r="J3004">
        <v>45</v>
      </c>
      <c r="K3004">
        <v>16</v>
      </c>
      <c r="L3004" s="1" t="s">
        <v>19</v>
      </c>
    </row>
    <row r="3005" spans="1:12" x14ac:dyDescent="0.3">
      <c r="A3005" s="1" t="s">
        <v>2753</v>
      </c>
      <c r="B3005" s="2">
        <v>45772</v>
      </c>
      <c r="C3005" s="2">
        <v>45784</v>
      </c>
      <c r="D3005" s="1" t="s">
        <v>32</v>
      </c>
      <c r="E3005" s="1" t="s">
        <v>24</v>
      </c>
      <c r="F3005" s="1" t="s">
        <v>38</v>
      </c>
      <c r="G3005" s="1" t="s">
        <v>16</v>
      </c>
      <c r="H3005" s="1" t="s">
        <v>34</v>
      </c>
      <c r="I3005" s="1" t="s">
        <v>18</v>
      </c>
      <c r="J3005">
        <v>45</v>
      </c>
      <c r="K3005">
        <v>12</v>
      </c>
      <c r="L3005" s="1" t="s">
        <v>30</v>
      </c>
    </row>
    <row r="3006" spans="1:12" x14ac:dyDescent="0.3">
      <c r="A3006" s="1" t="s">
        <v>3006</v>
      </c>
      <c r="B3006" s="2">
        <v>45772</v>
      </c>
      <c r="C3006" s="2">
        <v>45808</v>
      </c>
      <c r="D3006" s="1" t="s">
        <v>13</v>
      </c>
      <c r="E3006" s="1" t="s">
        <v>24</v>
      </c>
      <c r="F3006" s="1" t="s">
        <v>15</v>
      </c>
      <c r="G3006" s="1" t="s">
        <v>16</v>
      </c>
      <c r="H3006" s="1" t="s">
        <v>47</v>
      </c>
      <c r="I3006" s="1" t="s">
        <v>18</v>
      </c>
      <c r="J3006">
        <v>30</v>
      </c>
      <c r="K3006">
        <v>36</v>
      </c>
      <c r="L3006" s="1" t="s">
        <v>21</v>
      </c>
    </row>
    <row r="3007" spans="1:12" x14ac:dyDescent="0.3">
      <c r="A3007" s="1" t="s">
        <v>2482</v>
      </c>
      <c r="B3007" s="2">
        <v>45772</v>
      </c>
      <c r="C3007" s="2">
        <v>45784</v>
      </c>
      <c r="D3007" s="1" t="s">
        <v>37</v>
      </c>
      <c r="E3007" s="1" t="s">
        <v>14</v>
      </c>
      <c r="F3007" s="1" t="s">
        <v>15</v>
      </c>
      <c r="G3007" s="1" t="s">
        <v>16</v>
      </c>
      <c r="H3007" s="1" t="s">
        <v>49</v>
      </c>
      <c r="I3007" s="1" t="s">
        <v>26</v>
      </c>
      <c r="J3007">
        <v>30</v>
      </c>
      <c r="K3007">
        <v>12</v>
      </c>
      <c r="L3007" s="1" t="s">
        <v>30</v>
      </c>
    </row>
    <row r="3008" spans="1:12" x14ac:dyDescent="0.3">
      <c r="A3008" s="1" t="s">
        <v>320</v>
      </c>
      <c r="B3008" s="2">
        <v>45771</v>
      </c>
      <c r="C3008" s="2">
        <v>45832</v>
      </c>
      <c r="D3008" s="1" t="s">
        <v>13</v>
      </c>
      <c r="E3008" s="1" t="s">
        <v>14</v>
      </c>
      <c r="F3008" s="1" t="s">
        <v>15</v>
      </c>
      <c r="G3008" s="1" t="s">
        <v>16</v>
      </c>
      <c r="H3008" s="1" t="s">
        <v>47</v>
      </c>
      <c r="I3008" s="1" t="s">
        <v>26</v>
      </c>
      <c r="J3008">
        <v>15</v>
      </c>
      <c r="K3008">
        <v>61</v>
      </c>
      <c r="L3008" s="1" t="s">
        <v>80</v>
      </c>
    </row>
    <row r="3009" spans="1:12" x14ac:dyDescent="0.3">
      <c r="A3009" s="1" t="s">
        <v>1498</v>
      </c>
      <c r="B3009" s="2">
        <v>45771</v>
      </c>
      <c r="C3009" s="2">
        <v>45795</v>
      </c>
      <c r="D3009" s="1" t="s">
        <v>28</v>
      </c>
      <c r="E3009" s="1" t="s">
        <v>14</v>
      </c>
      <c r="F3009" s="1" t="s">
        <v>38</v>
      </c>
      <c r="G3009" s="1" t="s">
        <v>53</v>
      </c>
      <c r="H3009" s="1" t="s">
        <v>29</v>
      </c>
      <c r="I3009" s="1" t="s">
        <v>41</v>
      </c>
      <c r="J3009">
        <v>15</v>
      </c>
      <c r="K3009">
        <v>24</v>
      </c>
      <c r="L3009" s="1" t="s">
        <v>19</v>
      </c>
    </row>
    <row r="3010" spans="1:12" x14ac:dyDescent="0.3">
      <c r="A3010" s="1" t="s">
        <v>2373</v>
      </c>
      <c r="B3010" s="2">
        <v>45771</v>
      </c>
      <c r="C3010" s="2">
        <v>45784</v>
      </c>
      <c r="D3010" s="1" t="s">
        <v>23</v>
      </c>
      <c r="E3010" s="1" t="s">
        <v>14</v>
      </c>
      <c r="F3010" s="1" t="s">
        <v>15</v>
      </c>
      <c r="G3010" s="1" t="s">
        <v>16</v>
      </c>
      <c r="H3010" s="1" t="s">
        <v>25</v>
      </c>
      <c r="I3010" s="1" t="s">
        <v>26</v>
      </c>
      <c r="J3010">
        <v>15</v>
      </c>
      <c r="K3010">
        <v>13</v>
      </c>
      <c r="L3010" s="1" t="s">
        <v>30</v>
      </c>
    </row>
    <row r="3011" spans="1:12" x14ac:dyDescent="0.3">
      <c r="A3011" s="1" t="s">
        <v>2930</v>
      </c>
      <c r="B3011" s="2">
        <v>45771</v>
      </c>
      <c r="C3011" s="2">
        <v>45806</v>
      </c>
      <c r="D3011" s="1" t="s">
        <v>23</v>
      </c>
      <c r="E3011" s="1" t="s">
        <v>24</v>
      </c>
      <c r="F3011" s="1" t="s">
        <v>15</v>
      </c>
      <c r="G3011" s="1" t="s">
        <v>16</v>
      </c>
      <c r="H3011" s="1" t="s">
        <v>25</v>
      </c>
      <c r="I3011" s="1" t="s">
        <v>26</v>
      </c>
      <c r="J3011">
        <v>30</v>
      </c>
      <c r="K3011">
        <v>35</v>
      </c>
      <c r="L3011" s="1" t="s">
        <v>21</v>
      </c>
    </row>
    <row r="3012" spans="1:12" x14ac:dyDescent="0.3">
      <c r="A3012" s="1" t="s">
        <v>2171</v>
      </c>
      <c r="B3012" s="2">
        <v>45771</v>
      </c>
      <c r="C3012" s="2">
        <v>45853</v>
      </c>
      <c r="D3012" s="1" t="s">
        <v>37</v>
      </c>
      <c r="E3012" s="1" t="s">
        <v>14</v>
      </c>
      <c r="F3012" s="1" t="s">
        <v>15</v>
      </c>
      <c r="G3012" s="1" t="s">
        <v>53</v>
      </c>
      <c r="H3012" s="1" t="s">
        <v>49</v>
      </c>
      <c r="I3012" s="1" t="s">
        <v>18</v>
      </c>
      <c r="J3012">
        <v>30</v>
      </c>
      <c r="K3012">
        <v>82</v>
      </c>
      <c r="L3012" s="1" t="s">
        <v>80</v>
      </c>
    </row>
    <row r="3013" spans="1:12" x14ac:dyDescent="0.3">
      <c r="A3013" s="1" t="s">
        <v>76</v>
      </c>
      <c r="B3013" s="2">
        <v>45771</v>
      </c>
      <c r="C3013" s="2">
        <v>45814</v>
      </c>
      <c r="D3013" s="1" t="s">
        <v>37</v>
      </c>
      <c r="E3013" s="1" t="s">
        <v>14</v>
      </c>
      <c r="F3013" s="1" t="s">
        <v>15</v>
      </c>
      <c r="G3013" s="1" t="s">
        <v>16</v>
      </c>
      <c r="H3013" s="1" t="s">
        <v>49</v>
      </c>
      <c r="I3013" s="1" t="s">
        <v>18</v>
      </c>
      <c r="J3013">
        <v>30</v>
      </c>
      <c r="K3013">
        <v>43</v>
      </c>
      <c r="L3013" s="1" t="s">
        <v>44</v>
      </c>
    </row>
    <row r="3014" spans="1:12" x14ac:dyDescent="0.3">
      <c r="A3014" s="1" t="s">
        <v>1453</v>
      </c>
      <c r="B3014" s="2">
        <v>45770</v>
      </c>
      <c r="C3014" s="2">
        <v>45823</v>
      </c>
      <c r="D3014" s="1" t="s">
        <v>13</v>
      </c>
      <c r="E3014" s="1" t="s">
        <v>14</v>
      </c>
      <c r="F3014" s="1" t="s">
        <v>15</v>
      </c>
      <c r="G3014" s="1" t="s">
        <v>53</v>
      </c>
      <c r="H3014" s="1" t="s">
        <v>47</v>
      </c>
      <c r="I3014" s="1" t="s">
        <v>18</v>
      </c>
      <c r="J3014">
        <v>15</v>
      </c>
      <c r="K3014">
        <v>53</v>
      </c>
      <c r="L3014" s="1" t="s">
        <v>44</v>
      </c>
    </row>
    <row r="3015" spans="1:12" x14ac:dyDescent="0.3">
      <c r="A3015" s="1" t="s">
        <v>1512</v>
      </c>
      <c r="B3015" s="2">
        <v>45770</v>
      </c>
      <c r="C3015" s="2">
        <v>45809</v>
      </c>
      <c r="D3015" s="1" t="s">
        <v>32</v>
      </c>
      <c r="E3015" s="1" t="s">
        <v>14</v>
      </c>
      <c r="F3015" s="1" t="s">
        <v>15</v>
      </c>
      <c r="G3015" s="1" t="s">
        <v>16</v>
      </c>
      <c r="H3015" s="1" t="s">
        <v>71</v>
      </c>
      <c r="I3015" s="1" t="s">
        <v>26</v>
      </c>
      <c r="J3015">
        <v>15</v>
      </c>
      <c r="K3015">
        <v>39</v>
      </c>
      <c r="L3015" s="1" t="s">
        <v>21</v>
      </c>
    </row>
    <row r="3016" spans="1:12" x14ac:dyDescent="0.3">
      <c r="A3016" s="1" t="s">
        <v>2044</v>
      </c>
      <c r="B3016" s="2">
        <v>45770</v>
      </c>
      <c r="C3016" s="2">
        <v>45807</v>
      </c>
      <c r="D3016" s="1" t="s">
        <v>23</v>
      </c>
      <c r="E3016" s="1" t="s">
        <v>14</v>
      </c>
      <c r="F3016" s="1" t="s">
        <v>15</v>
      </c>
      <c r="G3016" s="1" t="s">
        <v>16</v>
      </c>
      <c r="H3016" s="1" t="s">
        <v>43</v>
      </c>
      <c r="I3016" s="1" t="s">
        <v>41</v>
      </c>
      <c r="J3016">
        <v>15</v>
      </c>
      <c r="K3016">
        <v>37</v>
      </c>
      <c r="L3016" s="1" t="s">
        <v>21</v>
      </c>
    </row>
    <row r="3017" spans="1:12" x14ac:dyDescent="0.3">
      <c r="A3017" s="1" t="s">
        <v>2415</v>
      </c>
      <c r="B3017" s="2">
        <v>45770</v>
      </c>
      <c r="C3017" s="2">
        <v>45811</v>
      </c>
      <c r="D3017" s="1" t="s">
        <v>28</v>
      </c>
      <c r="E3017" s="1" t="s">
        <v>14</v>
      </c>
      <c r="F3017" s="1" t="s">
        <v>15</v>
      </c>
      <c r="G3017" s="1" t="s">
        <v>16</v>
      </c>
      <c r="H3017" s="1" t="s">
        <v>54</v>
      </c>
      <c r="I3017" s="1" t="s">
        <v>41</v>
      </c>
      <c r="J3017">
        <v>15</v>
      </c>
      <c r="K3017">
        <v>41</v>
      </c>
      <c r="L3017" s="1" t="s">
        <v>21</v>
      </c>
    </row>
    <row r="3018" spans="1:12" x14ac:dyDescent="0.3">
      <c r="A3018" s="1" t="s">
        <v>2567</v>
      </c>
      <c r="B3018" s="2">
        <v>45770</v>
      </c>
      <c r="C3018" s="2">
        <v>45823</v>
      </c>
      <c r="D3018" s="1" t="s">
        <v>13</v>
      </c>
      <c r="E3018" s="1" t="s">
        <v>14</v>
      </c>
      <c r="F3018" s="1" t="s">
        <v>15</v>
      </c>
      <c r="G3018" s="1" t="s">
        <v>16</v>
      </c>
      <c r="H3018" s="1" t="s">
        <v>47</v>
      </c>
      <c r="I3018" s="1" t="s">
        <v>41</v>
      </c>
      <c r="J3018">
        <v>15</v>
      </c>
      <c r="K3018">
        <v>53</v>
      </c>
      <c r="L3018" s="1" t="s">
        <v>44</v>
      </c>
    </row>
    <row r="3019" spans="1:12" x14ac:dyDescent="0.3">
      <c r="A3019" s="1" t="s">
        <v>2846</v>
      </c>
      <c r="B3019" s="2">
        <v>45770</v>
      </c>
      <c r="C3019" s="2">
        <v>45794</v>
      </c>
      <c r="D3019" s="1" t="s">
        <v>32</v>
      </c>
      <c r="E3019" s="1" t="s">
        <v>14</v>
      </c>
      <c r="F3019" s="1" t="s">
        <v>15</v>
      </c>
      <c r="G3019" s="1" t="s">
        <v>53</v>
      </c>
      <c r="H3019" s="1" t="s">
        <v>34</v>
      </c>
      <c r="I3019" s="1" t="s">
        <v>26</v>
      </c>
      <c r="J3019">
        <v>30</v>
      </c>
      <c r="K3019">
        <v>24</v>
      </c>
      <c r="L3019" s="1" t="s">
        <v>19</v>
      </c>
    </row>
    <row r="3020" spans="1:12" x14ac:dyDescent="0.3">
      <c r="A3020" s="1" t="s">
        <v>661</v>
      </c>
      <c r="B3020" s="2">
        <v>45770</v>
      </c>
      <c r="C3020" s="2">
        <v>45815</v>
      </c>
      <c r="D3020" s="1" t="s">
        <v>37</v>
      </c>
      <c r="E3020" s="1" t="s">
        <v>24</v>
      </c>
      <c r="F3020" s="1" t="s">
        <v>15</v>
      </c>
      <c r="G3020" s="1" t="s">
        <v>16</v>
      </c>
      <c r="H3020" s="1" t="s">
        <v>49</v>
      </c>
      <c r="I3020" s="1" t="s">
        <v>18</v>
      </c>
      <c r="J3020">
        <v>45</v>
      </c>
      <c r="K3020">
        <v>45</v>
      </c>
      <c r="L3020" s="1" t="s">
        <v>44</v>
      </c>
    </row>
    <row r="3021" spans="1:12" x14ac:dyDescent="0.3">
      <c r="A3021" s="1" t="s">
        <v>1931</v>
      </c>
      <c r="B3021" s="2">
        <v>45770</v>
      </c>
      <c r="C3021" s="2">
        <v>45795</v>
      </c>
      <c r="D3021" s="1" t="s">
        <v>37</v>
      </c>
      <c r="E3021" s="1" t="s">
        <v>24</v>
      </c>
      <c r="F3021" s="1" t="s">
        <v>15</v>
      </c>
      <c r="G3021" s="1" t="s">
        <v>16</v>
      </c>
      <c r="H3021" s="1" t="s">
        <v>39</v>
      </c>
      <c r="I3021" s="1" t="s">
        <v>26</v>
      </c>
      <c r="J3021">
        <v>30</v>
      </c>
      <c r="K3021">
        <v>25</v>
      </c>
      <c r="L3021" s="1" t="s">
        <v>19</v>
      </c>
    </row>
    <row r="3022" spans="1:12" x14ac:dyDescent="0.3">
      <c r="A3022" s="1" t="s">
        <v>191</v>
      </c>
      <c r="B3022" s="2">
        <v>45769</v>
      </c>
      <c r="C3022" s="2">
        <v>45801</v>
      </c>
      <c r="D3022" s="1" t="s">
        <v>13</v>
      </c>
      <c r="E3022" s="1" t="s">
        <v>24</v>
      </c>
      <c r="F3022" s="1" t="s">
        <v>15</v>
      </c>
      <c r="G3022" s="1" t="s">
        <v>16</v>
      </c>
      <c r="H3022" s="1" t="s">
        <v>17</v>
      </c>
      <c r="I3022" s="1" t="s">
        <v>18</v>
      </c>
      <c r="J3022">
        <v>30</v>
      </c>
      <c r="K3022">
        <v>32</v>
      </c>
      <c r="L3022" s="1" t="s">
        <v>21</v>
      </c>
    </row>
    <row r="3023" spans="1:12" x14ac:dyDescent="0.3">
      <c r="A3023" s="1" t="s">
        <v>1178</v>
      </c>
      <c r="B3023" s="2">
        <v>45769</v>
      </c>
      <c r="C3023" s="2">
        <v>45821</v>
      </c>
      <c r="D3023" s="1" t="s">
        <v>32</v>
      </c>
      <c r="E3023" s="1" t="s">
        <v>24</v>
      </c>
      <c r="F3023" s="1" t="s">
        <v>38</v>
      </c>
      <c r="G3023" s="1" t="s">
        <v>16</v>
      </c>
      <c r="H3023" s="1" t="s">
        <v>71</v>
      </c>
      <c r="I3023" s="1" t="s">
        <v>41</v>
      </c>
      <c r="J3023">
        <v>45</v>
      </c>
      <c r="K3023">
        <v>52</v>
      </c>
      <c r="L3023" s="1" t="s">
        <v>44</v>
      </c>
    </row>
    <row r="3024" spans="1:12" x14ac:dyDescent="0.3">
      <c r="A3024" s="1" t="s">
        <v>1393</v>
      </c>
      <c r="B3024" s="2">
        <v>45769</v>
      </c>
      <c r="C3024" s="2">
        <v>45795</v>
      </c>
      <c r="D3024" s="1" t="s">
        <v>28</v>
      </c>
      <c r="E3024" s="1" t="s">
        <v>14</v>
      </c>
      <c r="F3024" s="1" t="s">
        <v>15</v>
      </c>
      <c r="G3024" s="1" t="s">
        <v>16</v>
      </c>
      <c r="H3024" s="1" t="s">
        <v>29</v>
      </c>
      <c r="I3024" s="1" t="s">
        <v>18</v>
      </c>
      <c r="J3024">
        <v>15</v>
      </c>
      <c r="K3024">
        <v>26</v>
      </c>
      <c r="L3024" s="1" t="s">
        <v>19</v>
      </c>
    </row>
    <row r="3025" spans="1:12" x14ac:dyDescent="0.3">
      <c r="A3025" s="1" t="s">
        <v>2502</v>
      </c>
      <c r="B3025" s="2">
        <v>45769</v>
      </c>
      <c r="C3025" s="2">
        <v>45804</v>
      </c>
      <c r="D3025" s="1" t="s">
        <v>28</v>
      </c>
      <c r="E3025" s="1" t="s">
        <v>14</v>
      </c>
      <c r="F3025" s="1" t="s">
        <v>15</v>
      </c>
      <c r="G3025" s="1" t="s">
        <v>16</v>
      </c>
      <c r="H3025" s="1" t="s">
        <v>54</v>
      </c>
      <c r="I3025" s="1" t="s">
        <v>26</v>
      </c>
      <c r="J3025">
        <v>15</v>
      </c>
      <c r="K3025">
        <v>35</v>
      </c>
      <c r="L3025" s="1" t="s">
        <v>21</v>
      </c>
    </row>
    <row r="3026" spans="1:12" x14ac:dyDescent="0.3">
      <c r="A3026" s="1" t="s">
        <v>2699</v>
      </c>
      <c r="B3026" s="2">
        <v>45769</v>
      </c>
      <c r="C3026" s="2">
        <v>45825</v>
      </c>
      <c r="D3026" s="1" t="s">
        <v>13</v>
      </c>
      <c r="E3026" s="1" t="s">
        <v>24</v>
      </c>
      <c r="F3026" s="1" t="s">
        <v>15</v>
      </c>
      <c r="G3026" s="1" t="s">
        <v>16</v>
      </c>
      <c r="H3026" s="1" t="s">
        <v>17</v>
      </c>
      <c r="I3026" s="1" t="s">
        <v>26</v>
      </c>
      <c r="J3026">
        <v>45</v>
      </c>
      <c r="K3026">
        <v>56</v>
      </c>
      <c r="L3026" s="1" t="s">
        <v>44</v>
      </c>
    </row>
    <row r="3027" spans="1:12" x14ac:dyDescent="0.3">
      <c r="A3027" s="1" t="s">
        <v>2830</v>
      </c>
      <c r="B3027" s="2">
        <v>45769</v>
      </c>
      <c r="C3027" s="2">
        <v>45771</v>
      </c>
      <c r="D3027" s="1" t="s">
        <v>28</v>
      </c>
      <c r="E3027" s="1" t="s">
        <v>24</v>
      </c>
      <c r="F3027" s="1" t="s">
        <v>15</v>
      </c>
      <c r="G3027" s="1" t="s">
        <v>16</v>
      </c>
      <c r="H3027" s="1" t="s">
        <v>29</v>
      </c>
      <c r="I3027" s="1" t="s">
        <v>26</v>
      </c>
      <c r="J3027">
        <v>45</v>
      </c>
      <c r="K3027">
        <v>2</v>
      </c>
      <c r="L3027" s="1" t="s">
        <v>30</v>
      </c>
    </row>
    <row r="3028" spans="1:12" x14ac:dyDescent="0.3">
      <c r="A3028" s="1" t="s">
        <v>3024</v>
      </c>
      <c r="B3028" s="2">
        <v>45769</v>
      </c>
      <c r="C3028" s="2">
        <v>45808</v>
      </c>
      <c r="D3028" s="1" t="s">
        <v>32</v>
      </c>
      <c r="E3028" s="1" t="s">
        <v>24</v>
      </c>
      <c r="F3028" s="1" t="s">
        <v>38</v>
      </c>
      <c r="G3028" s="1" t="s">
        <v>16</v>
      </c>
      <c r="H3028" s="1" t="s">
        <v>71</v>
      </c>
      <c r="I3028" s="1" t="s">
        <v>26</v>
      </c>
      <c r="J3028">
        <v>45</v>
      </c>
      <c r="K3028">
        <v>39</v>
      </c>
      <c r="L3028" s="1" t="s">
        <v>21</v>
      </c>
    </row>
    <row r="3029" spans="1:12" x14ac:dyDescent="0.3">
      <c r="A3029" s="1" t="s">
        <v>1657</v>
      </c>
      <c r="B3029" s="2">
        <v>45769</v>
      </c>
      <c r="C3029" s="2">
        <v>45817</v>
      </c>
      <c r="D3029" s="1" t="s">
        <v>37</v>
      </c>
      <c r="E3029" s="1" t="s">
        <v>14</v>
      </c>
      <c r="F3029" s="1" t="s">
        <v>15</v>
      </c>
      <c r="G3029" s="1" t="s">
        <v>16</v>
      </c>
      <c r="H3029" s="1" t="s">
        <v>39</v>
      </c>
      <c r="I3029" s="1" t="s">
        <v>26</v>
      </c>
      <c r="J3029">
        <v>15</v>
      </c>
      <c r="K3029">
        <v>48</v>
      </c>
      <c r="L3029" s="1" t="s">
        <v>44</v>
      </c>
    </row>
    <row r="3030" spans="1:12" x14ac:dyDescent="0.3">
      <c r="A3030" s="1" t="s">
        <v>3155</v>
      </c>
      <c r="B3030" s="2">
        <v>45769</v>
      </c>
      <c r="C3030" s="2">
        <v>45814</v>
      </c>
      <c r="D3030" s="1" t="s">
        <v>28</v>
      </c>
      <c r="E3030" s="1" t="s">
        <v>24</v>
      </c>
      <c r="F3030" s="1" t="s">
        <v>15</v>
      </c>
      <c r="G3030" s="1" t="s">
        <v>16</v>
      </c>
      <c r="H3030" s="1" t="s">
        <v>29</v>
      </c>
      <c r="I3030" s="1" t="s">
        <v>26</v>
      </c>
      <c r="J3030">
        <v>45</v>
      </c>
      <c r="K3030">
        <v>45</v>
      </c>
      <c r="L3030" s="1" t="s">
        <v>44</v>
      </c>
    </row>
    <row r="3031" spans="1:12" x14ac:dyDescent="0.3">
      <c r="A3031" s="1" t="s">
        <v>3226</v>
      </c>
      <c r="B3031" s="2">
        <v>45769</v>
      </c>
      <c r="C3031" s="2">
        <v>45802</v>
      </c>
      <c r="D3031" s="1" t="s">
        <v>13</v>
      </c>
      <c r="E3031" s="1" t="s">
        <v>14</v>
      </c>
      <c r="F3031" s="1" t="s">
        <v>15</v>
      </c>
      <c r="G3031" s="1" t="s">
        <v>16</v>
      </c>
      <c r="H3031" s="1" t="s">
        <v>47</v>
      </c>
      <c r="I3031" s="1" t="s">
        <v>18</v>
      </c>
      <c r="J3031">
        <v>15</v>
      </c>
      <c r="K3031">
        <v>33</v>
      </c>
      <c r="L3031" s="1" t="s">
        <v>21</v>
      </c>
    </row>
    <row r="3032" spans="1:12" x14ac:dyDescent="0.3">
      <c r="A3032" s="1" t="s">
        <v>3231</v>
      </c>
      <c r="B3032" s="2">
        <v>45769</v>
      </c>
      <c r="C3032" s="2">
        <v>45785</v>
      </c>
      <c r="D3032" s="1" t="s">
        <v>23</v>
      </c>
      <c r="E3032" s="1" t="s">
        <v>14</v>
      </c>
      <c r="F3032" s="1" t="s">
        <v>15</v>
      </c>
      <c r="G3032" s="1" t="s">
        <v>16</v>
      </c>
      <c r="H3032" s="1" t="s">
        <v>25</v>
      </c>
      <c r="I3032" s="1" t="s">
        <v>41</v>
      </c>
      <c r="J3032">
        <v>30</v>
      </c>
      <c r="K3032">
        <v>16</v>
      </c>
      <c r="L3032" s="1" t="s">
        <v>19</v>
      </c>
    </row>
    <row r="3033" spans="1:12" x14ac:dyDescent="0.3">
      <c r="A3033" s="1" t="s">
        <v>584</v>
      </c>
      <c r="B3033" s="2">
        <v>45768</v>
      </c>
      <c r="C3033" s="2">
        <v>45772</v>
      </c>
      <c r="D3033" s="1" t="s">
        <v>13</v>
      </c>
      <c r="E3033" s="1" t="s">
        <v>14</v>
      </c>
      <c r="F3033" s="1" t="s">
        <v>15</v>
      </c>
      <c r="G3033" s="1" t="s">
        <v>16</v>
      </c>
      <c r="H3033" s="1" t="s">
        <v>47</v>
      </c>
      <c r="I3033" s="1" t="s">
        <v>41</v>
      </c>
      <c r="J3033">
        <v>30</v>
      </c>
      <c r="K3033">
        <v>4</v>
      </c>
      <c r="L3033" s="1" t="s">
        <v>30</v>
      </c>
    </row>
    <row r="3034" spans="1:12" x14ac:dyDescent="0.3">
      <c r="A3034" s="1" t="s">
        <v>1063</v>
      </c>
      <c r="B3034" s="2">
        <v>45768</v>
      </c>
      <c r="C3034" s="2">
        <v>45785</v>
      </c>
      <c r="D3034" s="1" t="s">
        <v>28</v>
      </c>
      <c r="E3034" s="1" t="s">
        <v>14</v>
      </c>
      <c r="F3034" s="1" t="s">
        <v>15</v>
      </c>
      <c r="G3034" s="1" t="s">
        <v>16</v>
      </c>
      <c r="H3034" s="1" t="s">
        <v>54</v>
      </c>
      <c r="I3034" s="1" t="s">
        <v>41</v>
      </c>
      <c r="J3034">
        <v>15</v>
      </c>
      <c r="K3034">
        <v>17</v>
      </c>
      <c r="L3034" s="1" t="s">
        <v>19</v>
      </c>
    </row>
    <row r="3035" spans="1:12" x14ac:dyDescent="0.3">
      <c r="A3035" s="1" t="s">
        <v>1309</v>
      </c>
      <c r="B3035" s="2">
        <v>45768</v>
      </c>
      <c r="C3035" s="2">
        <v>45836</v>
      </c>
      <c r="D3035" s="1" t="s">
        <v>32</v>
      </c>
      <c r="E3035" s="1" t="s">
        <v>14</v>
      </c>
      <c r="F3035" s="1" t="s">
        <v>15</v>
      </c>
      <c r="G3035" s="1" t="s">
        <v>16</v>
      </c>
      <c r="H3035" s="1" t="s">
        <v>34</v>
      </c>
      <c r="I3035" s="1" t="s">
        <v>26</v>
      </c>
      <c r="J3035">
        <v>30</v>
      </c>
      <c r="K3035">
        <v>68</v>
      </c>
      <c r="L3035" s="1" t="s">
        <v>80</v>
      </c>
    </row>
    <row r="3036" spans="1:12" x14ac:dyDescent="0.3">
      <c r="A3036" s="1" t="s">
        <v>1843</v>
      </c>
      <c r="B3036" s="2">
        <v>45768</v>
      </c>
      <c r="C3036" s="2">
        <v>45801</v>
      </c>
      <c r="D3036" s="1" t="s">
        <v>23</v>
      </c>
      <c r="E3036" s="1" t="s">
        <v>24</v>
      </c>
      <c r="F3036" s="1" t="s">
        <v>15</v>
      </c>
      <c r="G3036" s="1" t="s">
        <v>16</v>
      </c>
      <c r="H3036" s="1" t="s">
        <v>43</v>
      </c>
      <c r="I3036" s="1" t="s">
        <v>18</v>
      </c>
      <c r="J3036">
        <v>45</v>
      </c>
      <c r="K3036">
        <v>33</v>
      </c>
      <c r="L3036" s="1" t="s">
        <v>21</v>
      </c>
    </row>
    <row r="3037" spans="1:12" x14ac:dyDescent="0.3">
      <c r="A3037" s="1" t="s">
        <v>2021</v>
      </c>
      <c r="B3037" s="2">
        <v>45768</v>
      </c>
      <c r="C3037" s="2">
        <v>45818</v>
      </c>
      <c r="D3037" s="1" t="s">
        <v>13</v>
      </c>
      <c r="E3037" s="1" t="s">
        <v>24</v>
      </c>
      <c r="F3037" s="1" t="s">
        <v>15</v>
      </c>
      <c r="G3037" s="1" t="s">
        <v>33</v>
      </c>
      <c r="H3037" s="1" t="s">
        <v>17</v>
      </c>
      <c r="I3037" s="1" t="s">
        <v>26</v>
      </c>
      <c r="J3037">
        <v>45</v>
      </c>
      <c r="K3037">
        <v>50</v>
      </c>
      <c r="L3037" s="1" t="s">
        <v>44</v>
      </c>
    </row>
    <row r="3038" spans="1:12" x14ac:dyDescent="0.3">
      <c r="A3038" s="1" t="s">
        <v>2530</v>
      </c>
      <c r="B3038" s="2">
        <v>45768</v>
      </c>
      <c r="C3038" s="2">
        <v>45792</v>
      </c>
      <c r="D3038" s="1" t="s">
        <v>23</v>
      </c>
      <c r="E3038" s="1" t="s">
        <v>14</v>
      </c>
      <c r="F3038" s="1" t="s">
        <v>15</v>
      </c>
      <c r="G3038" s="1" t="s">
        <v>16</v>
      </c>
      <c r="H3038" s="1" t="s">
        <v>25</v>
      </c>
      <c r="I3038" s="1" t="s">
        <v>26</v>
      </c>
      <c r="J3038">
        <v>15</v>
      </c>
      <c r="K3038">
        <v>24</v>
      </c>
      <c r="L3038" s="1" t="s">
        <v>19</v>
      </c>
    </row>
    <row r="3039" spans="1:12" x14ac:dyDescent="0.3">
      <c r="A3039" s="1" t="s">
        <v>1068</v>
      </c>
      <c r="B3039" s="2">
        <v>45768</v>
      </c>
      <c r="C3039" s="2">
        <v>45820</v>
      </c>
      <c r="D3039" s="1" t="s">
        <v>37</v>
      </c>
      <c r="E3039" s="1" t="s">
        <v>14</v>
      </c>
      <c r="F3039" s="1" t="s">
        <v>15</v>
      </c>
      <c r="G3039" s="1" t="s">
        <v>53</v>
      </c>
      <c r="H3039" s="1" t="s">
        <v>49</v>
      </c>
      <c r="I3039" s="1" t="s">
        <v>41</v>
      </c>
      <c r="J3039">
        <v>15</v>
      </c>
      <c r="K3039">
        <v>52</v>
      </c>
      <c r="L3039" s="1" t="s">
        <v>44</v>
      </c>
    </row>
    <row r="3040" spans="1:12" x14ac:dyDescent="0.3">
      <c r="A3040" s="1" t="s">
        <v>900</v>
      </c>
      <c r="B3040" s="2">
        <v>45768</v>
      </c>
      <c r="C3040" s="2">
        <v>45791</v>
      </c>
      <c r="D3040" s="1" t="s">
        <v>37</v>
      </c>
      <c r="E3040" s="1" t="s">
        <v>14</v>
      </c>
      <c r="F3040" s="1" t="s">
        <v>15</v>
      </c>
      <c r="G3040" s="1" t="s">
        <v>16</v>
      </c>
      <c r="H3040" s="1" t="s">
        <v>39</v>
      </c>
      <c r="I3040" s="1" t="s">
        <v>26</v>
      </c>
      <c r="J3040">
        <v>15</v>
      </c>
      <c r="K3040">
        <v>23</v>
      </c>
      <c r="L3040" s="1" t="s">
        <v>19</v>
      </c>
    </row>
    <row r="3041" spans="1:12" x14ac:dyDescent="0.3">
      <c r="A3041" s="1" t="s">
        <v>588</v>
      </c>
      <c r="B3041" s="2">
        <v>45767</v>
      </c>
      <c r="C3041" s="2">
        <v>45792</v>
      </c>
      <c r="D3041" s="1" t="s">
        <v>23</v>
      </c>
      <c r="E3041" s="1" t="s">
        <v>14</v>
      </c>
      <c r="F3041" s="1" t="s">
        <v>15</v>
      </c>
      <c r="G3041" s="1" t="s">
        <v>16</v>
      </c>
      <c r="H3041" s="1" t="s">
        <v>43</v>
      </c>
      <c r="I3041" s="1" t="s">
        <v>41</v>
      </c>
      <c r="J3041">
        <v>15</v>
      </c>
      <c r="K3041">
        <v>25</v>
      </c>
      <c r="L3041" s="1" t="s">
        <v>19</v>
      </c>
    </row>
    <row r="3042" spans="1:12" x14ac:dyDescent="0.3">
      <c r="A3042" s="1" t="s">
        <v>929</v>
      </c>
      <c r="B3042" s="2">
        <v>45767</v>
      </c>
      <c r="C3042" s="2">
        <v>45795</v>
      </c>
      <c r="D3042" s="1" t="s">
        <v>28</v>
      </c>
      <c r="E3042" s="1" t="s">
        <v>24</v>
      </c>
      <c r="F3042" s="1" t="s">
        <v>15</v>
      </c>
      <c r="G3042" s="1" t="s">
        <v>16</v>
      </c>
      <c r="H3042" s="1" t="s">
        <v>29</v>
      </c>
      <c r="I3042" s="1" t="s">
        <v>18</v>
      </c>
      <c r="J3042">
        <v>30</v>
      </c>
      <c r="K3042">
        <v>28</v>
      </c>
      <c r="L3042" s="1" t="s">
        <v>19</v>
      </c>
    </row>
    <row r="3043" spans="1:12" x14ac:dyDescent="0.3">
      <c r="A3043" s="1" t="s">
        <v>940</v>
      </c>
      <c r="B3043" s="2">
        <v>45767</v>
      </c>
      <c r="C3043" s="2">
        <v>45791</v>
      </c>
      <c r="D3043" s="1" t="s">
        <v>23</v>
      </c>
      <c r="E3043" s="1" t="s">
        <v>24</v>
      </c>
      <c r="F3043" s="1" t="s">
        <v>15</v>
      </c>
      <c r="G3043" s="1" t="s">
        <v>16</v>
      </c>
      <c r="H3043" s="1" t="s">
        <v>25</v>
      </c>
      <c r="I3043" s="1" t="s">
        <v>41</v>
      </c>
      <c r="J3043">
        <v>30</v>
      </c>
      <c r="K3043">
        <v>24</v>
      </c>
      <c r="L3043" s="1" t="s">
        <v>19</v>
      </c>
    </row>
    <row r="3044" spans="1:12" x14ac:dyDescent="0.3">
      <c r="A3044" s="1" t="s">
        <v>2025</v>
      </c>
      <c r="B3044" s="2">
        <v>45767</v>
      </c>
      <c r="C3044" s="2">
        <v>45799</v>
      </c>
      <c r="D3044" s="1" t="s">
        <v>23</v>
      </c>
      <c r="E3044" s="1" t="s">
        <v>14</v>
      </c>
      <c r="F3044" s="1" t="s">
        <v>15</v>
      </c>
      <c r="G3044" s="1" t="s">
        <v>16</v>
      </c>
      <c r="H3044" s="1" t="s">
        <v>25</v>
      </c>
      <c r="I3044" s="1" t="s">
        <v>18</v>
      </c>
      <c r="J3044">
        <v>30</v>
      </c>
      <c r="K3044">
        <v>32</v>
      </c>
      <c r="L3044" s="1" t="s">
        <v>21</v>
      </c>
    </row>
    <row r="3045" spans="1:12" x14ac:dyDescent="0.3">
      <c r="A3045" s="1" t="s">
        <v>2356</v>
      </c>
      <c r="B3045" s="2">
        <v>45767</v>
      </c>
      <c r="C3045" s="2">
        <v>45780</v>
      </c>
      <c r="D3045" s="1" t="s">
        <v>13</v>
      </c>
      <c r="E3045" s="1" t="s">
        <v>14</v>
      </c>
      <c r="F3045" s="1" t="s">
        <v>15</v>
      </c>
      <c r="G3045" s="1" t="s">
        <v>16</v>
      </c>
      <c r="H3045" s="1" t="s">
        <v>47</v>
      </c>
      <c r="I3045" s="1" t="s">
        <v>26</v>
      </c>
      <c r="J3045">
        <v>30</v>
      </c>
      <c r="K3045">
        <v>13</v>
      </c>
      <c r="L3045" s="1" t="s">
        <v>30</v>
      </c>
    </row>
    <row r="3046" spans="1:12" x14ac:dyDescent="0.3">
      <c r="A3046" s="1" t="s">
        <v>2660</v>
      </c>
      <c r="B3046" s="2">
        <v>45767</v>
      </c>
      <c r="C3046" s="2">
        <v>45808</v>
      </c>
      <c r="D3046" s="1" t="s">
        <v>32</v>
      </c>
      <c r="E3046" s="1" t="s">
        <v>24</v>
      </c>
      <c r="F3046" s="1" t="s">
        <v>15</v>
      </c>
      <c r="G3046" s="1" t="s">
        <v>16</v>
      </c>
      <c r="H3046" s="1" t="s">
        <v>34</v>
      </c>
      <c r="I3046" s="1" t="s">
        <v>18</v>
      </c>
      <c r="J3046">
        <v>45</v>
      </c>
      <c r="K3046">
        <v>41</v>
      </c>
      <c r="L3046" s="1" t="s">
        <v>21</v>
      </c>
    </row>
    <row r="3047" spans="1:12" x14ac:dyDescent="0.3">
      <c r="A3047" s="1" t="s">
        <v>626</v>
      </c>
      <c r="B3047" s="2">
        <v>45766</v>
      </c>
      <c r="C3047" s="2">
        <v>45808</v>
      </c>
      <c r="D3047" s="1" t="s">
        <v>23</v>
      </c>
      <c r="E3047" s="1" t="s">
        <v>24</v>
      </c>
      <c r="F3047" s="1" t="s">
        <v>38</v>
      </c>
      <c r="G3047" s="1" t="s">
        <v>53</v>
      </c>
      <c r="H3047" s="1" t="s">
        <v>25</v>
      </c>
      <c r="I3047" s="1" t="s">
        <v>18</v>
      </c>
      <c r="J3047">
        <v>30</v>
      </c>
      <c r="K3047">
        <v>42</v>
      </c>
      <c r="L3047" s="1" t="s">
        <v>21</v>
      </c>
    </row>
    <row r="3048" spans="1:12" x14ac:dyDescent="0.3">
      <c r="A3048" s="1" t="s">
        <v>1495</v>
      </c>
      <c r="B3048" s="2">
        <v>45766</v>
      </c>
      <c r="C3048" s="2">
        <v>45793</v>
      </c>
      <c r="D3048" s="1" t="s">
        <v>28</v>
      </c>
      <c r="E3048" s="1" t="s">
        <v>14</v>
      </c>
      <c r="F3048" s="1" t="s">
        <v>38</v>
      </c>
      <c r="G3048" s="1" t="s">
        <v>16</v>
      </c>
      <c r="H3048" s="1" t="s">
        <v>29</v>
      </c>
      <c r="I3048" s="1" t="s">
        <v>41</v>
      </c>
      <c r="J3048">
        <v>30</v>
      </c>
      <c r="K3048">
        <v>27</v>
      </c>
      <c r="L3048" s="1" t="s">
        <v>19</v>
      </c>
    </row>
    <row r="3049" spans="1:12" x14ac:dyDescent="0.3">
      <c r="A3049" s="1" t="s">
        <v>1684</v>
      </c>
      <c r="B3049" s="2">
        <v>45766</v>
      </c>
      <c r="C3049" s="2">
        <v>45821</v>
      </c>
      <c r="D3049" s="1" t="s">
        <v>13</v>
      </c>
      <c r="E3049" s="1" t="s">
        <v>24</v>
      </c>
      <c r="F3049" s="1" t="s">
        <v>15</v>
      </c>
      <c r="G3049" s="1" t="s">
        <v>33</v>
      </c>
      <c r="H3049" s="1" t="s">
        <v>17</v>
      </c>
      <c r="I3049" s="1" t="s">
        <v>26</v>
      </c>
      <c r="J3049">
        <v>45</v>
      </c>
      <c r="K3049">
        <v>55</v>
      </c>
      <c r="L3049" s="1" t="s">
        <v>44</v>
      </c>
    </row>
    <row r="3050" spans="1:12" x14ac:dyDescent="0.3">
      <c r="A3050" s="1" t="s">
        <v>1695</v>
      </c>
      <c r="B3050" s="2">
        <v>45766</v>
      </c>
      <c r="C3050" s="2">
        <v>45813</v>
      </c>
      <c r="D3050" s="1" t="s">
        <v>13</v>
      </c>
      <c r="E3050" s="1" t="s">
        <v>24</v>
      </c>
      <c r="F3050" s="1" t="s">
        <v>15</v>
      </c>
      <c r="G3050" s="1" t="s">
        <v>16</v>
      </c>
      <c r="H3050" s="1" t="s">
        <v>17</v>
      </c>
      <c r="I3050" s="1" t="s">
        <v>41</v>
      </c>
      <c r="J3050">
        <v>45</v>
      </c>
      <c r="K3050">
        <v>47</v>
      </c>
      <c r="L3050" s="1" t="s">
        <v>44</v>
      </c>
    </row>
    <row r="3051" spans="1:12" x14ac:dyDescent="0.3">
      <c r="A3051" s="1" t="s">
        <v>2018</v>
      </c>
      <c r="B3051" s="2">
        <v>45766</v>
      </c>
      <c r="C3051" s="2">
        <v>45776</v>
      </c>
      <c r="D3051" s="1" t="s">
        <v>28</v>
      </c>
      <c r="E3051" s="1" t="s">
        <v>24</v>
      </c>
      <c r="F3051" s="1" t="s">
        <v>15</v>
      </c>
      <c r="G3051" s="1" t="s">
        <v>16</v>
      </c>
      <c r="H3051" s="1" t="s">
        <v>29</v>
      </c>
      <c r="I3051" s="1" t="s">
        <v>26</v>
      </c>
      <c r="J3051">
        <v>30</v>
      </c>
      <c r="K3051">
        <v>10</v>
      </c>
      <c r="L3051" s="1" t="s">
        <v>30</v>
      </c>
    </row>
    <row r="3052" spans="1:12" x14ac:dyDescent="0.3">
      <c r="A3052" s="1" t="s">
        <v>2320</v>
      </c>
      <c r="B3052" s="2">
        <v>45766</v>
      </c>
      <c r="C3052" s="2">
        <v>45798</v>
      </c>
      <c r="D3052" s="1" t="s">
        <v>32</v>
      </c>
      <c r="E3052" s="1" t="s">
        <v>14</v>
      </c>
      <c r="F3052" s="1" t="s">
        <v>15</v>
      </c>
      <c r="G3052" s="1" t="s">
        <v>16</v>
      </c>
      <c r="H3052" s="1" t="s">
        <v>71</v>
      </c>
      <c r="I3052" s="1" t="s">
        <v>18</v>
      </c>
      <c r="J3052">
        <v>30</v>
      </c>
      <c r="K3052">
        <v>32</v>
      </c>
      <c r="L3052" s="1" t="s">
        <v>21</v>
      </c>
    </row>
    <row r="3053" spans="1:12" x14ac:dyDescent="0.3">
      <c r="A3053" s="1" t="s">
        <v>2454</v>
      </c>
      <c r="B3053" s="2">
        <v>45766</v>
      </c>
      <c r="C3053" s="2">
        <v>45804</v>
      </c>
      <c r="D3053" s="1" t="s">
        <v>23</v>
      </c>
      <c r="E3053" s="1" t="s">
        <v>14</v>
      </c>
      <c r="F3053" s="1" t="s">
        <v>15</v>
      </c>
      <c r="G3053" s="1" t="s">
        <v>16</v>
      </c>
      <c r="H3053" s="1" t="s">
        <v>43</v>
      </c>
      <c r="I3053" s="1" t="s">
        <v>26</v>
      </c>
      <c r="J3053">
        <v>15</v>
      </c>
      <c r="K3053">
        <v>38</v>
      </c>
      <c r="L3053" s="1" t="s">
        <v>21</v>
      </c>
    </row>
    <row r="3054" spans="1:12" x14ac:dyDescent="0.3">
      <c r="A3054" s="1" t="s">
        <v>3014</v>
      </c>
      <c r="B3054" s="2">
        <v>45766</v>
      </c>
      <c r="C3054" s="2">
        <v>45806</v>
      </c>
      <c r="D3054" s="1" t="s">
        <v>32</v>
      </c>
      <c r="E3054" s="1" t="s">
        <v>24</v>
      </c>
      <c r="F3054" s="1" t="s">
        <v>15</v>
      </c>
      <c r="G3054" s="1" t="s">
        <v>16</v>
      </c>
      <c r="H3054" s="1" t="s">
        <v>34</v>
      </c>
      <c r="I3054" s="1" t="s">
        <v>18</v>
      </c>
      <c r="J3054">
        <v>30</v>
      </c>
      <c r="K3054">
        <v>40</v>
      </c>
      <c r="L3054" s="1" t="s">
        <v>21</v>
      </c>
    </row>
    <row r="3055" spans="1:12" x14ac:dyDescent="0.3">
      <c r="A3055" s="1" t="s">
        <v>741</v>
      </c>
      <c r="B3055" s="2">
        <v>45766</v>
      </c>
      <c r="C3055" s="2">
        <v>45820</v>
      </c>
      <c r="D3055" s="1" t="s">
        <v>37</v>
      </c>
      <c r="E3055" s="1" t="s">
        <v>14</v>
      </c>
      <c r="F3055" s="1" t="s">
        <v>15</v>
      </c>
      <c r="G3055" s="1" t="s">
        <v>16</v>
      </c>
      <c r="H3055" s="1" t="s">
        <v>39</v>
      </c>
      <c r="I3055" s="1" t="s">
        <v>18</v>
      </c>
      <c r="J3055">
        <v>15</v>
      </c>
      <c r="K3055">
        <v>54</v>
      </c>
      <c r="L3055" s="1" t="s">
        <v>44</v>
      </c>
    </row>
    <row r="3056" spans="1:12" x14ac:dyDescent="0.3">
      <c r="A3056" s="1" t="s">
        <v>2547</v>
      </c>
      <c r="B3056" s="2">
        <v>45766</v>
      </c>
      <c r="C3056" s="2">
        <v>45804</v>
      </c>
      <c r="D3056" s="1" t="s">
        <v>37</v>
      </c>
      <c r="E3056" s="1" t="s">
        <v>14</v>
      </c>
      <c r="F3056" s="1" t="s">
        <v>15</v>
      </c>
      <c r="G3056" s="1" t="s">
        <v>16</v>
      </c>
      <c r="H3056" s="1" t="s">
        <v>39</v>
      </c>
      <c r="I3056" s="1" t="s">
        <v>18</v>
      </c>
      <c r="J3056">
        <v>15</v>
      </c>
      <c r="K3056">
        <v>38</v>
      </c>
      <c r="L3056" s="1" t="s">
        <v>21</v>
      </c>
    </row>
    <row r="3057" spans="1:12" x14ac:dyDescent="0.3">
      <c r="A3057" s="1" t="s">
        <v>890</v>
      </c>
      <c r="B3057" s="2">
        <v>45766</v>
      </c>
      <c r="C3057" s="2">
        <v>45794</v>
      </c>
      <c r="D3057" s="1" t="s">
        <v>37</v>
      </c>
      <c r="E3057" s="1" t="s">
        <v>14</v>
      </c>
      <c r="F3057" s="1" t="s">
        <v>15</v>
      </c>
      <c r="G3057" s="1" t="s">
        <v>16</v>
      </c>
      <c r="H3057" s="1" t="s">
        <v>49</v>
      </c>
      <c r="I3057" s="1" t="s">
        <v>41</v>
      </c>
      <c r="J3057">
        <v>15</v>
      </c>
      <c r="K3057">
        <v>28</v>
      </c>
      <c r="L3057" s="1" t="s">
        <v>19</v>
      </c>
    </row>
    <row r="3058" spans="1:12" x14ac:dyDescent="0.3">
      <c r="A3058" s="1" t="s">
        <v>1506</v>
      </c>
      <c r="B3058" s="2">
        <v>45766</v>
      </c>
      <c r="C3058" s="2">
        <v>45787</v>
      </c>
      <c r="D3058" s="1" t="s">
        <v>37</v>
      </c>
      <c r="E3058" s="1" t="s">
        <v>14</v>
      </c>
      <c r="F3058" s="1" t="s">
        <v>15</v>
      </c>
      <c r="G3058" s="1" t="s">
        <v>16</v>
      </c>
      <c r="H3058" s="1" t="s">
        <v>49</v>
      </c>
      <c r="I3058" s="1" t="s">
        <v>41</v>
      </c>
      <c r="J3058">
        <v>15</v>
      </c>
      <c r="K3058">
        <v>21</v>
      </c>
      <c r="L3058" s="1" t="s">
        <v>19</v>
      </c>
    </row>
    <row r="3059" spans="1:12" x14ac:dyDescent="0.3">
      <c r="A3059" s="1" t="s">
        <v>616</v>
      </c>
      <c r="B3059" s="2">
        <v>45765</v>
      </c>
      <c r="C3059" s="2">
        <v>45805</v>
      </c>
      <c r="D3059" s="1" t="s">
        <v>28</v>
      </c>
      <c r="E3059" s="1" t="s">
        <v>14</v>
      </c>
      <c r="F3059" s="1" t="s">
        <v>15</v>
      </c>
      <c r="G3059" s="1" t="s">
        <v>33</v>
      </c>
      <c r="H3059" s="1" t="s">
        <v>54</v>
      </c>
      <c r="I3059" s="1" t="s">
        <v>41</v>
      </c>
      <c r="J3059">
        <v>15</v>
      </c>
      <c r="K3059">
        <v>40</v>
      </c>
      <c r="L3059" s="1" t="s">
        <v>21</v>
      </c>
    </row>
    <row r="3060" spans="1:12" x14ac:dyDescent="0.3">
      <c r="A3060" s="1" t="s">
        <v>1312</v>
      </c>
      <c r="B3060" s="2">
        <v>45765</v>
      </c>
      <c r="C3060" s="2">
        <v>45844</v>
      </c>
      <c r="D3060" s="1" t="s">
        <v>13</v>
      </c>
      <c r="E3060" s="1" t="s">
        <v>14</v>
      </c>
      <c r="F3060" s="1" t="s">
        <v>15</v>
      </c>
      <c r="G3060" s="1" t="s">
        <v>16</v>
      </c>
      <c r="H3060" s="1" t="s">
        <v>17</v>
      </c>
      <c r="I3060" s="1" t="s">
        <v>26</v>
      </c>
      <c r="J3060">
        <v>15</v>
      </c>
      <c r="K3060">
        <v>79</v>
      </c>
      <c r="L3060" s="1" t="s">
        <v>80</v>
      </c>
    </row>
    <row r="3061" spans="1:12" x14ac:dyDescent="0.3">
      <c r="A3061" s="1" t="s">
        <v>1328</v>
      </c>
      <c r="B3061" s="2">
        <v>45765</v>
      </c>
      <c r="C3061" s="2">
        <v>45781</v>
      </c>
      <c r="D3061" s="1" t="s">
        <v>28</v>
      </c>
      <c r="E3061" s="1" t="s">
        <v>14</v>
      </c>
      <c r="F3061" s="1" t="s">
        <v>38</v>
      </c>
      <c r="G3061" s="1" t="s">
        <v>16</v>
      </c>
      <c r="H3061" s="1" t="s">
        <v>29</v>
      </c>
      <c r="I3061" s="1" t="s">
        <v>41</v>
      </c>
      <c r="J3061">
        <v>15</v>
      </c>
      <c r="K3061">
        <v>16</v>
      </c>
      <c r="L3061" s="1" t="s">
        <v>19</v>
      </c>
    </row>
    <row r="3062" spans="1:12" x14ac:dyDescent="0.3">
      <c r="A3062" s="1" t="s">
        <v>1568</v>
      </c>
      <c r="B3062" s="2">
        <v>45765</v>
      </c>
      <c r="C3062" s="2">
        <v>45813</v>
      </c>
      <c r="D3062" s="1" t="s">
        <v>28</v>
      </c>
      <c r="E3062" s="1" t="s">
        <v>24</v>
      </c>
      <c r="F3062" s="1" t="s">
        <v>15</v>
      </c>
      <c r="G3062" s="1" t="s">
        <v>16</v>
      </c>
      <c r="H3062" s="1" t="s">
        <v>29</v>
      </c>
      <c r="I3062" s="1" t="s">
        <v>18</v>
      </c>
      <c r="J3062">
        <v>30</v>
      </c>
      <c r="K3062">
        <v>48</v>
      </c>
      <c r="L3062" s="1" t="s">
        <v>44</v>
      </c>
    </row>
    <row r="3063" spans="1:12" x14ac:dyDescent="0.3">
      <c r="A3063" s="1" t="s">
        <v>1505</v>
      </c>
      <c r="B3063" s="2">
        <v>45765</v>
      </c>
      <c r="C3063" s="2">
        <v>45807</v>
      </c>
      <c r="D3063" s="1" t="s">
        <v>37</v>
      </c>
      <c r="E3063" s="1" t="s">
        <v>14</v>
      </c>
      <c r="F3063" s="1" t="s">
        <v>38</v>
      </c>
      <c r="G3063" s="1" t="s">
        <v>16</v>
      </c>
      <c r="H3063" s="1" t="s">
        <v>39</v>
      </c>
      <c r="I3063" s="1" t="s">
        <v>26</v>
      </c>
      <c r="J3063">
        <v>30</v>
      </c>
      <c r="K3063">
        <v>42</v>
      </c>
      <c r="L3063" s="1" t="s">
        <v>21</v>
      </c>
    </row>
    <row r="3064" spans="1:12" x14ac:dyDescent="0.3">
      <c r="A3064" s="1" t="s">
        <v>1823</v>
      </c>
      <c r="B3064" s="2">
        <v>45765</v>
      </c>
      <c r="C3064" s="2">
        <v>45793</v>
      </c>
      <c r="D3064" s="1" t="s">
        <v>37</v>
      </c>
      <c r="E3064" s="1" t="s">
        <v>14</v>
      </c>
      <c r="F3064" s="1" t="s">
        <v>15</v>
      </c>
      <c r="G3064" s="1" t="s">
        <v>33</v>
      </c>
      <c r="H3064" s="1" t="s">
        <v>39</v>
      </c>
      <c r="I3064" s="1" t="s">
        <v>18</v>
      </c>
      <c r="J3064">
        <v>15</v>
      </c>
      <c r="K3064">
        <v>28</v>
      </c>
      <c r="L3064" s="1" t="s">
        <v>19</v>
      </c>
    </row>
    <row r="3065" spans="1:12" x14ac:dyDescent="0.3">
      <c r="A3065" s="1" t="s">
        <v>2926</v>
      </c>
      <c r="B3065" s="2">
        <v>45765</v>
      </c>
      <c r="C3065" s="2">
        <v>45781</v>
      </c>
      <c r="D3065" s="1" t="s">
        <v>37</v>
      </c>
      <c r="E3065" s="1" t="s">
        <v>24</v>
      </c>
      <c r="F3065" s="1" t="s">
        <v>15</v>
      </c>
      <c r="G3065" s="1" t="s">
        <v>16</v>
      </c>
      <c r="H3065" s="1" t="s">
        <v>39</v>
      </c>
      <c r="I3065" s="1" t="s">
        <v>18</v>
      </c>
      <c r="J3065">
        <v>30</v>
      </c>
      <c r="K3065">
        <v>16</v>
      </c>
      <c r="L3065" s="1" t="s">
        <v>19</v>
      </c>
    </row>
    <row r="3066" spans="1:12" x14ac:dyDescent="0.3">
      <c r="A3066" s="1" t="s">
        <v>1560</v>
      </c>
      <c r="B3066" s="2">
        <v>45765</v>
      </c>
      <c r="C3066" s="2">
        <v>45768</v>
      </c>
      <c r="D3066" s="1" t="s">
        <v>37</v>
      </c>
      <c r="E3066" s="1" t="s">
        <v>14</v>
      </c>
      <c r="F3066" s="1" t="s">
        <v>15</v>
      </c>
      <c r="G3066" s="1" t="s">
        <v>16</v>
      </c>
      <c r="H3066" s="1" t="s">
        <v>39</v>
      </c>
      <c r="I3066" s="1" t="s">
        <v>26</v>
      </c>
      <c r="J3066">
        <v>30</v>
      </c>
      <c r="K3066">
        <v>3</v>
      </c>
      <c r="L3066" s="1" t="s">
        <v>30</v>
      </c>
    </row>
    <row r="3067" spans="1:12" x14ac:dyDescent="0.3">
      <c r="A3067" s="1" t="s">
        <v>393</v>
      </c>
      <c r="B3067" s="2">
        <v>45764</v>
      </c>
      <c r="C3067" s="2">
        <v>45808</v>
      </c>
      <c r="D3067" s="1" t="s">
        <v>13</v>
      </c>
      <c r="E3067" s="1" t="s">
        <v>14</v>
      </c>
      <c r="F3067" s="1" t="s">
        <v>15</v>
      </c>
      <c r="G3067" s="1" t="s">
        <v>53</v>
      </c>
      <c r="H3067" s="1" t="s">
        <v>47</v>
      </c>
      <c r="I3067" s="1" t="s">
        <v>41</v>
      </c>
      <c r="J3067">
        <v>15</v>
      </c>
      <c r="K3067">
        <v>44</v>
      </c>
      <c r="L3067" s="1" t="s">
        <v>44</v>
      </c>
    </row>
    <row r="3068" spans="1:12" x14ac:dyDescent="0.3">
      <c r="A3068" s="1" t="s">
        <v>439</v>
      </c>
      <c r="B3068" s="2">
        <v>45764</v>
      </c>
      <c r="C3068" s="2">
        <v>45815</v>
      </c>
      <c r="D3068" s="1" t="s">
        <v>13</v>
      </c>
      <c r="E3068" s="1" t="s">
        <v>24</v>
      </c>
      <c r="F3068" s="1" t="s">
        <v>15</v>
      </c>
      <c r="G3068" s="1" t="s">
        <v>16</v>
      </c>
      <c r="H3068" s="1" t="s">
        <v>47</v>
      </c>
      <c r="I3068" s="1" t="s">
        <v>18</v>
      </c>
      <c r="J3068">
        <v>30</v>
      </c>
      <c r="K3068">
        <v>51</v>
      </c>
      <c r="L3068" s="1" t="s">
        <v>44</v>
      </c>
    </row>
    <row r="3069" spans="1:12" x14ac:dyDescent="0.3">
      <c r="A3069" s="1" t="s">
        <v>1152</v>
      </c>
      <c r="B3069" s="2">
        <v>45764</v>
      </c>
      <c r="C3069" s="2">
        <v>45787</v>
      </c>
      <c r="D3069" s="1" t="s">
        <v>13</v>
      </c>
      <c r="E3069" s="1" t="s">
        <v>14</v>
      </c>
      <c r="F3069" s="1" t="s">
        <v>15</v>
      </c>
      <c r="G3069" s="1" t="s">
        <v>16</v>
      </c>
      <c r="H3069" s="1" t="s">
        <v>17</v>
      </c>
      <c r="I3069" s="1" t="s">
        <v>26</v>
      </c>
      <c r="J3069">
        <v>15</v>
      </c>
      <c r="K3069">
        <v>23</v>
      </c>
      <c r="L3069" s="1" t="s">
        <v>19</v>
      </c>
    </row>
    <row r="3070" spans="1:12" x14ac:dyDescent="0.3">
      <c r="A3070" s="1" t="s">
        <v>3055</v>
      </c>
      <c r="B3070" s="2">
        <v>45764</v>
      </c>
      <c r="C3070" s="2">
        <v>45804</v>
      </c>
      <c r="D3070" s="1" t="s">
        <v>28</v>
      </c>
      <c r="E3070" s="1" t="s">
        <v>14</v>
      </c>
      <c r="F3070" s="1" t="s">
        <v>38</v>
      </c>
      <c r="G3070" s="1" t="s">
        <v>16</v>
      </c>
      <c r="H3070" s="1" t="s">
        <v>54</v>
      </c>
      <c r="I3070" s="1" t="s">
        <v>26</v>
      </c>
      <c r="J3070">
        <v>15</v>
      </c>
      <c r="K3070">
        <v>40</v>
      </c>
      <c r="L3070" s="1" t="s">
        <v>21</v>
      </c>
    </row>
    <row r="3071" spans="1:12" x14ac:dyDescent="0.3">
      <c r="A3071" s="1" t="s">
        <v>2564</v>
      </c>
      <c r="B3071" s="2">
        <v>45764</v>
      </c>
      <c r="C3071" s="2">
        <v>45814</v>
      </c>
      <c r="D3071" s="1" t="s">
        <v>37</v>
      </c>
      <c r="E3071" s="1" t="s">
        <v>14</v>
      </c>
      <c r="F3071" s="1" t="s">
        <v>15</v>
      </c>
      <c r="G3071" s="1" t="s">
        <v>16</v>
      </c>
      <c r="H3071" s="1" t="s">
        <v>39</v>
      </c>
      <c r="I3071" s="1" t="s">
        <v>26</v>
      </c>
      <c r="J3071">
        <v>15</v>
      </c>
      <c r="K3071">
        <v>50</v>
      </c>
      <c r="L3071" s="1" t="s">
        <v>44</v>
      </c>
    </row>
    <row r="3072" spans="1:12" x14ac:dyDescent="0.3">
      <c r="A3072" s="1" t="s">
        <v>2822</v>
      </c>
      <c r="B3072" s="2">
        <v>45764</v>
      </c>
      <c r="C3072" s="2">
        <v>45794</v>
      </c>
      <c r="D3072" s="1" t="s">
        <v>37</v>
      </c>
      <c r="E3072" s="1" t="s">
        <v>14</v>
      </c>
      <c r="F3072" s="1" t="s">
        <v>15</v>
      </c>
      <c r="G3072" s="1" t="s">
        <v>16</v>
      </c>
      <c r="H3072" s="1" t="s">
        <v>49</v>
      </c>
      <c r="I3072" s="1" t="s">
        <v>41</v>
      </c>
      <c r="J3072">
        <v>15</v>
      </c>
      <c r="K3072">
        <v>30</v>
      </c>
      <c r="L3072" s="1" t="s">
        <v>21</v>
      </c>
    </row>
    <row r="3073" spans="1:12" x14ac:dyDescent="0.3">
      <c r="A3073" s="1" t="s">
        <v>853</v>
      </c>
      <c r="B3073" s="2">
        <v>45764</v>
      </c>
      <c r="C3073" s="2">
        <v>45779</v>
      </c>
      <c r="D3073" s="1" t="s">
        <v>37</v>
      </c>
      <c r="E3073" s="1" t="s">
        <v>14</v>
      </c>
      <c r="F3073" s="1" t="s">
        <v>15</v>
      </c>
      <c r="G3073" s="1" t="s">
        <v>16</v>
      </c>
      <c r="H3073" s="1" t="s">
        <v>49</v>
      </c>
      <c r="I3073" s="1" t="s">
        <v>26</v>
      </c>
      <c r="J3073">
        <v>15</v>
      </c>
      <c r="K3073">
        <v>15</v>
      </c>
      <c r="L3073" s="1" t="s">
        <v>19</v>
      </c>
    </row>
    <row r="3074" spans="1:12" x14ac:dyDescent="0.3">
      <c r="A3074" s="1" t="s">
        <v>1848</v>
      </c>
      <c r="B3074" s="2">
        <v>45764</v>
      </c>
      <c r="C3074" s="2">
        <v>45775</v>
      </c>
      <c r="D3074" s="1" t="s">
        <v>37</v>
      </c>
      <c r="E3074" s="1" t="s">
        <v>24</v>
      </c>
      <c r="F3074" s="1" t="s">
        <v>15</v>
      </c>
      <c r="G3074" s="1" t="s">
        <v>16</v>
      </c>
      <c r="H3074" s="1" t="s">
        <v>39</v>
      </c>
      <c r="I3074" s="1" t="s">
        <v>41</v>
      </c>
      <c r="J3074">
        <v>30</v>
      </c>
      <c r="K3074">
        <v>11</v>
      </c>
      <c r="L3074" s="1" t="s">
        <v>30</v>
      </c>
    </row>
    <row r="3075" spans="1:12" x14ac:dyDescent="0.3">
      <c r="A3075" s="1" t="s">
        <v>97</v>
      </c>
      <c r="B3075" s="2">
        <v>45763</v>
      </c>
      <c r="C3075" s="2">
        <v>45807</v>
      </c>
      <c r="D3075" s="1" t="s">
        <v>13</v>
      </c>
      <c r="E3075" s="1" t="s">
        <v>14</v>
      </c>
      <c r="F3075" s="1" t="s">
        <v>15</v>
      </c>
      <c r="G3075" s="1" t="s">
        <v>16</v>
      </c>
      <c r="H3075" s="1" t="s">
        <v>47</v>
      </c>
      <c r="I3075" s="1" t="s">
        <v>26</v>
      </c>
      <c r="J3075">
        <v>15</v>
      </c>
      <c r="K3075">
        <v>44</v>
      </c>
      <c r="L3075" s="1" t="s">
        <v>44</v>
      </c>
    </row>
    <row r="3076" spans="1:12" x14ac:dyDescent="0.3">
      <c r="A3076" s="1" t="s">
        <v>291</v>
      </c>
      <c r="B3076" s="2">
        <v>45763</v>
      </c>
      <c r="C3076" s="2">
        <v>45815</v>
      </c>
      <c r="D3076" s="1" t="s">
        <v>23</v>
      </c>
      <c r="E3076" s="1" t="s">
        <v>14</v>
      </c>
      <c r="F3076" s="1" t="s">
        <v>15</v>
      </c>
      <c r="G3076" s="1" t="s">
        <v>16</v>
      </c>
      <c r="H3076" s="1" t="s">
        <v>25</v>
      </c>
      <c r="I3076" s="1" t="s">
        <v>18</v>
      </c>
      <c r="J3076">
        <v>15</v>
      </c>
      <c r="K3076">
        <v>52</v>
      </c>
      <c r="L3076" s="1" t="s">
        <v>44</v>
      </c>
    </row>
    <row r="3077" spans="1:12" x14ac:dyDescent="0.3">
      <c r="A3077" s="1" t="s">
        <v>604</v>
      </c>
      <c r="B3077" s="2">
        <v>45763</v>
      </c>
      <c r="C3077" s="2">
        <v>45798</v>
      </c>
      <c r="D3077" s="1" t="s">
        <v>23</v>
      </c>
      <c r="E3077" s="1" t="s">
        <v>24</v>
      </c>
      <c r="F3077" s="1" t="s">
        <v>15</v>
      </c>
      <c r="G3077" s="1" t="s">
        <v>33</v>
      </c>
      <c r="H3077" s="1" t="s">
        <v>43</v>
      </c>
      <c r="I3077" s="1" t="s">
        <v>26</v>
      </c>
      <c r="J3077">
        <v>30</v>
      </c>
      <c r="K3077">
        <v>35</v>
      </c>
      <c r="L3077" s="1" t="s">
        <v>21</v>
      </c>
    </row>
    <row r="3078" spans="1:12" x14ac:dyDescent="0.3">
      <c r="A3078" s="1" t="s">
        <v>859</v>
      </c>
      <c r="B3078" s="2">
        <v>45763</v>
      </c>
      <c r="C3078" s="2">
        <v>45807</v>
      </c>
      <c r="D3078" s="1" t="s">
        <v>32</v>
      </c>
      <c r="E3078" s="1" t="s">
        <v>24</v>
      </c>
      <c r="F3078" s="1" t="s">
        <v>15</v>
      </c>
      <c r="G3078" s="1" t="s">
        <v>53</v>
      </c>
      <c r="H3078" s="1" t="s">
        <v>34</v>
      </c>
      <c r="I3078" s="1" t="s">
        <v>26</v>
      </c>
      <c r="J3078">
        <v>30</v>
      </c>
      <c r="K3078">
        <v>44</v>
      </c>
      <c r="L3078" s="1" t="s">
        <v>44</v>
      </c>
    </row>
    <row r="3079" spans="1:12" x14ac:dyDescent="0.3">
      <c r="A3079" s="1" t="s">
        <v>944</v>
      </c>
      <c r="B3079" s="2">
        <v>45763</v>
      </c>
      <c r="C3079" s="2">
        <v>45774</v>
      </c>
      <c r="D3079" s="1" t="s">
        <v>23</v>
      </c>
      <c r="E3079" s="1" t="s">
        <v>14</v>
      </c>
      <c r="F3079" s="1" t="s">
        <v>15</v>
      </c>
      <c r="G3079" s="1" t="s">
        <v>33</v>
      </c>
      <c r="H3079" s="1" t="s">
        <v>43</v>
      </c>
      <c r="I3079" s="1" t="s">
        <v>18</v>
      </c>
      <c r="J3079">
        <v>30</v>
      </c>
      <c r="K3079">
        <v>11</v>
      </c>
      <c r="L3079" s="1" t="s">
        <v>30</v>
      </c>
    </row>
    <row r="3080" spans="1:12" x14ac:dyDescent="0.3">
      <c r="A3080" s="1" t="s">
        <v>1061</v>
      </c>
      <c r="B3080" s="2">
        <v>45763</v>
      </c>
      <c r="C3080" s="2">
        <v>45820</v>
      </c>
      <c r="D3080" s="1" t="s">
        <v>23</v>
      </c>
      <c r="E3080" s="1" t="s">
        <v>14</v>
      </c>
      <c r="F3080" s="1" t="s">
        <v>38</v>
      </c>
      <c r="G3080" s="1" t="s">
        <v>16</v>
      </c>
      <c r="H3080" s="1" t="s">
        <v>25</v>
      </c>
      <c r="I3080" s="1" t="s">
        <v>26</v>
      </c>
      <c r="J3080">
        <v>15</v>
      </c>
      <c r="K3080">
        <v>57</v>
      </c>
      <c r="L3080" s="1" t="s">
        <v>80</v>
      </c>
    </row>
    <row r="3081" spans="1:12" x14ac:dyDescent="0.3">
      <c r="A3081" s="1" t="s">
        <v>1913</v>
      </c>
      <c r="B3081" s="2">
        <v>45763</v>
      </c>
      <c r="C3081" s="2">
        <v>45769</v>
      </c>
      <c r="D3081" s="1" t="s">
        <v>28</v>
      </c>
      <c r="E3081" s="1" t="s">
        <v>14</v>
      </c>
      <c r="F3081" s="1" t="s">
        <v>15</v>
      </c>
      <c r="G3081" s="1" t="s">
        <v>53</v>
      </c>
      <c r="H3081" s="1" t="s">
        <v>29</v>
      </c>
      <c r="I3081" s="1" t="s">
        <v>18</v>
      </c>
      <c r="J3081">
        <v>15</v>
      </c>
      <c r="K3081">
        <v>6</v>
      </c>
      <c r="L3081" s="1" t="s">
        <v>30</v>
      </c>
    </row>
    <row r="3082" spans="1:12" x14ac:dyDescent="0.3">
      <c r="A3082" s="1" t="s">
        <v>2381</v>
      </c>
      <c r="B3082" s="2">
        <v>45763</v>
      </c>
      <c r="C3082" s="2">
        <v>45786</v>
      </c>
      <c r="D3082" s="1" t="s">
        <v>32</v>
      </c>
      <c r="E3082" s="1" t="s">
        <v>14</v>
      </c>
      <c r="F3082" s="1" t="s">
        <v>15</v>
      </c>
      <c r="G3082" s="1" t="s">
        <v>33</v>
      </c>
      <c r="H3082" s="1" t="s">
        <v>34</v>
      </c>
      <c r="I3082" s="1" t="s">
        <v>26</v>
      </c>
      <c r="J3082">
        <v>15</v>
      </c>
      <c r="K3082">
        <v>23</v>
      </c>
      <c r="L3082" s="1" t="s">
        <v>19</v>
      </c>
    </row>
    <row r="3083" spans="1:12" x14ac:dyDescent="0.3">
      <c r="A3083" s="1" t="s">
        <v>1141</v>
      </c>
      <c r="B3083" s="2">
        <v>45763</v>
      </c>
      <c r="C3083" s="2">
        <v>45794</v>
      </c>
      <c r="D3083" s="1" t="s">
        <v>37</v>
      </c>
      <c r="E3083" s="1" t="s">
        <v>14</v>
      </c>
      <c r="F3083" s="1" t="s">
        <v>15</v>
      </c>
      <c r="G3083" s="1" t="s">
        <v>53</v>
      </c>
      <c r="H3083" s="1" t="s">
        <v>49</v>
      </c>
      <c r="I3083" s="1" t="s">
        <v>41</v>
      </c>
      <c r="J3083">
        <v>15</v>
      </c>
      <c r="K3083">
        <v>31</v>
      </c>
      <c r="L3083" s="1" t="s">
        <v>21</v>
      </c>
    </row>
    <row r="3084" spans="1:12" x14ac:dyDescent="0.3">
      <c r="A3084" s="1" t="s">
        <v>2413</v>
      </c>
      <c r="B3084" s="2">
        <v>45763</v>
      </c>
      <c r="C3084" s="2">
        <v>45778</v>
      </c>
      <c r="D3084" s="1" t="s">
        <v>37</v>
      </c>
      <c r="E3084" s="1" t="s">
        <v>24</v>
      </c>
      <c r="F3084" s="1" t="s">
        <v>15</v>
      </c>
      <c r="G3084" s="1" t="s">
        <v>16</v>
      </c>
      <c r="H3084" s="1" t="s">
        <v>49</v>
      </c>
      <c r="I3084" s="1" t="s">
        <v>26</v>
      </c>
      <c r="J3084">
        <v>45</v>
      </c>
      <c r="K3084">
        <v>15</v>
      </c>
      <c r="L3084" s="1" t="s">
        <v>19</v>
      </c>
    </row>
    <row r="3085" spans="1:12" x14ac:dyDescent="0.3">
      <c r="A3085" s="1" t="s">
        <v>1282</v>
      </c>
      <c r="B3085" s="2">
        <v>45762</v>
      </c>
      <c r="C3085" s="2">
        <v>45785</v>
      </c>
      <c r="D3085" s="1" t="s">
        <v>23</v>
      </c>
      <c r="E3085" s="1" t="s">
        <v>24</v>
      </c>
      <c r="F3085" s="1" t="s">
        <v>15</v>
      </c>
      <c r="G3085" s="1" t="s">
        <v>33</v>
      </c>
      <c r="H3085" s="1" t="s">
        <v>25</v>
      </c>
      <c r="I3085" s="1" t="s">
        <v>41</v>
      </c>
      <c r="J3085">
        <v>45</v>
      </c>
      <c r="K3085">
        <v>23</v>
      </c>
      <c r="L3085" s="1" t="s">
        <v>19</v>
      </c>
    </row>
    <row r="3086" spans="1:12" x14ac:dyDescent="0.3">
      <c r="A3086" s="1" t="s">
        <v>1494</v>
      </c>
      <c r="B3086" s="2">
        <v>45762</v>
      </c>
      <c r="C3086" s="2">
        <v>45790</v>
      </c>
      <c r="D3086" s="1" t="s">
        <v>13</v>
      </c>
      <c r="E3086" s="1" t="s">
        <v>24</v>
      </c>
      <c r="F3086" s="1" t="s">
        <v>15</v>
      </c>
      <c r="G3086" s="1" t="s">
        <v>16</v>
      </c>
      <c r="H3086" s="1" t="s">
        <v>47</v>
      </c>
      <c r="I3086" s="1" t="s">
        <v>26</v>
      </c>
      <c r="J3086">
        <v>30</v>
      </c>
      <c r="K3086">
        <v>28</v>
      </c>
      <c r="L3086" s="1" t="s">
        <v>19</v>
      </c>
    </row>
    <row r="3087" spans="1:12" x14ac:dyDescent="0.3">
      <c r="A3087" s="1" t="s">
        <v>2814</v>
      </c>
      <c r="B3087" s="2">
        <v>45762</v>
      </c>
      <c r="C3087" s="2">
        <v>45775</v>
      </c>
      <c r="D3087" s="1" t="s">
        <v>32</v>
      </c>
      <c r="E3087" s="1" t="s">
        <v>14</v>
      </c>
      <c r="F3087" s="1" t="s">
        <v>15</v>
      </c>
      <c r="G3087" s="1" t="s">
        <v>33</v>
      </c>
      <c r="H3087" s="1" t="s">
        <v>71</v>
      </c>
      <c r="I3087" s="1" t="s">
        <v>41</v>
      </c>
      <c r="J3087">
        <v>15</v>
      </c>
      <c r="K3087">
        <v>13</v>
      </c>
      <c r="L3087" s="1" t="s">
        <v>30</v>
      </c>
    </row>
    <row r="3088" spans="1:12" x14ac:dyDescent="0.3">
      <c r="A3088" s="1" t="s">
        <v>2923</v>
      </c>
      <c r="B3088" s="2">
        <v>45762</v>
      </c>
      <c r="C3088" s="2">
        <v>45802</v>
      </c>
      <c r="D3088" s="1" t="s">
        <v>13</v>
      </c>
      <c r="E3088" s="1" t="s">
        <v>14</v>
      </c>
      <c r="F3088" s="1" t="s">
        <v>15</v>
      </c>
      <c r="G3088" s="1" t="s">
        <v>16</v>
      </c>
      <c r="H3088" s="1" t="s">
        <v>47</v>
      </c>
      <c r="I3088" s="1" t="s">
        <v>26</v>
      </c>
      <c r="J3088">
        <v>30</v>
      </c>
      <c r="K3088">
        <v>40</v>
      </c>
      <c r="L3088" s="1" t="s">
        <v>21</v>
      </c>
    </row>
    <row r="3089" spans="1:12" x14ac:dyDescent="0.3">
      <c r="A3089" s="1" t="s">
        <v>2672</v>
      </c>
      <c r="B3089" s="2">
        <v>45762</v>
      </c>
      <c r="C3089" s="2">
        <v>45835</v>
      </c>
      <c r="D3089" s="1" t="s">
        <v>37</v>
      </c>
      <c r="E3089" s="1" t="s">
        <v>14</v>
      </c>
      <c r="F3089" s="1" t="s">
        <v>15</v>
      </c>
      <c r="G3089" s="1" t="s">
        <v>16</v>
      </c>
      <c r="H3089" s="1" t="s">
        <v>49</v>
      </c>
      <c r="I3089" s="1" t="s">
        <v>26</v>
      </c>
      <c r="J3089">
        <v>15</v>
      </c>
      <c r="K3089">
        <v>73</v>
      </c>
      <c r="L3089" s="1" t="s">
        <v>80</v>
      </c>
    </row>
    <row r="3090" spans="1:12" x14ac:dyDescent="0.3">
      <c r="A3090" s="1" t="s">
        <v>912</v>
      </c>
      <c r="B3090" s="2">
        <v>45762</v>
      </c>
      <c r="C3090" s="2">
        <v>45829</v>
      </c>
      <c r="D3090" s="1" t="s">
        <v>37</v>
      </c>
      <c r="E3090" s="1" t="s">
        <v>14</v>
      </c>
      <c r="F3090" s="1" t="s">
        <v>15</v>
      </c>
      <c r="G3090" s="1" t="s">
        <v>16</v>
      </c>
      <c r="H3090" s="1" t="s">
        <v>49</v>
      </c>
      <c r="I3090" s="1" t="s">
        <v>26</v>
      </c>
      <c r="J3090">
        <v>30</v>
      </c>
      <c r="K3090">
        <v>67</v>
      </c>
      <c r="L3090" s="1" t="s">
        <v>80</v>
      </c>
    </row>
    <row r="3091" spans="1:12" x14ac:dyDescent="0.3">
      <c r="A3091" s="1" t="s">
        <v>2245</v>
      </c>
      <c r="B3091" s="2">
        <v>45762</v>
      </c>
      <c r="C3091" s="2">
        <v>45802</v>
      </c>
      <c r="D3091" s="1" t="s">
        <v>37</v>
      </c>
      <c r="E3091" s="1" t="s">
        <v>14</v>
      </c>
      <c r="F3091" s="1" t="s">
        <v>15</v>
      </c>
      <c r="G3091" s="1" t="s">
        <v>16</v>
      </c>
      <c r="H3091" s="1" t="s">
        <v>49</v>
      </c>
      <c r="I3091" s="1" t="s">
        <v>18</v>
      </c>
      <c r="J3091">
        <v>30</v>
      </c>
      <c r="K3091">
        <v>40</v>
      </c>
      <c r="L3091" s="1" t="s">
        <v>21</v>
      </c>
    </row>
    <row r="3092" spans="1:12" x14ac:dyDescent="0.3">
      <c r="A3092" s="1" t="s">
        <v>2080</v>
      </c>
      <c r="B3092" s="2">
        <v>45762</v>
      </c>
      <c r="C3092" s="2">
        <v>45786</v>
      </c>
      <c r="D3092" s="1" t="s">
        <v>37</v>
      </c>
      <c r="E3092" s="1" t="s">
        <v>14</v>
      </c>
      <c r="F3092" s="1" t="s">
        <v>15</v>
      </c>
      <c r="G3092" s="1" t="s">
        <v>16</v>
      </c>
      <c r="H3092" s="1" t="s">
        <v>39</v>
      </c>
      <c r="I3092" s="1" t="s">
        <v>18</v>
      </c>
      <c r="J3092">
        <v>30</v>
      </c>
      <c r="K3092">
        <v>24</v>
      </c>
      <c r="L3092" s="1" t="s">
        <v>19</v>
      </c>
    </row>
    <row r="3093" spans="1:12" x14ac:dyDescent="0.3">
      <c r="A3093" s="1" t="s">
        <v>2770</v>
      </c>
      <c r="B3093" s="2">
        <v>45762</v>
      </c>
      <c r="C3093" s="2">
        <v>45784</v>
      </c>
      <c r="D3093" s="1" t="s">
        <v>37</v>
      </c>
      <c r="E3093" s="1" t="s">
        <v>14</v>
      </c>
      <c r="F3093" s="1" t="s">
        <v>38</v>
      </c>
      <c r="G3093" s="1" t="s">
        <v>33</v>
      </c>
      <c r="H3093" s="1" t="s">
        <v>39</v>
      </c>
      <c r="I3093" s="1" t="s">
        <v>18</v>
      </c>
      <c r="J3093">
        <v>15</v>
      </c>
      <c r="K3093">
        <v>22</v>
      </c>
      <c r="L3093" s="1" t="s">
        <v>19</v>
      </c>
    </row>
    <row r="3094" spans="1:12" x14ac:dyDescent="0.3">
      <c r="A3094" s="1" t="s">
        <v>158</v>
      </c>
      <c r="B3094" s="2">
        <v>45761</v>
      </c>
      <c r="C3094" s="2">
        <v>45813</v>
      </c>
      <c r="D3094" s="1" t="s">
        <v>28</v>
      </c>
      <c r="E3094" s="1" t="s">
        <v>14</v>
      </c>
      <c r="F3094" s="1" t="s">
        <v>38</v>
      </c>
      <c r="G3094" s="1" t="s">
        <v>16</v>
      </c>
      <c r="H3094" s="1" t="s">
        <v>54</v>
      </c>
      <c r="I3094" s="1" t="s">
        <v>26</v>
      </c>
      <c r="J3094">
        <v>30</v>
      </c>
      <c r="K3094">
        <v>52</v>
      </c>
      <c r="L3094" s="1" t="s">
        <v>44</v>
      </c>
    </row>
    <row r="3095" spans="1:12" x14ac:dyDescent="0.3">
      <c r="A3095" s="1" t="s">
        <v>369</v>
      </c>
      <c r="B3095" s="2">
        <v>45761</v>
      </c>
      <c r="C3095" s="2">
        <v>45799</v>
      </c>
      <c r="D3095" s="1" t="s">
        <v>23</v>
      </c>
      <c r="E3095" s="1" t="s">
        <v>14</v>
      </c>
      <c r="F3095" s="1" t="s">
        <v>15</v>
      </c>
      <c r="G3095" s="1" t="s">
        <v>16</v>
      </c>
      <c r="H3095" s="1" t="s">
        <v>25</v>
      </c>
      <c r="I3095" s="1" t="s">
        <v>18</v>
      </c>
      <c r="J3095">
        <v>15</v>
      </c>
      <c r="K3095">
        <v>38</v>
      </c>
      <c r="L3095" s="1" t="s">
        <v>21</v>
      </c>
    </row>
    <row r="3096" spans="1:12" x14ac:dyDescent="0.3">
      <c r="A3096" s="1" t="s">
        <v>886</v>
      </c>
      <c r="B3096" s="2">
        <v>45761</v>
      </c>
      <c r="C3096" s="2">
        <v>45783</v>
      </c>
      <c r="D3096" s="1" t="s">
        <v>23</v>
      </c>
      <c r="E3096" s="1" t="s">
        <v>14</v>
      </c>
      <c r="F3096" s="1" t="s">
        <v>15</v>
      </c>
      <c r="G3096" s="1" t="s">
        <v>16</v>
      </c>
      <c r="H3096" s="1" t="s">
        <v>25</v>
      </c>
      <c r="I3096" s="1" t="s">
        <v>26</v>
      </c>
      <c r="J3096">
        <v>30</v>
      </c>
      <c r="K3096">
        <v>22</v>
      </c>
      <c r="L3096" s="1" t="s">
        <v>19</v>
      </c>
    </row>
    <row r="3097" spans="1:12" x14ac:dyDescent="0.3">
      <c r="A3097" s="1" t="s">
        <v>1012</v>
      </c>
      <c r="B3097" s="2">
        <v>45761</v>
      </c>
      <c r="C3097" s="2">
        <v>45786</v>
      </c>
      <c r="D3097" s="1" t="s">
        <v>23</v>
      </c>
      <c r="E3097" s="1" t="s">
        <v>24</v>
      </c>
      <c r="F3097" s="1" t="s">
        <v>15</v>
      </c>
      <c r="G3097" s="1" t="s">
        <v>16</v>
      </c>
      <c r="H3097" s="1" t="s">
        <v>43</v>
      </c>
      <c r="I3097" s="1" t="s">
        <v>18</v>
      </c>
      <c r="J3097">
        <v>30</v>
      </c>
      <c r="K3097">
        <v>25</v>
      </c>
      <c r="L3097" s="1" t="s">
        <v>19</v>
      </c>
    </row>
    <row r="3098" spans="1:12" x14ac:dyDescent="0.3">
      <c r="A3098" s="1" t="s">
        <v>1308</v>
      </c>
      <c r="B3098" s="2">
        <v>45761</v>
      </c>
      <c r="C3098" s="2">
        <v>45793</v>
      </c>
      <c r="D3098" s="1" t="s">
        <v>32</v>
      </c>
      <c r="E3098" s="1" t="s">
        <v>24</v>
      </c>
      <c r="F3098" s="1" t="s">
        <v>15</v>
      </c>
      <c r="G3098" s="1" t="s">
        <v>16</v>
      </c>
      <c r="H3098" s="1" t="s">
        <v>34</v>
      </c>
      <c r="I3098" s="1" t="s">
        <v>41</v>
      </c>
      <c r="J3098">
        <v>30</v>
      </c>
      <c r="K3098">
        <v>32</v>
      </c>
      <c r="L3098" s="1" t="s">
        <v>21</v>
      </c>
    </row>
    <row r="3099" spans="1:12" x14ac:dyDescent="0.3">
      <c r="A3099" s="1" t="s">
        <v>1488</v>
      </c>
      <c r="B3099" s="2">
        <v>45761</v>
      </c>
      <c r="C3099" s="2">
        <v>45787</v>
      </c>
      <c r="D3099" s="1" t="s">
        <v>23</v>
      </c>
      <c r="E3099" s="1" t="s">
        <v>14</v>
      </c>
      <c r="F3099" s="1" t="s">
        <v>38</v>
      </c>
      <c r="G3099" s="1" t="s">
        <v>16</v>
      </c>
      <c r="H3099" s="1" t="s">
        <v>43</v>
      </c>
      <c r="I3099" s="1" t="s">
        <v>26</v>
      </c>
      <c r="J3099">
        <v>15</v>
      </c>
      <c r="K3099">
        <v>26</v>
      </c>
      <c r="L3099" s="1" t="s">
        <v>19</v>
      </c>
    </row>
    <row r="3100" spans="1:12" x14ac:dyDescent="0.3">
      <c r="A3100" s="1" t="s">
        <v>1951</v>
      </c>
      <c r="B3100" s="2">
        <v>45761</v>
      </c>
      <c r="C3100" s="2">
        <v>45821</v>
      </c>
      <c r="D3100" s="1" t="s">
        <v>28</v>
      </c>
      <c r="E3100" s="1" t="s">
        <v>14</v>
      </c>
      <c r="F3100" s="1" t="s">
        <v>15</v>
      </c>
      <c r="G3100" s="1" t="s">
        <v>16</v>
      </c>
      <c r="H3100" s="1" t="s">
        <v>54</v>
      </c>
      <c r="I3100" s="1" t="s">
        <v>18</v>
      </c>
      <c r="J3100">
        <v>15</v>
      </c>
      <c r="K3100">
        <v>60</v>
      </c>
      <c r="L3100" s="1" t="s">
        <v>80</v>
      </c>
    </row>
    <row r="3101" spans="1:12" x14ac:dyDescent="0.3">
      <c r="A3101" s="1" t="s">
        <v>2806</v>
      </c>
      <c r="B3101" s="2">
        <v>45761</v>
      </c>
      <c r="C3101" s="2">
        <v>45798</v>
      </c>
      <c r="D3101" s="1" t="s">
        <v>37</v>
      </c>
      <c r="E3101" s="1" t="s">
        <v>14</v>
      </c>
      <c r="F3101" s="1" t="s">
        <v>38</v>
      </c>
      <c r="G3101" s="1" t="s">
        <v>16</v>
      </c>
      <c r="H3101" s="1" t="s">
        <v>39</v>
      </c>
      <c r="I3101" s="1" t="s">
        <v>26</v>
      </c>
      <c r="J3101">
        <v>15</v>
      </c>
      <c r="K3101">
        <v>37</v>
      </c>
      <c r="L3101" s="1" t="s">
        <v>21</v>
      </c>
    </row>
    <row r="3102" spans="1:12" x14ac:dyDescent="0.3">
      <c r="A3102" s="1" t="s">
        <v>188</v>
      </c>
      <c r="B3102" s="2">
        <v>45760</v>
      </c>
      <c r="C3102" s="2">
        <v>45786</v>
      </c>
      <c r="D3102" s="1" t="s">
        <v>32</v>
      </c>
      <c r="E3102" s="1" t="s">
        <v>24</v>
      </c>
      <c r="F3102" s="1" t="s">
        <v>15</v>
      </c>
      <c r="G3102" s="1" t="s">
        <v>53</v>
      </c>
      <c r="H3102" s="1" t="s">
        <v>71</v>
      </c>
      <c r="I3102" s="1" t="s">
        <v>26</v>
      </c>
      <c r="J3102">
        <v>30</v>
      </c>
      <c r="K3102">
        <v>26</v>
      </c>
      <c r="L3102" s="1" t="s">
        <v>19</v>
      </c>
    </row>
    <row r="3103" spans="1:12" x14ac:dyDescent="0.3">
      <c r="A3103" s="1" t="s">
        <v>1725</v>
      </c>
      <c r="B3103" s="2">
        <v>45760</v>
      </c>
      <c r="C3103" s="2">
        <v>45799</v>
      </c>
      <c r="D3103" s="1" t="s">
        <v>28</v>
      </c>
      <c r="E3103" s="1" t="s">
        <v>14</v>
      </c>
      <c r="F3103" s="1" t="s">
        <v>15</v>
      </c>
      <c r="G3103" s="1" t="s">
        <v>16</v>
      </c>
      <c r="H3103" s="1" t="s">
        <v>29</v>
      </c>
      <c r="I3103" s="1" t="s">
        <v>18</v>
      </c>
      <c r="J3103">
        <v>30</v>
      </c>
      <c r="K3103">
        <v>39</v>
      </c>
      <c r="L3103" s="1" t="s">
        <v>21</v>
      </c>
    </row>
    <row r="3104" spans="1:12" x14ac:dyDescent="0.3">
      <c r="A3104" s="1" t="s">
        <v>2364</v>
      </c>
      <c r="B3104" s="2">
        <v>45760</v>
      </c>
      <c r="C3104" s="2">
        <v>45820</v>
      </c>
      <c r="D3104" s="1" t="s">
        <v>32</v>
      </c>
      <c r="E3104" s="1" t="s">
        <v>14</v>
      </c>
      <c r="F3104" s="1" t="s">
        <v>15</v>
      </c>
      <c r="G3104" s="1" t="s">
        <v>16</v>
      </c>
      <c r="H3104" s="1" t="s">
        <v>34</v>
      </c>
      <c r="I3104" s="1" t="s">
        <v>41</v>
      </c>
      <c r="J3104">
        <v>15</v>
      </c>
      <c r="K3104">
        <v>60</v>
      </c>
      <c r="L3104" s="1" t="s">
        <v>80</v>
      </c>
    </row>
    <row r="3105" spans="1:12" x14ac:dyDescent="0.3">
      <c r="A3105" s="1" t="s">
        <v>2908</v>
      </c>
      <c r="B3105" s="2">
        <v>45760</v>
      </c>
      <c r="C3105" s="2">
        <v>45808</v>
      </c>
      <c r="D3105" s="1" t="s">
        <v>37</v>
      </c>
      <c r="E3105" s="1" t="s">
        <v>14</v>
      </c>
      <c r="F3105" s="1" t="s">
        <v>15</v>
      </c>
      <c r="G3105" s="1" t="s">
        <v>16</v>
      </c>
      <c r="H3105" s="1" t="s">
        <v>39</v>
      </c>
      <c r="I3105" s="1" t="s">
        <v>26</v>
      </c>
      <c r="J3105">
        <v>30</v>
      </c>
      <c r="K3105">
        <v>48</v>
      </c>
      <c r="L3105" s="1" t="s">
        <v>44</v>
      </c>
    </row>
    <row r="3106" spans="1:12" x14ac:dyDescent="0.3">
      <c r="A3106" s="1" t="s">
        <v>705</v>
      </c>
      <c r="B3106" s="2">
        <v>45760</v>
      </c>
      <c r="C3106" s="2">
        <v>45796</v>
      </c>
      <c r="D3106" s="1" t="s">
        <v>37</v>
      </c>
      <c r="E3106" s="1" t="s">
        <v>24</v>
      </c>
      <c r="F3106" s="1" t="s">
        <v>15</v>
      </c>
      <c r="G3106" s="1" t="s">
        <v>16</v>
      </c>
      <c r="H3106" s="1" t="s">
        <v>49</v>
      </c>
      <c r="I3106" s="1" t="s">
        <v>41</v>
      </c>
      <c r="J3106">
        <v>30</v>
      </c>
      <c r="K3106">
        <v>36</v>
      </c>
      <c r="L3106" s="1" t="s">
        <v>21</v>
      </c>
    </row>
    <row r="3107" spans="1:12" x14ac:dyDescent="0.3">
      <c r="A3107" s="1" t="s">
        <v>179</v>
      </c>
      <c r="B3107" s="2">
        <v>45759</v>
      </c>
      <c r="C3107" s="2">
        <v>45836</v>
      </c>
      <c r="D3107" s="1" t="s">
        <v>13</v>
      </c>
      <c r="E3107" s="1" t="s">
        <v>24</v>
      </c>
      <c r="F3107" s="1" t="s">
        <v>15</v>
      </c>
      <c r="G3107" s="1" t="s">
        <v>16</v>
      </c>
      <c r="H3107" s="1" t="s">
        <v>17</v>
      </c>
      <c r="I3107" s="1" t="s">
        <v>18</v>
      </c>
      <c r="J3107">
        <v>30</v>
      </c>
      <c r="K3107">
        <v>77</v>
      </c>
      <c r="L3107" s="1" t="s">
        <v>80</v>
      </c>
    </row>
    <row r="3108" spans="1:12" x14ac:dyDescent="0.3">
      <c r="A3108" s="1" t="s">
        <v>427</v>
      </c>
      <c r="B3108" s="2">
        <v>45759</v>
      </c>
      <c r="C3108" s="2">
        <v>45787</v>
      </c>
      <c r="D3108" s="1" t="s">
        <v>23</v>
      </c>
      <c r="E3108" s="1" t="s">
        <v>14</v>
      </c>
      <c r="F3108" s="1" t="s">
        <v>15</v>
      </c>
      <c r="G3108" s="1" t="s">
        <v>16</v>
      </c>
      <c r="H3108" s="1" t="s">
        <v>25</v>
      </c>
      <c r="I3108" s="1" t="s">
        <v>26</v>
      </c>
      <c r="J3108">
        <v>15</v>
      </c>
      <c r="K3108">
        <v>28</v>
      </c>
      <c r="L3108" s="1" t="s">
        <v>19</v>
      </c>
    </row>
    <row r="3109" spans="1:12" x14ac:dyDescent="0.3">
      <c r="A3109" s="1" t="s">
        <v>829</v>
      </c>
      <c r="B3109" s="2">
        <v>45759</v>
      </c>
      <c r="C3109" s="2">
        <v>45790</v>
      </c>
      <c r="D3109" s="1" t="s">
        <v>23</v>
      </c>
      <c r="E3109" s="1" t="s">
        <v>24</v>
      </c>
      <c r="F3109" s="1" t="s">
        <v>15</v>
      </c>
      <c r="G3109" s="1" t="s">
        <v>16</v>
      </c>
      <c r="H3109" s="1" t="s">
        <v>43</v>
      </c>
      <c r="I3109" s="1" t="s">
        <v>26</v>
      </c>
      <c r="J3109">
        <v>30</v>
      </c>
      <c r="K3109">
        <v>31</v>
      </c>
      <c r="L3109" s="1" t="s">
        <v>21</v>
      </c>
    </row>
    <row r="3110" spans="1:12" x14ac:dyDescent="0.3">
      <c r="A3110" s="1" t="s">
        <v>2305</v>
      </c>
      <c r="B3110" s="2">
        <v>45759</v>
      </c>
      <c r="C3110" s="2">
        <v>45792</v>
      </c>
      <c r="D3110" s="1" t="s">
        <v>28</v>
      </c>
      <c r="E3110" s="1" t="s">
        <v>14</v>
      </c>
      <c r="F3110" s="1" t="s">
        <v>15</v>
      </c>
      <c r="G3110" s="1" t="s">
        <v>16</v>
      </c>
      <c r="H3110" s="1" t="s">
        <v>29</v>
      </c>
      <c r="I3110" s="1" t="s">
        <v>18</v>
      </c>
      <c r="J3110">
        <v>30</v>
      </c>
      <c r="K3110">
        <v>33</v>
      </c>
      <c r="L3110" s="1" t="s">
        <v>21</v>
      </c>
    </row>
    <row r="3111" spans="1:12" x14ac:dyDescent="0.3">
      <c r="A3111" s="1" t="s">
        <v>2541</v>
      </c>
      <c r="B3111" s="2">
        <v>45759</v>
      </c>
      <c r="C3111" s="2">
        <v>45804</v>
      </c>
      <c r="D3111" s="1" t="s">
        <v>23</v>
      </c>
      <c r="E3111" s="1" t="s">
        <v>14</v>
      </c>
      <c r="F3111" s="1" t="s">
        <v>15</v>
      </c>
      <c r="G3111" s="1" t="s">
        <v>16</v>
      </c>
      <c r="H3111" s="1" t="s">
        <v>25</v>
      </c>
      <c r="I3111" s="1" t="s">
        <v>26</v>
      </c>
      <c r="J3111">
        <v>15</v>
      </c>
      <c r="K3111">
        <v>45</v>
      </c>
      <c r="L3111" s="1" t="s">
        <v>44</v>
      </c>
    </row>
    <row r="3112" spans="1:12" x14ac:dyDescent="0.3">
      <c r="A3112" s="1" t="s">
        <v>2601</v>
      </c>
      <c r="B3112" s="2">
        <v>45759</v>
      </c>
      <c r="C3112" s="2">
        <v>45781</v>
      </c>
      <c r="D3112" s="1" t="s">
        <v>23</v>
      </c>
      <c r="E3112" s="1" t="s">
        <v>14</v>
      </c>
      <c r="F3112" s="1" t="s">
        <v>15</v>
      </c>
      <c r="G3112" s="1" t="s">
        <v>53</v>
      </c>
      <c r="H3112" s="1" t="s">
        <v>25</v>
      </c>
      <c r="I3112" s="1" t="s">
        <v>18</v>
      </c>
      <c r="J3112">
        <v>30</v>
      </c>
      <c r="K3112">
        <v>22</v>
      </c>
      <c r="L3112" s="1" t="s">
        <v>19</v>
      </c>
    </row>
    <row r="3113" spans="1:12" x14ac:dyDescent="0.3">
      <c r="A3113" s="1" t="s">
        <v>2993</v>
      </c>
      <c r="B3113" s="2">
        <v>45759</v>
      </c>
      <c r="C3113" s="2">
        <v>45789</v>
      </c>
      <c r="D3113" s="1" t="s">
        <v>37</v>
      </c>
      <c r="E3113" s="1" t="s">
        <v>14</v>
      </c>
      <c r="F3113" s="1" t="s">
        <v>15</v>
      </c>
      <c r="G3113" s="1" t="s">
        <v>16</v>
      </c>
      <c r="H3113" s="1" t="s">
        <v>49</v>
      </c>
      <c r="I3113" s="1" t="s">
        <v>26</v>
      </c>
      <c r="J3113">
        <v>15</v>
      </c>
      <c r="K3113">
        <v>30</v>
      </c>
      <c r="L3113" s="1" t="s">
        <v>21</v>
      </c>
    </row>
    <row r="3114" spans="1:12" x14ac:dyDescent="0.3">
      <c r="A3114" s="1" t="s">
        <v>1578</v>
      </c>
      <c r="B3114" s="2">
        <v>45759</v>
      </c>
      <c r="C3114" s="2">
        <v>45773</v>
      </c>
      <c r="D3114" s="1" t="s">
        <v>37</v>
      </c>
      <c r="E3114" s="1" t="s">
        <v>24</v>
      </c>
      <c r="F3114" s="1" t="s">
        <v>15</v>
      </c>
      <c r="G3114" s="1" t="s">
        <v>16</v>
      </c>
      <c r="H3114" s="1" t="s">
        <v>39</v>
      </c>
      <c r="I3114" s="1" t="s">
        <v>26</v>
      </c>
      <c r="J3114">
        <v>30</v>
      </c>
      <c r="K3114">
        <v>14</v>
      </c>
      <c r="L3114" s="1" t="s">
        <v>30</v>
      </c>
    </row>
    <row r="3115" spans="1:12" x14ac:dyDescent="0.3">
      <c r="A3115" s="1" t="s">
        <v>1342</v>
      </c>
      <c r="B3115" s="2">
        <v>45758</v>
      </c>
      <c r="C3115" s="2">
        <v>45776</v>
      </c>
      <c r="D3115" s="1" t="s">
        <v>13</v>
      </c>
      <c r="E3115" s="1" t="s">
        <v>24</v>
      </c>
      <c r="F3115" s="1" t="s">
        <v>38</v>
      </c>
      <c r="G3115" s="1" t="s">
        <v>53</v>
      </c>
      <c r="H3115" s="1" t="s">
        <v>17</v>
      </c>
      <c r="I3115" s="1" t="s">
        <v>18</v>
      </c>
      <c r="J3115">
        <v>30</v>
      </c>
      <c r="K3115">
        <v>18</v>
      </c>
      <c r="L3115" s="1" t="s">
        <v>19</v>
      </c>
    </row>
    <row r="3116" spans="1:12" x14ac:dyDescent="0.3">
      <c r="A3116" s="1" t="s">
        <v>1632</v>
      </c>
      <c r="B3116" s="2">
        <v>45758</v>
      </c>
      <c r="C3116" s="2">
        <v>45797</v>
      </c>
      <c r="D3116" s="1" t="s">
        <v>32</v>
      </c>
      <c r="E3116" s="1" t="s">
        <v>14</v>
      </c>
      <c r="F3116" s="1" t="s">
        <v>15</v>
      </c>
      <c r="G3116" s="1" t="s">
        <v>33</v>
      </c>
      <c r="H3116" s="1" t="s">
        <v>71</v>
      </c>
      <c r="I3116" s="1" t="s">
        <v>26</v>
      </c>
      <c r="J3116">
        <v>15</v>
      </c>
      <c r="K3116">
        <v>39</v>
      </c>
      <c r="L3116" s="1" t="s">
        <v>21</v>
      </c>
    </row>
    <row r="3117" spans="1:12" x14ac:dyDescent="0.3">
      <c r="A3117" s="1" t="s">
        <v>1911</v>
      </c>
      <c r="B3117" s="2">
        <v>45758</v>
      </c>
      <c r="C3117" s="2">
        <v>45826</v>
      </c>
      <c r="D3117" s="1" t="s">
        <v>32</v>
      </c>
      <c r="E3117" s="1" t="s">
        <v>14</v>
      </c>
      <c r="F3117" s="1" t="s">
        <v>38</v>
      </c>
      <c r="G3117" s="1" t="s">
        <v>16</v>
      </c>
      <c r="H3117" s="1" t="s">
        <v>71</v>
      </c>
      <c r="I3117" s="1" t="s">
        <v>26</v>
      </c>
      <c r="J3117">
        <v>15</v>
      </c>
      <c r="K3117">
        <v>68</v>
      </c>
      <c r="L3117" s="1" t="s">
        <v>80</v>
      </c>
    </row>
    <row r="3118" spans="1:12" x14ac:dyDescent="0.3">
      <c r="A3118" s="1" t="s">
        <v>872</v>
      </c>
      <c r="B3118" s="2">
        <v>45758</v>
      </c>
      <c r="C3118" s="2">
        <v>45792</v>
      </c>
      <c r="D3118" s="1" t="s">
        <v>37</v>
      </c>
      <c r="E3118" s="1" t="s">
        <v>14</v>
      </c>
      <c r="F3118" s="1" t="s">
        <v>15</v>
      </c>
      <c r="G3118" s="1" t="s">
        <v>33</v>
      </c>
      <c r="H3118" s="1" t="s">
        <v>39</v>
      </c>
      <c r="I3118" s="1" t="s">
        <v>18</v>
      </c>
      <c r="J3118">
        <v>15</v>
      </c>
      <c r="K3118">
        <v>34</v>
      </c>
      <c r="L3118" s="1" t="s">
        <v>21</v>
      </c>
    </row>
    <row r="3119" spans="1:12" x14ac:dyDescent="0.3">
      <c r="A3119" s="1" t="s">
        <v>1535</v>
      </c>
      <c r="B3119" s="2">
        <v>45758</v>
      </c>
      <c r="C3119" s="2">
        <v>45776</v>
      </c>
      <c r="D3119" s="1" t="s">
        <v>37</v>
      </c>
      <c r="E3119" s="1" t="s">
        <v>24</v>
      </c>
      <c r="F3119" s="1" t="s">
        <v>15</v>
      </c>
      <c r="G3119" s="1" t="s">
        <v>16</v>
      </c>
      <c r="H3119" s="1" t="s">
        <v>39</v>
      </c>
      <c r="I3119" s="1" t="s">
        <v>26</v>
      </c>
      <c r="J3119">
        <v>45</v>
      </c>
      <c r="K3119">
        <v>18</v>
      </c>
      <c r="L3119" s="1" t="s">
        <v>19</v>
      </c>
    </row>
    <row r="3120" spans="1:12" x14ac:dyDescent="0.3">
      <c r="A3120" s="1" t="s">
        <v>1986</v>
      </c>
      <c r="B3120" s="2">
        <v>45758</v>
      </c>
      <c r="C3120" s="2">
        <v>45771</v>
      </c>
      <c r="D3120" s="1" t="s">
        <v>37</v>
      </c>
      <c r="E3120" s="1" t="s">
        <v>24</v>
      </c>
      <c r="F3120" s="1" t="s">
        <v>15</v>
      </c>
      <c r="G3120" s="1" t="s">
        <v>16</v>
      </c>
      <c r="H3120" s="1" t="s">
        <v>39</v>
      </c>
      <c r="I3120" s="1" t="s">
        <v>26</v>
      </c>
      <c r="J3120">
        <v>45</v>
      </c>
      <c r="K3120">
        <v>13</v>
      </c>
      <c r="L3120" s="1" t="s">
        <v>30</v>
      </c>
    </row>
    <row r="3121" spans="1:12" x14ac:dyDescent="0.3">
      <c r="A3121" s="1" t="s">
        <v>496</v>
      </c>
      <c r="B3121" s="2">
        <v>45757</v>
      </c>
      <c r="C3121" s="2">
        <v>45791</v>
      </c>
      <c r="D3121" s="1" t="s">
        <v>32</v>
      </c>
      <c r="E3121" s="1" t="s">
        <v>24</v>
      </c>
      <c r="F3121" s="1" t="s">
        <v>15</v>
      </c>
      <c r="G3121" s="1" t="s">
        <v>16</v>
      </c>
      <c r="H3121" s="1" t="s">
        <v>71</v>
      </c>
      <c r="I3121" s="1" t="s">
        <v>26</v>
      </c>
      <c r="J3121">
        <v>45</v>
      </c>
      <c r="K3121">
        <v>34</v>
      </c>
      <c r="L3121" s="1" t="s">
        <v>21</v>
      </c>
    </row>
    <row r="3122" spans="1:12" x14ac:dyDescent="0.3">
      <c r="A3122" s="1" t="s">
        <v>1222</v>
      </c>
      <c r="B3122" s="2">
        <v>45757</v>
      </c>
      <c r="C3122" s="2">
        <v>45817</v>
      </c>
      <c r="D3122" s="1" t="s">
        <v>28</v>
      </c>
      <c r="E3122" s="1" t="s">
        <v>14</v>
      </c>
      <c r="F3122" s="1" t="s">
        <v>15</v>
      </c>
      <c r="G3122" s="1" t="s">
        <v>16</v>
      </c>
      <c r="H3122" s="1" t="s">
        <v>54</v>
      </c>
      <c r="I3122" s="1" t="s">
        <v>18</v>
      </c>
      <c r="J3122">
        <v>15</v>
      </c>
      <c r="K3122">
        <v>60</v>
      </c>
      <c r="L3122" s="1" t="s">
        <v>80</v>
      </c>
    </row>
    <row r="3123" spans="1:12" x14ac:dyDescent="0.3">
      <c r="A3123" s="1" t="s">
        <v>1441</v>
      </c>
      <c r="B3123" s="2">
        <v>45757</v>
      </c>
      <c r="C3123" s="2">
        <v>45795</v>
      </c>
      <c r="D3123" s="1" t="s">
        <v>23</v>
      </c>
      <c r="E3123" s="1" t="s">
        <v>14</v>
      </c>
      <c r="F3123" s="1" t="s">
        <v>15</v>
      </c>
      <c r="G3123" s="1" t="s">
        <v>53</v>
      </c>
      <c r="H3123" s="1" t="s">
        <v>43</v>
      </c>
      <c r="I3123" s="1" t="s">
        <v>41</v>
      </c>
      <c r="J3123">
        <v>30</v>
      </c>
      <c r="K3123">
        <v>38</v>
      </c>
      <c r="L3123" s="1" t="s">
        <v>21</v>
      </c>
    </row>
    <row r="3124" spans="1:12" x14ac:dyDescent="0.3">
      <c r="A3124" s="1" t="s">
        <v>2265</v>
      </c>
      <c r="B3124" s="2">
        <v>45757</v>
      </c>
      <c r="C3124" s="2">
        <v>45774</v>
      </c>
      <c r="D3124" s="1" t="s">
        <v>13</v>
      </c>
      <c r="E3124" s="1" t="s">
        <v>24</v>
      </c>
      <c r="F3124" s="1" t="s">
        <v>38</v>
      </c>
      <c r="G3124" s="1" t="s">
        <v>16</v>
      </c>
      <c r="H3124" s="1" t="s">
        <v>17</v>
      </c>
      <c r="I3124" s="1" t="s">
        <v>26</v>
      </c>
      <c r="J3124">
        <v>30</v>
      </c>
      <c r="K3124">
        <v>17</v>
      </c>
      <c r="L3124" s="1" t="s">
        <v>19</v>
      </c>
    </row>
    <row r="3125" spans="1:12" x14ac:dyDescent="0.3">
      <c r="A3125" s="1" t="s">
        <v>2371</v>
      </c>
      <c r="B3125" s="2">
        <v>45757</v>
      </c>
      <c r="C3125" s="2">
        <v>45787</v>
      </c>
      <c r="D3125" s="1" t="s">
        <v>28</v>
      </c>
      <c r="E3125" s="1" t="s">
        <v>14</v>
      </c>
      <c r="F3125" s="1" t="s">
        <v>15</v>
      </c>
      <c r="G3125" s="1" t="s">
        <v>16</v>
      </c>
      <c r="H3125" s="1" t="s">
        <v>29</v>
      </c>
      <c r="I3125" s="1" t="s">
        <v>18</v>
      </c>
      <c r="J3125">
        <v>15</v>
      </c>
      <c r="K3125">
        <v>30</v>
      </c>
      <c r="L3125" s="1" t="s">
        <v>21</v>
      </c>
    </row>
    <row r="3126" spans="1:12" x14ac:dyDescent="0.3">
      <c r="A3126" s="1" t="s">
        <v>2452</v>
      </c>
      <c r="B3126" s="2">
        <v>45757</v>
      </c>
      <c r="C3126" s="2">
        <v>45773</v>
      </c>
      <c r="D3126" s="1" t="s">
        <v>23</v>
      </c>
      <c r="E3126" s="1" t="s">
        <v>24</v>
      </c>
      <c r="F3126" s="1" t="s">
        <v>15</v>
      </c>
      <c r="G3126" s="1" t="s">
        <v>53</v>
      </c>
      <c r="H3126" s="1" t="s">
        <v>25</v>
      </c>
      <c r="I3126" s="1" t="s">
        <v>18</v>
      </c>
      <c r="J3126">
        <v>45</v>
      </c>
      <c r="K3126">
        <v>16</v>
      </c>
      <c r="L3126" s="1" t="s">
        <v>19</v>
      </c>
    </row>
    <row r="3127" spans="1:12" x14ac:dyDescent="0.3">
      <c r="A3127" s="1" t="s">
        <v>2511</v>
      </c>
      <c r="B3127" s="2">
        <v>45757</v>
      </c>
      <c r="C3127" s="2">
        <v>45788</v>
      </c>
      <c r="D3127" s="1" t="s">
        <v>13</v>
      </c>
      <c r="E3127" s="1" t="s">
        <v>14</v>
      </c>
      <c r="F3127" s="1" t="s">
        <v>38</v>
      </c>
      <c r="G3127" s="1" t="s">
        <v>53</v>
      </c>
      <c r="H3127" s="1" t="s">
        <v>17</v>
      </c>
      <c r="I3127" s="1" t="s">
        <v>18</v>
      </c>
      <c r="J3127">
        <v>15</v>
      </c>
      <c r="K3127">
        <v>31</v>
      </c>
      <c r="L3127" s="1" t="s">
        <v>21</v>
      </c>
    </row>
    <row r="3128" spans="1:12" x14ac:dyDescent="0.3">
      <c r="A3128" s="1" t="s">
        <v>2678</v>
      </c>
      <c r="B3128" s="2">
        <v>45757</v>
      </c>
      <c r="C3128" s="2">
        <v>45776</v>
      </c>
      <c r="D3128" s="1" t="s">
        <v>32</v>
      </c>
      <c r="E3128" s="1" t="s">
        <v>24</v>
      </c>
      <c r="F3128" s="1" t="s">
        <v>15</v>
      </c>
      <c r="G3128" s="1" t="s">
        <v>16</v>
      </c>
      <c r="H3128" s="1" t="s">
        <v>71</v>
      </c>
      <c r="I3128" s="1" t="s">
        <v>41</v>
      </c>
      <c r="J3128">
        <v>30</v>
      </c>
      <c r="K3128">
        <v>19</v>
      </c>
      <c r="L3128" s="1" t="s">
        <v>19</v>
      </c>
    </row>
    <row r="3129" spans="1:12" x14ac:dyDescent="0.3">
      <c r="A3129" s="1" t="s">
        <v>471</v>
      </c>
      <c r="B3129" s="2">
        <v>45757</v>
      </c>
      <c r="C3129" s="2">
        <v>45777</v>
      </c>
      <c r="D3129" s="1" t="s">
        <v>37</v>
      </c>
      <c r="E3129" s="1" t="s">
        <v>14</v>
      </c>
      <c r="F3129" s="1" t="s">
        <v>15</v>
      </c>
      <c r="G3129" s="1" t="s">
        <v>16</v>
      </c>
      <c r="H3129" s="1" t="s">
        <v>49</v>
      </c>
      <c r="I3129" s="1" t="s">
        <v>18</v>
      </c>
      <c r="J3129">
        <v>15</v>
      </c>
      <c r="K3129">
        <v>20</v>
      </c>
      <c r="L3129" s="1" t="s">
        <v>19</v>
      </c>
    </row>
    <row r="3130" spans="1:12" x14ac:dyDescent="0.3">
      <c r="A3130" s="1" t="s">
        <v>313</v>
      </c>
      <c r="B3130" s="2">
        <v>45756</v>
      </c>
      <c r="C3130" s="2">
        <v>45792</v>
      </c>
      <c r="D3130" s="1" t="s">
        <v>13</v>
      </c>
      <c r="E3130" s="1" t="s">
        <v>24</v>
      </c>
      <c r="F3130" s="1" t="s">
        <v>15</v>
      </c>
      <c r="G3130" s="1" t="s">
        <v>53</v>
      </c>
      <c r="H3130" s="1" t="s">
        <v>47</v>
      </c>
      <c r="I3130" s="1" t="s">
        <v>26</v>
      </c>
      <c r="J3130">
        <v>30</v>
      </c>
      <c r="K3130">
        <v>36</v>
      </c>
      <c r="L3130" s="1" t="s">
        <v>21</v>
      </c>
    </row>
    <row r="3131" spans="1:12" x14ac:dyDescent="0.3">
      <c r="A3131" s="1" t="s">
        <v>410</v>
      </c>
      <c r="B3131" s="2">
        <v>45756</v>
      </c>
      <c r="C3131" s="2">
        <v>45806</v>
      </c>
      <c r="D3131" s="1" t="s">
        <v>28</v>
      </c>
      <c r="E3131" s="1" t="s">
        <v>14</v>
      </c>
      <c r="F3131" s="1" t="s">
        <v>15</v>
      </c>
      <c r="G3131" s="1" t="s">
        <v>16</v>
      </c>
      <c r="H3131" s="1" t="s">
        <v>54</v>
      </c>
      <c r="I3131" s="1" t="s">
        <v>41</v>
      </c>
      <c r="J3131">
        <v>15</v>
      </c>
      <c r="K3131">
        <v>50</v>
      </c>
      <c r="L3131" s="1" t="s">
        <v>44</v>
      </c>
    </row>
    <row r="3132" spans="1:12" x14ac:dyDescent="0.3">
      <c r="A3132" s="1" t="s">
        <v>1786</v>
      </c>
      <c r="B3132" s="2">
        <v>45756</v>
      </c>
      <c r="C3132" s="2">
        <v>45808</v>
      </c>
      <c r="D3132" s="1" t="s">
        <v>13</v>
      </c>
      <c r="E3132" s="1" t="s">
        <v>14</v>
      </c>
      <c r="F3132" s="1" t="s">
        <v>15</v>
      </c>
      <c r="G3132" s="1" t="s">
        <v>16</v>
      </c>
      <c r="H3132" s="1" t="s">
        <v>17</v>
      </c>
      <c r="I3132" s="1" t="s">
        <v>41</v>
      </c>
      <c r="J3132">
        <v>15</v>
      </c>
      <c r="K3132">
        <v>52</v>
      </c>
      <c r="L3132" s="1" t="s">
        <v>44</v>
      </c>
    </row>
    <row r="3133" spans="1:12" x14ac:dyDescent="0.3">
      <c r="A3133" s="1" t="s">
        <v>1825</v>
      </c>
      <c r="B3133" s="2">
        <v>45756</v>
      </c>
      <c r="C3133" s="2">
        <v>45821</v>
      </c>
      <c r="D3133" s="1" t="s">
        <v>13</v>
      </c>
      <c r="E3133" s="1" t="s">
        <v>24</v>
      </c>
      <c r="F3133" s="1" t="s">
        <v>15</v>
      </c>
      <c r="G3133" s="1" t="s">
        <v>16</v>
      </c>
      <c r="H3133" s="1" t="s">
        <v>17</v>
      </c>
      <c r="I3133" s="1" t="s">
        <v>41</v>
      </c>
      <c r="J3133">
        <v>30</v>
      </c>
      <c r="K3133">
        <v>65</v>
      </c>
      <c r="L3133" s="1" t="s">
        <v>80</v>
      </c>
    </row>
    <row r="3134" spans="1:12" x14ac:dyDescent="0.3">
      <c r="A3134" s="1" t="s">
        <v>2303</v>
      </c>
      <c r="B3134" s="2">
        <v>45756</v>
      </c>
      <c r="C3134" s="2">
        <v>45808</v>
      </c>
      <c r="D3134" s="1" t="s">
        <v>32</v>
      </c>
      <c r="E3134" s="1" t="s">
        <v>24</v>
      </c>
      <c r="F3134" s="1" t="s">
        <v>15</v>
      </c>
      <c r="G3134" s="1" t="s">
        <v>33</v>
      </c>
      <c r="H3134" s="1" t="s">
        <v>71</v>
      </c>
      <c r="I3134" s="1" t="s">
        <v>26</v>
      </c>
      <c r="J3134">
        <v>30</v>
      </c>
      <c r="K3134">
        <v>52</v>
      </c>
      <c r="L3134" s="1" t="s">
        <v>44</v>
      </c>
    </row>
    <row r="3135" spans="1:12" x14ac:dyDescent="0.3">
      <c r="A3135" s="1" t="s">
        <v>2754</v>
      </c>
      <c r="B3135" s="2">
        <v>45756</v>
      </c>
      <c r="C3135" s="2">
        <v>45771</v>
      </c>
      <c r="D3135" s="1" t="s">
        <v>28</v>
      </c>
      <c r="E3135" s="1" t="s">
        <v>24</v>
      </c>
      <c r="F3135" s="1" t="s">
        <v>15</v>
      </c>
      <c r="G3135" s="1" t="s">
        <v>16</v>
      </c>
      <c r="H3135" s="1" t="s">
        <v>29</v>
      </c>
      <c r="I3135" s="1" t="s">
        <v>26</v>
      </c>
      <c r="J3135">
        <v>30</v>
      </c>
      <c r="K3135">
        <v>15</v>
      </c>
      <c r="L3135" s="1" t="s">
        <v>19</v>
      </c>
    </row>
    <row r="3136" spans="1:12" x14ac:dyDescent="0.3">
      <c r="A3136" s="1" t="s">
        <v>3161</v>
      </c>
      <c r="B3136" s="2">
        <v>45756</v>
      </c>
      <c r="C3136" s="2">
        <v>45774</v>
      </c>
      <c r="D3136" s="1" t="s">
        <v>23</v>
      </c>
      <c r="E3136" s="1" t="s">
        <v>24</v>
      </c>
      <c r="F3136" s="1" t="s">
        <v>15</v>
      </c>
      <c r="G3136" s="1" t="s">
        <v>16</v>
      </c>
      <c r="H3136" s="1" t="s">
        <v>43</v>
      </c>
      <c r="I3136" s="1" t="s">
        <v>18</v>
      </c>
      <c r="J3136">
        <v>30</v>
      </c>
      <c r="K3136">
        <v>18</v>
      </c>
      <c r="L3136" s="1" t="s">
        <v>19</v>
      </c>
    </row>
    <row r="3137" spans="1:12" x14ac:dyDescent="0.3">
      <c r="A3137" s="1" t="s">
        <v>211</v>
      </c>
      <c r="B3137" s="2">
        <v>45756</v>
      </c>
      <c r="C3137" s="2">
        <v>45791</v>
      </c>
      <c r="D3137" s="1" t="s">
        <v>37</v>
      </c>
      <c r="E3137" s="1" t="s">
        <v>24</v>
      </c>
      <c r="F3137" s="1" t="s">
        <v>15</v>
      </c>
      <c r="G3137" s="1" t="s">
        <v>33</v>
      </c>
      <c r="H3137" s="1" t="s">
        <v>49</v>
      </c>
      <c r="I3137" s="1" t="s">
        <v>26</v>
      </c>
      <c r="J3137">
        <v>30</v>
      </c>
      <c r="K3137">
        <v>35</v>
      </c>
      <c r="L3137" s="1" t="s">
        <v>21</v>
      </c>
    </row>
    <row r="3138" spans="1:12" x14ac:dyDescent="0.3">
      <c r="A3138" s="1" t="s">
        <v>2180</v>
      </c>
      <c r="B3138" s="2">
        <v>45756</v>
      </c>
      <c r="C3138" s="2">
        <v>45788</v>
      </c>
      <c r="D3138" s="1" t="s">
        <v>37</v>
      </c>
      <c r="E3138" s="1" t="s">
        <v>14</v>
      </c>
      <c r="F3138" s="1" t="s">
        <v>15</v>
      </c>
      <c r="G3138" s="1" t="s">
        <v>33</v>
      </c>
      <c r="H3138" s="1" t="s">
        <v>39</v>
      </c>
      <c r="I3138" s="1" t="s">
        <v>18</v>
      </c>
      <c r="J3138">
        <v>15</v>
      </c>
      <c r="K3138">
        <v>32</v>
      </c>
      <c r="L3138" s="1" t="s">
        <v>21</v>
      </c>
    </row>
    <row r="3139" spans="1:12" x14ac:dyDescent="0.3">
      <c r="A3139" s="1" t="s">
        <v>863</v>
      </c>
      <c r="B3139" s="2">
        <v>45756</v>
      </c>
      <c r="C3139" s="2">
        <v>45786</v>
      </c>
      <c r="D3139" s="1" t="s">
        <v>37</v>
      </c>
      <c r="E3139" s="1" t="s">
        <v>24</v>
      </c>
      <c r="F3139" s="1" t="s">
        <v>38</v>
      </c>
      <c r="G3139" s="1" t="s">
        <v>16</v>
      </c>
      <c r="H3139" s="1" t="s">
        <v>39</v>
      </c>
      <c r="I3139" s="1" t="s">
        <v>26</v>
      </c>
      <c r="J3139">
        <v>30</v>
      </c>
      <c r="K3139">
        <v>30</v>
      </c>
      <c r="L3139" s="1" t="s">
        <v>21</v>
      </c>
    </row>
    <row r="3140" spans="1:12" x14ac:dyDescent="0.3">
      <c r="A3140" s="1" t="s">
        <v>274</v>
      </c>
      <c r="B3140" s="2">
        <v>45755</v>
      </c>
      <c r="C3140" s="2">
        <v>45794</v>
      </c>
      <c r="D3140" s="1" t="s">
        <v>23</v>
      </c>
      <c r="E3140" s="1" t="s">
        <v>14</v>
      </c>
      <c r="F3140" s="1" t="s">
        <v>15</v>
      </c>
      <c r="G3140" s="1" t="s">
        <v>16</v>
      </c>
      <c r="H3140" s="1" t="s">
        <v>43</v>
      </c>
      <c r="I3140" s="1" t="s">
        <v>26</v>
      </c>
      <c r="J3140">
        <v>30</v>
      </c>
      <c r="K3140">
        <v>39</v>
      </c>
      <c r="L3140" s="1" t="s">
        <v>21</v>
      </c>
    </row>
    <row r="3141" spans="1:12" x14ac:dyDescent="0.3">
      <c r="A3141" s="1" t="s">
        <v>341</v>
      </c>
      <c r="B3141" s="2">
        <v>45755</v>
      </c>
      <c r="C3141" s="2">
        <v>45764</v>
      </c>
      <c r="D3141" s="1" t="s">
        <v>23</v>
      </c>
      <c r="E3141" s="1" t="s">
        <v>14</v>
      </c>
      <c r="F3141" s="1" t="s">
        <v>15</v>
      </c>
      <c r="G3141" s="1" t="s">
        <v>16</v>
      </c>
      <c r="H3141" s="1" t="s">
        <v>25</v>
      </c>
      <c r="I3141" s="1" t="s">
        <v>18</v>
      </c>
      <c r="J3141">
        <v>15</v>
      </c>
      <c r="K3141">
        <v>9</v>
      </c>
      <c r="L3141" s="1" t="s">
        <v>30</v>
      </c>
    </row>
    <row r="3142" spans="1:12" x14ac:dyDescent="0.3">
      <c r="A3142" s="1" t="s">
        <v>1209</v>
      </c>
      <c r="B3142" s="2">
        <v>45755</v>
      </c>
      <c r="C3142" s="2">
        <v>45773</v>
      </c>
      <c r="D3142" s="1" t="s">
        <v>28</v>
      </c>
      <c r="E3142" s="1" t="s">
        <v>24</v>
      </c>
      <c r="F3142" s="1" t="s">
        <v>15</v>
      </c>
      <c r="G3142" s="1" t="s">
        <v>33</v>
      </c>
      <c r="H3142" s="1" t="s">
        <v>29</v>
      </c>
      <c r="I3142" s="1" t="s">
        <v>26</v>
      </c>
      <c r="J3142">
        <v>30</v>
      </c>
      <c r="K3142">
        <v>18</v>
      </c>
      <c r="L3142" s="1" t="s">
        <v>19</v>
      </c>
    </row>
    <row r="3143" spans="1:12" x14ac:dyDescent="0.3">
      <c r="A3143" s="1" t="s">
        <v>2132</v>
      </c>
      <c r="B3143" s="2">
        <v>45755</v>
      </c>
      <c r="C3143" s="2">
        <v>45790</v>
      </c>
      <c r="D3143" s="1" t="s">
        <v>23</v>
      </c>
      <c r="E3143" s="1" t="s">
        <v>14</v>
      </c>
      <c r="F3143" s="1" t="s">
        <v>15</v>
      </c>
      <c r="G3143" s="1" t="s">
        <v>16</v>
      </c>
      <c r="H3143" s="1" t="s">
        <v>43</v>
      </c>
      <c r="I3143" s="1" t="s">
        <v>26</v>
      </c>
      <c r="J3143">
        <v>15</v>
      </c>
      <c r="K3143">
        <v>35</v>
      </c>
      <c r="L3143" s="1" t="s">
        <v>21</v>
      </c>
    </row>
    <row r="3144" spans="1:12" x14ac:dyDescent="0.3">
      <c r="A3144" s="1" t="s">
        <v>2213</v>
      </c>
      <c r="B3144" s="2">
        <v>45755</v>
      </c>
      <c r="C3144" s="2">
        <v>45776</v>
      </c>
      <c r="D3144" s="1" t="s">
        <v>28</v>
      </c>
      <c r="E3144" s="1" t="s">
        <v>24</v>
      </c>
      <c r="F3144" s="1" t="s">
        <v>38</v>
      </c>
      <c r="G3144" s="1" t="s">
        <v>33</v>
      </c>
      <c r="H3144" s="1" t="s">
        <v>54</v>
      </c>
      <c r="I3144" s="1" t="s">
        <v>41</v>
      </c>
      <c r="J3144">
        <v>30</v>
      </c>
      <c r="K3144">
        <v>21</v>
      </c>
      <c r="L3144" s="1" t="s">
        <v>19</v>
      </c>
    </row>
    <row r="3145" spans="1:12" x14ac:dyDescent="0.3">
      <c r="A3145" s="1" t="s">
        <v>582</v>
      </c>
      <c r="B3145" s="2">
        <v>45755</v>
      </c>
      <c r="C3145" s="2">
        <v>45817</v>
      </c>
      <c r="D3145" s="1" t="s">
        <v>37</v>
      </c>
      <c r="E3145" s="1" t="s">
        <v>14</v>
      </c>
      <c r="F3145" s="1" t="s">
        <v>15</v>
      </c>
      <c r="G3145" s="1" t="s">
        <v>33</v>
      </c>
      <c r="H3145" s="1" t="s">
        <v>49</v>
      </c>
      <c r="I3145" s="1" t="s">
        <v>26</v>
      </c>
      <c r="J3145">
        <v>30</v>
      </c>
      <c r="K3145">
        <v>62</v>
      </c>
      <c r="L3145" s="1" t="s">
        <v>80</v>
      </c>
    </row>
    <row r="3146" spans="1:12" x14ac:dyDescent="0.3">
      <c r="A3146" s="1" t="s">
        <v>1571</v>
      </c>
      <c r="B3146" s="2">
        <v>45755</v>
      </c>
      <c r="C3146" s="2">
        <v>45792</v>
      </c>
      <c r="D3146" s="1" t="s">
        <v>37</v>
      </c>
      <c r="E3146" s="1" t="s">
        <v>14</v>
      </c>
      <c r="F3146" s="1" t="s">
        <v>38</v>
      </c>
      <c r="G3146" s="1" t="s">
        <v>16</v>
      </c>
      <c r="H3146" s="1" t="s">
        <v>49</v>
      </c>
      <c r="I3146" s="1" t="s">
        <v>18</v>
      </c>
      <c r="J3146">
        <v>15</v>
      </c>
      <c r="K3146">
        <v>37</v>
      </c>
      <c r="L3146" s="1" t="s">
        <v>21</v>
      </c>
    </row>
    <row r="3147" spans="1:12" x14ac:dyDescent="0.3">
      <c r="A3147" s="1" t="s">
        <v>1636</v>
      </c>
      <c r="B3147" s="2">
        <v>45754</v>
      </c>
      <c r="C3147" s="2">
        <v>45786</v>
      </c>
      <c r="D3147" s="1" t="s">
        <v>32</v>
      </c>
      <c r="E3147" s="1" t="s">
        <v>14</v>
      </c>
      <c r="F3147" s="1" t="s">
        <v>15</v>
      </c>
      <c r="G3147" s="1" t="s">
        <v>16</v>
      </c>
      <c r="H3147" s="1" t="s">
        <v>71</v>
      </c>
      <c r="I3147" s="1" t="s">
        <v>26</v>
      </c>
      <c r="J3147">
        <v>15</v>
      </c>
      <c r="K3147">
        <v>32</v>
      </c>
      <c r="L3147" s="1" t="s">
        <v>21</v>
      </c>
    </row>
    <row r="3148" spans="1:12" x14ac:dyDescent="0.3">
      <c r="A3148" s="1" t="s">
        <v>1666</v>
      </c>
      <c r="B3148" s="2">
        <v>45754</v>
      </c>
      <c r="C3148" s="2">
        <v>45799</v>
      </c>
      <c r="D3148" s="1" t="s">
        <v>13</v>
      </c>
      <c r="E3148" s="1" t="s">
        <v>24</v>
      </c>
      <c r="F3148" s="1" t="s">
        <v>15</v>
      </c>
      <c r="G3148" s="1" t="s">
        <v>16</v>
      </c>
      <c r="H3148" s="1" t="s">
        <v>47</v>
      </c>
      <c r="I3148" s="1" t="s">
        <v>18</v>
      </c>
      <c r="J3148">
        <v>30</v>
      </c>
      <c r="K3148">
        <v>45</v>
      </c>
      <c r="L3148" s="1" t="s">
        <v>44</v>
      </c>
    </row>
    <row r="3149" spans="1:12" x14ac:dyDescent="0.3">
      <c r="A3149" s="1" t="s">
        <v>1694</v>
      </c>
      <c r="B3149" s="2">
        <v>45754</v>
      </c>
      <c r="C3149" s="2">
        <v>45787</v>
      </c>
      <c r="D3149" s="1" t="s">
        <v>23</v>
      </c>
      <c r="E3149" s="1" t="s">
        <v>14</v>
      </c>
      <c r="F3149" s="1" t="s">
        <v>15</v>
      </c>
      <c r="G3149" s="1" t="s">
        <v>16</v>
      </c>
      <c r="H3149" s="1" t="s">
        <v>25</v>
      </c>
      <c r="I3149" s="1" t="s">
        <v>26</v>
      </c>
      <c r="J3149">
        <v>15</v>
      </c>
      <c r="K3149">
        <v>33</v>
      </c>
      <c r="L3149" s="1" t="s">
        <v>21</v>
      </c>
    </row>
    <row r="3150" spans="1:12" x14ac:dyDescent="0.3">
      <c r="A3150" s="1" t="s">
        <v>3017</v>
      </c>
      <c r="B3150" s="2">
        <v>45754</v>
      </c>
      <c r="C3150" s="2">
        <v>45788</v>
      </c>
      <c r="D3150" s="1" t="s">
        <v>28</v>
      </c>
      <c r="E3150" s="1" t="s">
        <v>14</v>
      </c>
      <c r="F3150" s="1" t="s">
        <v>15</v>
      </c>
      <c r="G3150" s="1" t="s">
        <v>53</v>
      </c>
      <c r="H3150" s="1" t="s">
        <v>29</v>
      </c>
      <c r="I3150" s="1" t="s">
        <v>18</v>
      </c>
      <c r="J3150">
        <v>15</v>
      </c>
      <c r="K3150">
        <v>34</v>
      </c>
      <c r="L3150" s="1" t="s">
        <v>21</v>
      </c>
    </row>
    <row r="3151" spans="1:12" x14ac:dyDescent="0.3">
      <c r="A3151" s="1" t="s">
        <v>520</v>
      </c>
      <c r="B3151" s="2">
        <v>45754</v>
      </c>
      <c r="C3151" s="2">
        <v>45806</v>
      </c>
      <c r="D3151" s="1" t="s">
        <v>37</v>
      </c>
      <c r="E3151" s="1" t="s">
        <v>24</v>
      </c>
      <c r="F3151" s="1" t="s">
        <v>15</v>
      </c>
      <c r="G3151" s="1" t="s">
        <v>16</v>
      </c>
      <c r="H3151" s="1" t="s">
        <v>49</v>
      </c>
      <c r="I3151" s="1" t="s">
        <v>18</v>
      </c>
      <c r="J3151">
        <v>30</v>
      </c>
      <c r="K3151">
        <v>52</v>
      </c>
      <c r="L3151" s="1" t="s">
        <v>44</v>
      </c>
    </row>
    <row r="3152" spans="1:12" x14ac:dyDescent="0.3">
      <c r="A3152" s="1" t="s">
        <v>1408</v>
      </c>
      <c r="B3152" s="2">
        <v>45754</v>
      </c>
      <c r="C3152" s="2">
        <v>45805</v>
      </c>
      <c r="D3152" s="1" t="s">
        <v>37</v>
      </c>
      <c r="E3152" s="1" t="s">
        <v>24</v>
      </c>
      <c r="F3152" s="1" t="s">
        <v>15</v>
      </c>
      <c r="G3152" s="1" t="s">
        <v>16</v>
      </c>
      <c r="H3152" s="1" t="s">
        <v>49</v>
      </c>
      <c r="I3152" s="1" t="s">
        <v>18</v>
      </c>
      <c r="J3152">
        <v>45</v>
      </c>
      <c r="K3152">
        <v>51</v>
      </c>
      <c r="L3152" s="1" t="s">
        <v>44</v>
      </c>
    </row>
    <row r="3153" spans="1:12" x14ac:dyDescent="0.3">
      <c r="A3153" s="1" t="s">
        <v>457</v>
      </c>
      <c r="B3153" s="2">
        <v>45754</v>
      </c>
      <c r="C3153" s="2">
        <v>45764</v>
      </c>
      <c r="D3153" s="1" t="s">
        <v>37</v>
      </c>
      <c r="E3153" s="1" t="s">
        <v>24</v>
      </c>
      <c r="F3153" s="1" t="s">
        <v>15</v>
      </c>
      <c r="G3153" s="1" t="s">
        <v>16</v>
      </c>
      <c r="H3153" s="1" t="s">
        <v>39</v>
      </c>
      <c r="I3153" s="1" t="s">
        <v>18</v>
      </c>
      <c r="J3153">
        <v>30</v>
      </c>
      <c r="K3153">
        <v>10</v>
      </c>
      <c r="L3153" s="1" t="s">
        <v>30</v>
      </c>
    </row>
    <row r="3154" spans="1:12" x14ac:dyDescent="0.3">
      <c r="A3154" s="1" t="s">
        <v>452</v>
      </c>
      <c r="B3154" s="2">
        <v>45753</v>
      </c>
      <c r="C3154" s="2">
        <v>45802</v>
      </c>
      <c r="D3154" s="1" t="s">
        <v>28</v>
      </c>
      <c r="E3154" s="1" t="s">
        <v>24</v>
      </c>
      <c r="F3154" s="1" t="s">
        <v>15</v>
      </c>
      <c r="G3154" s="1" t="s">
        <v>33</v>
      </c>
      <c r="H3154" s="1" t="s">
        <v>29</v>
      </c>
      <c r="I3154" s="1" t="s">
        <v>26</v>
      </c>
      <c r="J3154">
        <v>30</v>
      </c>
      <c r="K3154">
        <v>49</v>
      </c>
      <c r="L3154" s="1" t="s">
        <v>44</v>
      </c>
    </row>
    <row r="3155" spans="1:12" x14ac:dyDescent="0.3">
      <c r="A3155" s="1" t="s">
        <v>931</v>
      </c>
      <c r="B3155" s="2">
        <v>45753</v>
      </c>
      <c r="C3155" s="2">
        <v>45801</v>
      </c>
      <c r="D3155" s="1" t="s">
        <v>13</v>
      </c>
      <c r="E3155" s="1" t="s">
        <v>14</v>
      </c>
      <c r="F3155" s="1" t="s">
        <v>15</v>
      </c>
      <c r="G3155" s="1" t="s">
        <v>33</v>
      </c>
      <c r="H3155" s="1" t="s">
        <v>47</v>
      </c>
      <c r="I3155" s="1" t="s">
        <v>26</v>
      </c>
      <c r="J3155">
        <v>15</v>
      </c>
      <c r="K3155">
        <v>48</v>
      </c>
      <c r="L3155" s="1" t="s">
        <v>44</v>
      </c>
    </row>
    <row r="3156" spans="1:12" x14ac:dyDescent="0.3">
      <c r="A3156" s="1" t="s">
        <v>1080</v>
      </c>
      <c r="B3156" s="2">
        <v>45753</v>
      </c>
      <c r="C3156" s="2">
        <v>45793</v>
      </c>
      <c r="D3156" s="1" t="s">
        <v>28</v>
      </c>
      <c r="E3156" s="1" t="s">
        <v>14</v>
      </c>
      <c r="F3156" s="1" t="s">
        <v>15</v>
      </c>
      <c r="G3156" s="1" t="s">
        <v>16</v>
      </c>
      <c r="H3156" s="1" t="s">
        <v>54</v>
      </c>
      <c r="I3156" s="1" t="s">
        <v>26</v>
      </c>
      <c r="J3156">
        <v>15</v>
      </c>
      <c r="K3156">
        <v>40</v>
      </c>
      <c r="L3156" s="1" t="s">
        <v>21</v>
      </c>
    </row>
    <row r="3157" spans="1:12" x14ac:dyDescent="0.3">
      <c r="A3157" s="1" t="s">
        <v>3145</v>
      </c>
      <c r="B3157" s="2">
        <v>45753</v>
      </c>
      <c r="C3157" s="2">
        <v>45798</v>
      </c>
      <c r="D3157" s="1" t="s">
        <v>13</v>
      </c>
      <c r="E3157" s="1" t="s">
        <v>24</v>
      </c>
      <c r="F3157" s="1" t="s">
        <v>15</v>
      </c>
      <c r="G3157" s="1" t="s">
        <v>16</v>
      </c>
      <c r="H3157" s="1" t="s">
        <v>17</v>
      </c>
      <c r="I3157" s="1" t="s">
        <v>26</v>
      </c>
      <c r="J3157">
        <v>30</v>
      </c>
      <c r="K3157">
        <v>45</v>
      </c>
      <c r="L3157" s="1" t="s">
        <v>44</v>
      </c>
    </row>
    <row r="3158" spans="1:12" x14ac:dyDescent="0.3">
      <c r="A3158" s="1" t="s">
        <v>3178</v>
      </c>
      <c r="B3158" s="2">
        <v>45753</v>
      </c>
      <c r="C3158" s="2">
        <v>45794</v>
      </c>
      <c r="D3158" s="1" t="s">
        <v>13</v>
      </c>
      <c r="E3158" s="1" t="s">
        <v>24</v>
      </c>
      <c r="F3158" s="1" t="s">
        <v>15</v>
      </c>
      <c r="G3158" s="1" t="s">
        <v>16</v>
      </c>
      <c r="H3158" s="1" t="s">
        <v>47</v>
      </c>
      <c r="I3158" s="1" t="s">
        <v>41</v>
      </c>
      <c r="J3158">
        <v>30</v>
      </c>
      <c r="K3158">
        <v>41</v>
      </c>
      <c r="L3158" s="1" t="s">
        <v>21</v>
      </c>
    </row>
    <row r="3159" spans="1:12" x14ac:dyDescent="0.3">
      <c r="A3159" s="1" t="s">
        <v>1163</v>
      </c>
      <c r="B3159" s="2">
        <v>45753</v>
      </c>
      <c r="C3159" s="2">
        <v>45810</v>
      </c>
      <c r="D3159" s="1" t="s">
        <v>37</v>
      </c>
      <c r="E3159" s="1" t="s">
        <v>24</v>
      </c>
      <c r="F3159" s="1" t="s">
        <v>15</v>
      </c>
      <c r="G3159" s="1" t="s">
        <v>16</v>
      </c>
      <c r="H3159" s="1" t="s">
        <v>49</v>
      </c>
      <c r="I3159" s="1" t="s">
        <v>26</v>
      </c>
      <c r="J3159">
        <v>45</v>
      </c>
      <c r="K3159">
        <v>57</v>
      </c>
      <c r="L3159" s="1" t="s">
        <v>80</v>
      </c>
    </row>
    <row r="3160" spans="1:12" x14ac:dyDescent="0.3">
      <c r="A3160" s="1" t="s">
        <v>881</v>
      </c>
      <c r="B3160" s="2">
        <v>45753</v>
      </c>
      <c r="C3160" s="2">
        <v>45776</v>
      </c>
      <c r="D3160" s="1" t="s">
        <v>37</v>
      </c>
      <c r="E3160" s="1" t="s">
        <v>14</v>
      </c>
      <c r="F3160" s="1" t="s">
        <v>15</v>
      </c>
      <c r="G3160" s="1" t="s">
        <v>16</v>
      </c>
      <c r="H3160" s="1" t="s">
        <v>39</v>
      </c>
      <c r="I3160" s="1" t="s">
        <v>26</v>
      </c>
      <c r="J3160">
        <v>30</v>
      </c>
      <c r="K3160">
        <v>23</v>
      </c>
      <c r="L3160" s="1" t="s">
        <v>19</v>
      </c>
    </row>
    <row r="3161" spans="1:12" x14ac:dyDescent="0.3">
      <c r="A3161" s="1" t="s">
        <v>1724</v>
      </c>
      <c r="B3161" s="2">
        <v>45752</v>
      </c>
      <c r="C3161" s="2">
        <v>45771</v>
      </c>
      <c r="D3161" s="1" t="s">
        <v>13</v>
      </c>
      <c r="E3161" s="1" t="s">
        <v>24</v>
      </c>
      <c r="F3161" s="1" t="s">
        <v>38</v>
      </c>
      <c r="G3161" s="1" t="s">
        <v>53</v>
      </c>
      <c r="H3161" s="1" t="s">
        <v>17</v>
      </c>
      <c r="I3161" s="1" t="s">
        <v>41</v>
      </c>
      <c r="J3161">
        <v>45</v>
      </c>
      <c r="K3161">
        <v>19</v>
      </c>
      <c r="L3161" s="1" t="s">
        <v>19</v>
      </c>
    </row>
    <row r="3162" spans="1:12" x14ac:dyDescent="0.3">
      <c r="A3162" s="1" t="s">
        <v>843</v>
      </c>
      <c r="B3162" s="2">
        <v>45752</v>
      </c>
      <c r="C3162" s="2">
        <v>45815</v>
      </c>
      <c r="D3162" s="1" t="s">
        <v>37</v>
      </c>
      <c r="E3162" s="1" t="s">
        <v>24</v>
      </c>
      <c r="F3162" s="1" t="s">
        <v>15</v>
      </c>
      <c r="G3162" s="1" t="s">
        <v>33</v>
      </c>
      <c r="H3162" s="1" t="s">
        <v>49</v>
      </c>
      <c r="I3162" s="1" t="s">
        <v>26</v>
      </c>
      <c r="J3162">
        <v>45</v>
      </c>
      <c r="K3162">
        <v>63</v>
      </c>
      <c r="L3162" s="1" t="s">
        <v>80</v>
      </c>
    </row>
    <row r="3163" spans="1:12" x14ac:dyDescent="0.3">
      <c r="A3163" s="1" t="s">
        <v>832</v>
      </c>
      <c r="B3163" s="2">
        <v>45752</v>
      </c>
      <c r="C3163" s="2">
        <v>45800</v>
      </c>
      <c r="D3163" s="1" t="s">
        <v>37</v>
      </c>
      <c r="E3163" s="1" t="s">
        <v>24</v>
      </c>
      <c r="F3163" s="1" t="s">
        <v>38</v>
      </c>
      <c r="G3163" s="1" t="s">
        <v>16</v>
      </c>
      <c r="H3163" s="1" t="s">
        <v>39</v>
      </c>
      <c r="I3163" s="1" t="s">
        <v>18</v>
      </c>
      <c r="J3163">
        <v>30</v>
      </c>
      <c r="K3163">
        <v>48</v>
      </c>
      <c r="L3163" s="1" t="s">
        <v>44</v>
      </c>
    </row>
    <row r="3164" spans="1:12" x14ac:dyDescent="0.3">
      <c r="A3164" s="1" t="s">
        <v>344</v>
      </c>
      <c r="B3164" s="2">
        <v>45751</v>
      </c>
      <c r="C3164" s="2">
        <v>45811</v>
      </c>
      <c r="D3164" s="1" t="s">
        <v>32</v>
      </c>
      <c r="E3164" s="1" t="s">
        <v>14</v>
      </c>
      <c r="F3164" s="1" t="s">
        <v>15</v>
      </c>
      <c r="G3164" s="1" t="s">
        <v>16</v>
      </c>
      <c r="H3164" s="1" t="s">
        <v>34</v>
      </c>
      <c r="I3164" s="1" t="s">
        <v>26</v>
      </c>
      <c r="J3164">
        <v>30</v>
      </c>
      <c r="K3164">
        <v>60</v>
      </c>
      <c r="L3164" s="1" t="s">
        <v>80</v>
      </c>
    </row>
    <row r="3165" spans="1:12" x14ac:dyDescent="0.3">
      <c r="A3165" s="1" t="s">
        <v>1112</v>
      </c>
      <c r="B3165" s="2">
        <v>45751</v>
      </c>
      <c r="C3165" s="2">
        <v>45785</v>
      </c>
      <c r="D3165" s="1" t="s">
        <v>32</v>
      </c>
      <c r="E3165" s="1" t="s">
        <v>14</v>
      </c>
      <c r="F3165" s="1" t="s">
        <v>15</v>
      </c>
      <c r="G3165" s="1" t="s">
        <v>16</v>
      </c>
      <c r="H3165" s="1" t="s">
        <v>34</v>
      </c>
      <c r="I3165" s="1" t="s">
        <v>41</v>
      </c>
      <c r="J3165">
        <v>30</v>
      </c>
      <c r="K3165">
        <v>34</v>
      </c>
      <c r="L3165" s="1" t="s">
        <v>21</v>
      </c>
    </row>
    <row r="3166" spans="1:12" x14ac:dyDescent="0.3">
      <c r="A3166" s="1" t="s">
        <v>1574</v>
      </c>
      <c r="B3166" s="2">
        <v>45751</v>
      </c>
      <c r="C3166" s="2">
        <v>45774</v>
      </c>
      <c r="D3166" s="1" t="s">
        <v>23</v>
      </c>
      <c r="E3166" s="1" t="s">
        <v>24</v>
      </c>
      <c r="F3166" s="1" t="s">
        <v>15</v>
      </c>
      <c r="G3166" s="1" t="s">
        <v>16</v>
      </c>
      <c r="H3166" s="1" t="s">
        <v>43</v>
      </c>
      <c r="I3166" s="1" t="s">
        <v>26</v>
      </c>
      <c r="J3166">
        <v>45</v>
      </c>
      <c r="K3166">
        <v>23</v>
      </c>
      <c r="L3166" s="1" t="s">
        <v>19</v>
      </c>
    </row>
    <row r="3167" spans="1:12" x14ac:dyDescent="0.3">
      <c r="A3167" s="1" t="s">
        <v>1805</v>
      </c>
      <c r="B3167" s="2">
        <v>45751</v>
      </c>
      <c r="C3167" s="2">
        <v>45788</v>
      </c>
      <c r="D3167" s="1" t="s">
        <v>23</v>
      </c>
      <c r="E3167" s="1" t="s">
        <v>14</v>
      </c>
      <c r="F3167" s="1" t="s">
        <v>38</v>
      </c>
      <c r="G3167" s="1" t="s">
        <v>16</v>
      </c>
      <c r="H3167" s="1" t="s">
        <v>25</v>
      </c>
      <c r="I3167" s="1" t="s">
        <v>18</v>
      </c>
      <c r="J3167">
        <v>15</v>
      </c>
      <c r="K3167">
        <v>37</v>
      </c>
      <c r="L3167" s="1" t="s">
        <v>21</v>
      </c>
    </row>
    <row r="3168" spans="1:12" x14ac:dyDescent="0.3">
      <c r="A3168" s="1" t="s">
        <v>1849</v>
      </c>
      <c r="B3168" s="2">
        <v>45751</v>
      </c>
      <c r="C3168" s="2">
        <v>45786</v>
      </c>
      <c r="D3168" s="1" t="s">
        <v>13</v>
      </c>
      <c r="E3168" s="1" t="s">
        <v>24</v>
      </c>
      <c r="F3168" s="1" t="s">
        <v>15</v>
      </c>
      <c r="G3168" s="1" t="s">
        <v>16</v>
      </c>
      <c r="H3168" s="1" t="s">
        <v>47</v>
      </c>
      <c r="I3168" s="1" t="s">
        <v>18</v>
      </c>
      <c r="J3168">
        <v>30</v>
      </c>
      <c r="K3168">
        <v>35</v>
      </c>
      <c r="L3168" s="1" t="s">
        <v>21</v>
      </c>
    </row>
    <row r="3169" spans="1:12" x14ac:dyDescent="0.3">
      <c r="A3169" s="1" t="s">
        <v>2485</v>
      </c>
      <c r="B3169" s="2">
        <v>45751</v>
      </c>
      <c r="C3169" s="2">
        <v>45790</v>
      </c>
      <c r="D3169" s="1" t="s">
        <v>23</v>
      </c>
      <c r="E3169" s="1" t="s">
        <v>14</v>
      </c>
      <c r="F3169" s="1" t="s">
        <v>15</v>
      </c>
      <c r="G3169" s="1" t="s">
        <v>16</v>
      </c>
      <c r="H3169" s="1" t="s">
        <v>25</v>
      </c>
      <c r="I3169" s="1" t="s">
        <v>41</v>
      </c>
      <c r="J3169">
        <v>30</v>
      </c>
      <c r="K3169">
        <v>39</v>
      </c>
      <c r="L3169" s="1" t="s">
        <v>21</v>
      </c>
    </row>
    <row r="3170" spans="1:12" x14ac:dyDescent="0.3">
      <c r="A3170" s="1" t="s">
        <v>1217</v>
      </c>
      <c r="B3170" s="2">
        <v>45751</v>
      </c>
      <c r="C3170" s="2">
        <v>45785</v>
      </c>
      <c r="D3170" s="1" t="s">
        <v>37</v>
      </c>
      <c r="E3170" s="1" t="s">
        <v>14</v>
      </c>
      <c r="F3170" s="1" t="s">
        <v>15</v>
      </c>
      <c r="G3170" s="1" t="s">
        <v>33</v>
      </c>
      <c r="H3170" s="1" t="s">
        <v>49</v>
      </c>
      <c r="I3170" s="1" t="s">
        <v>26</v>
      </c>
      <c r="J3170">
        <v>15</v>
      </c>
      <c r="K3170">
        <v>34</v>
      </c>
      <c r="L3170" s="1" t="s">
        <v>21</v>
      </c>
    </row>
    <row r="3171" spans="1:12" x14ac:dyDescent="0.3">
      <c r="A3171" s="1" t="s">
        <v>145</v>
      </c>
      <c r="B3171" s="2">
        <v>45750</v>
      </c>
      <c r="C3171" s="2">
        <v>45817</v>
      </c>
      <c r="D3171" s="1" t="s">
        <v>13</v>
      </c>
      <c r="E3171" s="1" t="s">
        <v>14</v>
      </c>
      <c r="F3171" s="1" t="s">
        <v>15</v>
      </c>
      <c r="G3171" s="1" t="s">
        <v>16</v>
      </c>
      <c r="H3171" s="1" t="s">
        <v>47</v>
      </c>
      <c r="I3171" s="1" t="s">
        <v>41</v>
      </c>
      <c r="J3171">
        <v>15</v>
      </c>
      <c r="K3171">
        <v>67</v>
      </c>
      <c r="L3171" s="1" t="s">
        <v>80</v>
      </c>
    </row>
    <row r="3172" spans="1:12" x14ac:dyDescent="0.3">
      <c r="A3172" s="1" t="s">
        <v>617</v>
      </c>
      <c r="B3172" s="2">
        <v>45750</v>
      </c>
      <c r="C3172" s="2">
        <v>45770</v>
      </c>
      <c r="D3172" s="1" t="s">
        <v>32</v>
      </c>
      <c r="E3172" s="1" t="s">
        <v>14</v>
      </c>
      <c r="F3172" s="1" t="s">
        <v>15</v>
      </c>
      <c r="G3172" s="1" t="s">
        <v>16</v>
      </c>
      <c r="H3172" s="1" t="s">
        <v>71</v>
      </c>
      <c r="I3172" s="1" t="s">
        <v>26</v>
      </c>
      <c r="J3172">
        <v>15</v>
      </c>
      <c r="K3172">
        <v>20</v>
      </c>
      <c r="L3172" s="1" t="s">
        <v>19</v>
      </c>
    </row>
    <row r="3173" spans="1:12" x14ac:dyDescent="0.3">
      <c r="A3173" s="1" t="s">
        <v>749</v>
      </c>
      <c r="B3173" s="2">
        <v>45750</v>
      </c>
      <c r="C3173" s="2">
        <v>45795</v>
      </c>
      <c r="D3173" s="1" t="s">
        <v>32</v>
      </c>
      <c r="E3173" s="1" t="s">
        <v>14</v>
      </c>
      <c r="F3173" s="1" t="s">
        <v>15</v>
      </c>
      <c r="G3173" s="1" t="s">
        <v>53</v>
      </c>
      <c r="H3173" s="1" t="s">
        <v>71</v>
      </c>
      <c r="I3173" s="1" t="s">
        <v>18</v>
      </c>
      <c r="J3173">
        <v>15</v>
      </c>
      <c r="K3173">
        <v>45</v>
      </c>
      <c r="L3173" s="1" t="s">
        <v>44</v>
      </c>
    </row>
    <row r="3174" spans="1:12" x14ac:dyDescent="0.3">
      <c r="A3174" s="1" t="s">
        <v>1232</v>
      </c>
      <c r="B3174" s="2">
        <v>45750</v>
      </c>
      <c r="C3174" s="2">
        <v>45798</v>
      </c>
      <c r="D3174" s="1" t="s">
        <v>13</v>
      </c>
      <c r="E3174" s="1" t="s">
        <v>14</v>
      </c>
      <c r="F3174" s="1" t="s">
        <v>15</v>
      </c>
      <c r="G3174" s="1" t="s">
        <v>53</v>
      </c>
      <c r="H3174" s="1" t="s">
        <v>47</v>
      </c>
      <c r="I3174" s="1" t="s">
        <v>26</v>
      </c>
      <c r="J3174">
        <v>15</v>
      </c>
      <c r="K3174">
        <v>48</v>
      </c>
      <c r="L3174" s="1" t="s">
        <v>44</v>
      </c>
    </row>
    <row r="3175" spans="1:12" x14ac:dyDescent="0.3">
      <c r="A3175" s="1" t="s">
        <v>1321</v>
      </c>
      <c r="B3175" s="2">
        <v>45750</v>
      </c>
      <c r="C3175" s="2">
        <v>45806</v>
      </c>
      <c r="D3175" s="1" t="s">
        <v>28</v>
      </c>
      <c r="E3175" s="1" t="s">
        <v>14</v>
      </c>
      <c r="F3175" s="1" t="s">
        <v>15</v>
      </c>
      <c r="G3175" s="1" t="s">
        <v>16</v>
      </c>
      <c r="H3175" s="1" t="s">
        <v>54</v>
      </c>
      <c r="I3175" s="1" t="s">
        <v>26</v>
      </c>
      <c r="J3175">
        <v>30</v>
      </c>
      <c r="K3175">
        <v>56</v>
      </c>
      <c r="L3175" s="1" t="s">
        <v>44</v>
      </c>
    </row>
    <row r="3176" spans="1:12" x14ac:dyDescent="0.3">
      <c r="A3176" s="1" t="s">
        <v>2443</v>
      </c>
      <c r="B3176" s="2">
        <v>45750</v>
      </c>
      <c r="C3176" s="2">
        <v>45808</v>
      </c>
      <c r="D3176" s="1" t="s">
        <v>32</v>
      </c>
      <c r="E3176" s="1" t="s">
        <v>24</v>
      </c>
      <c r="F3176" s="1" t="s">
        <v>15</v>
      </c>
      <c r="G3176" s="1" t="s">
        <v>16</v>
      </c>
      <c r="H3176" s="1" t="s">
        <v>34</v>
      </c>
      <c r="I3176" s="1" t="s">
        <v>26</v>
      </c>
      <c r="J3176">
        <v>45</v>
      </c>
      <c r="K3176">
        <v>58</v>
      </c>
      <c r="L3176" s="1" t="s">
        <v>80</v>
      </c>
    </row>
    <row r="3177" spans="1:12" x14ac:dyDescent="0.3">
      <c r="A3177" s="1" t="s">
        <v>2244</v>
      </c>
      <c r="B3177" s="2">
        <v>45750</v>
      </c>
      <c r="C3177" s="2">
        <v>45798</v>
      </c>
      <c r="D3177" s="1" t="s">
        <v>37</v>
      </c>
      <c r="E3177" s="1" t="s">
        <v>14</v>
      </c>
      <c r="F3177" s="1" t="s">
        <v>38</v>
      </c>
      <c r="G3177" s="1" t="s">
        <v>16</v>
      </c>
      <c r="H3177" s="1" t="s">
        <v>39</v>
      </c>
      <c r="I3177" s="1" t="s">
        <v>26</v>
      </c>
      <c r="J3177">
        <v>15</v>
      </c>
      <c r="K3177">
        <v>48</v>
      </c>
      <c r="L3177" s="1" t="s">
        <v>44</v>
      </c>
    </row>
    <row r="3178" spans="1:12" x14ac:dyDescent="0.3">
      <c r="A3178" s="1" t="s">
        <v>507</v>
      </c>
      <c r="B3178" s="2">
        <v>45750</v>
      </c>
      <c r="C3178" s="2">
        <v>45760</v>
      </c>
      <c r="D3178" s="1" t="s">
        <v>37</v>
      </c>
      <c r="E3178" s="1" t="s">
        <v>24</v>
      </c>
      <c r="F3178" s="1" t="s">
        <v>38</v>
      </c>
      <c r="G3178" s="1" t="s">
        <v>16</v>
      </c>
      <c r="H3178" s="1" t="s">
        <v>39</v>
      </c>
      <c r="I3178" s="1" t="s">
        <v>26</v>
      </c>
      <c r="J3178">
        <v>30</v>
      </c>
      <c r="K3178">
        <v>10</v>
      </c>
      <c r="L3178" s="1" t="s">
        <v>30</v>
      </c>
    </row>
    <row r="3179" spans="1:12" x14ac:dyDescent="0.3">
      <c r="A3179" s="1" t="s">
        <v>423</v>
      </c>
      <c r="B3179" s="2">
        <v>45749</v>
      </c>
      <c r="C3179" s="2">
        <v>45761</v>
      </c>
      <c r="D3179" s="1" t="s">
        <v>28</v>
      </c>
      <c r="E3179" s="1" t="s">
        <v>14</v>
      </c>
      <c r="F3179" s="1" t="s">
        <v>15</v>
      </c>
      <c r="G3179" s="1" t="s">
        <v>16</v>
      </c>
      <c r="H3179" s="1" t="s">
        <v>54</v>
      </c>
      <c r="I3179" s="1" t="s">
        <v>26</v>
      </c>
      <c r="J3179">
        <v>30</v>
      </c>
      <c r="K3179">
        <v>12</v>
      </c>
      <c r="L3179" s="1" t="s">
        <v>30</v>
      </c>
    </row>
    <row r="3180" spans="1:12" x14ac:dyDescent="0.3">
      <c r="A3180" s="1" t="s">
        <v>887</v>
      </c>
      <c r="B3180" s="2">
        <v>45749</v>
      </c>
      <c r="C3180" s="2">
        <v>45768</v>
      </c>
      <c r="D3180" s="1" t="s">
        <v>23</v>
      </c>
      <c r="E3180" s="1" t="s">
        <v>24</v>
      </c>
      <c r="F3180" s="1" t="s">
        <v>15</v>
      </c>
      <c r="G3180" s="1" t="s">
        <v>16</v>
      </c>
      <c r="H3180" s="1" t="s">
        <v>25</v>
      </c>
      <c r="I3180" s="1" t="s">
        <v>41</v>
      </c>
      <c r="J3180">
        <v>30</v>
      </c>
      <c r="K3180">
        <v>19</v>
      </c>
      <c r="L3180" s="1" t="s">
        <v>19</v>
      </c>
    </row>
    <row r="3181" spans="1:12" x14ac:dyDescent="0.3">
      <c r="A3181" s="1" t="s">
        <v>943</v>
      </c>
      <c r="B3181" s="2">
        <v>45749</v>
      </c>
      <c r="C3181" s="2">
        <v>45761</v>
      </c>
      <c r="D3181" s="1" t="s">
        <v>32</v>
      </c>
      <c r="E3181" s="1" t="s">
        <v>14</v>
      </c>
      <c r="F3181" s="1" t="s">
        <v>15</v>
      </c>
      <c r="G3181" s="1" t="s">
        <v>16</v>
      </c>
      <c r="H3181" s="1" t="s">
        <v>71</v>
      </c>
      <c r="I3181" s="1" t="s">
        <v>26</v>
      </c>
      <c r="J3181">
        <v>30</v>
      </c>
      <c r="K3181">
        <v>12</v>
      </c>
      <c r="L3181" s="1" t="s">
        <v>30</v>
      </c>
    </row>
    <row r="3182" spans="1:12" x14ac:dyDescent="0.3">
      <c r="A3182" s="1" t="s">
        <v>1279</v>
      </c>
      <c r="B3182" s="2">
        <v>45749</v>
      </c>
      <c r="C3182" s="2">
        <v>45794</v>
      </c>
      <c r="D3182" s="1" t="s">
        <v>28</v>
      </c>
      <c r="E3182" s="1" t="s">
        <v>24</v>
      </c>
      <c r="F3182" s="1" t="s">
        <v>15</v>
      </c>
      <c r="G3182" s="1" t="s">
        <v>16</v>
      </c>
      <c r="H3182" s="1" t="s">
        <v>54</v>
      </c>
      <c r="I3182" s="1" t="s">
        <v>41</v>
      </c>
      <c r="J3182">
        <v>30</v>
      </c>
      <c r="K3182">
        <v>45</v>
      </c>
      <c r="L3182" s="1" t="s">
        <v>44</v>
      </c>
    </row>
    <row r="3183" spans="1:12" x14ac:dyDescent="0.3">
      <c r="A3183" s="1" t="s">
        <v>1336</v>
      </c>
      <c r="B3183" s="2">
        <v>45749</v>
      </c>
      <c r="C3183" s="2">
        <v>45788</v>
      </c>
      <c r="D3183" s="1" t="s">
        <v>28</v>
      </c>
      <c r="E3183" s="1" t="s">
        <v>24</v>
      </c>
      <c r="F3183" s="1" t="s">
        <v>38</v>
      </c>
      <c r="G3183" s="1" t="s">
        <v>16</v>
      </c>
      <c r="H3183" s="1" t="s">
        <v>54</v>
      </c>
      <c r="I3183" s="1" t="s">
        <v>26</v>
      </c>
      <c r="J3183">
        <v>30</v>
      </c>
      <c r="K3183">
        <v>39</v>
      </c>
      <c r="L3183" s="1" t="s">
        <v>21</v>
      </c>
    </row>
    <row r="3184" spans="1:12" x14ac:dyDescent="0.3">
      <c r="A3184" s="1" t="s">
        <v>1592</v>
      </c>
      <c r="B3184" s="2">
        <v>45749</v>
      </c>
      <c r="C3184" s="2">
        <v>45769</v>
      </c>
      <c r="D3184" s="1" t="s">
        <v>13</v>
      </c>
      <c r="E3184" s="1" t="s">
        <v>24</v>
      </c>
      <c r="F3184" s="1" t="s">
        <v>15</v>
      </c>
      <c r="G3184" s="1" t="s">
        <v>53</v>
      </c>
      <c r="H3184" s="1" t="s">
        <v>17</v>
      </c>
      <c r="I3184" s="1" t="s">
        <v>41</v>
      </c>
      <c r="J3184">
        <v>30</v>
      </c>
      <c r="K3184">
        <v>20</v>
      </c>
      <c r="L3184" s="1" t="s">
        <v>19</v>
      </c>
    </row>
    <row r="3185" spans="1:12" x14ac:dyDescent="0.3">
      <c r="A3185" s="1" t="s">
        <v>1664</v>
      </c>
      <c r="B3185" s="2">
        <v>45749</v>
      </c>
      <c r="C3185" s="2">
        <v>45757</v>
      </c>
      <c r="D3185" s="1" t="s">
        <v>28</v>
      </c>
      <c r="E3185" s="1" t="s">
        <v>24</v>
      </c>
      <c r="F3185" s="1" t="s">
        <v>15</v>
      </c>
      <c r="G3185" s="1" t="s">
        <v>53</v>
      </c>
      <c r="H3185" s="1" t="s">
        <v>29</v>
      </c>
      <c r="I3185" s="1" t="s">
        <v>26</v>
      </c>
      <c r="J3185">
        <v>45</v>
      </c>
      <c r="K3185">
        <v>8</v>
      </c>
      <c r="L3185" s="1" t="s">
        <v>30</v>
      </c>
    </row>
    <row r="3186" spans="1:12" x14ac:dyDescent="0.3">
      <c r="A3186" s="1" t="s">
        <v>1781</v>
      </c>
      <c r="B3186" s="2">
        <v>45749</v>
      </c>
      <c r="C3186" s="2">
        <v>45776</v>
      </c>
      <c r="D3186" s="1" t="s">
        <v>28</v>
      </c>
      <c r="E3186" s="1" t="s">
        <v>24</v>
      </c>
      <c r="F3186" s="1" t="s">
        <v>15</v>
      </c>
      <c r="G3186" s="1" t="s">
        <v>16</v>
      </c>
      <c r="H3186" s="1" t="s">
        <v>29</v>
      </c>
      <c r="I3186" s="1" t="s">
        <v>26</v>
      </c>
      <c r="J3186">
        <v>30</v>
      </c>
      <c r="K3186">
        <v>27</v>
      </c>
      <c r="L3186" s="1" t="s">
        <v>19</v>
      </c>
    </row>
    <row r="3187" spans="1:12" x14ac:dyDescent="0.3">
      <c r="A3187" s="1" t="s">
        <v>1955</v>
      </c>
      <c r="B3187" s="2">
        <v>45749</v>
      </c>
      <c r="C3187" s="2">
        <v>45803</v>
      </c>
      <c r="D3187" s="1" t="s">
        <v>13</v>
      </c>
      <c r="E3187" s="1" t="s">
        <v>24</v>
      </c>
      <c r="F3187" s="1" t="s">
        <v>15</v>
      </c>
      <c r="G3187" s="1" t="s">
        <v>33</v>
      </c>
      <c r="H3187" s="1" t="s">
        <v>47</v>
      </c>
      <c r="I3187" s="1" t="s">
        <v>41</v>
      </c>
      <c r="J3187">
        <v>30</v>
      </c>
      <c r="K3187">
        <v>54</v>
      </c>
      <c r="L3187" s="1" t="s">
        <v>44</v>
      </c>
    </row>
    <row r="3188" spans="1:12" x14ac:dyDescent="0.3">
      <c r="A3188" s="1" t="s">
        <v>2670</v>
      </c>
      <c r="B3188" s="2">
        <v>45749</v>
      </c>
      <c r="C3188" s="2">
        <v>45777</v>
      </c>
      <c r="D3188" s="1" t="s">
        <v>32</v>
      </c>
      <c r="E3188" s="1" t="s">
        <v>14</v>
      </c>
      <c r="F3188" s="1" t="s">
        <v>38</v>
      </c>
      <c r="G3188" s="1" t="s">
        <v>16</v>
      </c>
      <c r="H3188" s="1" t="s">
        <v>71</v>
      </c>
      <c r="I3188" s="1" t="s">
        <v>26</v>
      </c>
      <c r="J3188">
        <v>15</v>
      </c>
      <c r="K3188">
        <v>28</v>
      </c>
      <c r="L3188" s="1" t="s">
        <v>19</v>
      </c>
    </row>
    <row r="3189" spans="1:12" x14ac:dyDescent="0.3">
      <c r="A3189" s="1" t="s">
        <v>2688</v>
      </c>
      <c r="B3189" s="2">
        <v>45749</v>
      </c>
      <c r="C3189" s="2">
        <v>45779</v>
      </c>
      <c r="D3189" s="1" t="s">
        <v>23</v>
      </c>
      <c r="E3189" s="1" t="s">
        <v>24</v>
      </c>
      <c r="F3189" s="1" t="s">
        <v>38</v>
      </c>
      <c r="G3189" s="1" t="s">
        <v>53</v>
      </c>
      <c r="H3189" s="1" t="s">
        <v>25</v>
      </c>
      <c r="I3189" s="1" t="s">
        <v>41</v>
      </c>
      <c r="J3189">
        <v>45</v>
      </c>
      <c r="K3189">
        <v>30</v>
      </c>
      <c r="L3189" s="1" t="s">
        <v>21</v>
      </c>
    </row>
    <row r="3190" spans="1:12" x14ac:dyDescent="0.3">
      <c r="A3190" s="1" t="s">
        <v>2831</v>
      </c>
      <c r="B3190" s="2">
        <v>45749</v>
      </c>
      <c r="C3190" s="2">
        <v>45791</v>
      </c>
      <c r="D3190" s="1" t="s">
        <v>37</v>
      </c>
      <c r="E3190" s="1" t="s">
        <v>24</v>
      </c>
      <c r="F3190" s="1" t="s">
        <v>38</v>
      </c>
      <c r="G3190" s="1" t="s">
        <v>16</v>
      </c>
      <c r="H3190" s="1" t="s">
        <v>39</v>
      </c>
      <c r="I3190" s="1" t="s">
        <v>41</v>
      </c>
      <c r="J3190">
        <v>45</v>
      </c>
      <c r="K3190">
        <v>42</v>
      </c>
      <c r="L3190" s="1" t="s">
        <v>21</v>
      </c>
    </row>
    <row r="3191" spans="1:12" x14ac:dyDescent="0.3">
      <c r="A3191" s="1" t="s">
        <v>3233</v>
      </c>
      <c r="B3191" s="2">
        <v>45749</v>
      </c>
      <c r="C3191" s="2">
        <v>45799</v>
      </c>
      <c r="D3191" s="1" t="s">
        <v>23</v>
      </c>
      <c r="E3191" s="1" t="s">
        <v>24</v>
      </c>
      <c r="F3191" s="1" t="s">
        <v>15</v>
      </c>
      <c r="G3191" s="1" t="s">
        <v>16</v>
      </c>
      <c r="H3191" s="1" t="s">
        <v>43</v>
      </c>
      <c r="I3191" s="1" t="s">
        <v>26</v>
      </c>
      <c r="J3191">
        <v>45</v>
      </c>
      <c r="K3191">
        <v>50</v>
      </c>
      <c r="L3191" s="1" t="s">
        <v>44</v>
      </c>
    </row>
    <row r="3192" spans="1:12" x14ac:dyDescent="0.3">
      <c r="A3192" s="1" t="s">
        <v>815</v>
      </c>
      <c r="B3192" s="2">
        <v>45749</v>
      </c>
      <c r="C3192" s="2">
        <v>45788</v>
      </c>
      <c r="D3192" s="1" t="s">
        <v>37</v>
      </c>
      <c r="E3192" s="1" t="s">
        <v>24</v>
      </c>
      <c r="F3192" s="1" t="s">
        <v>15</v>
      </c>
      <c r="G3192" s="1" t="s">
        <v>16</v>
      </c>
      <c r="H3192" s="1" t="s">
        <v>39</v>
      </c>
      <c r="I3192" s="1" t="s">
        <v>26</v>
      </c>
      <c r="J3192">
        <v>30</v>
      </c>
      <c r="K3192">
        <v>39</v>
      </c>
      <c r="L3192" s="1" t="s">
        <v>21</v>
      </c>
    </row>
    <row r="3193" spans="1:12" x14ac:dyDescent="0.3">
      <c r="A3193" s="1" t="s">
        <v>888</v>
      </c>
      <c r="B3193" s="2">
        <v>45749</v>
      </c>
      <c r="C3193" s="2">
        <v>45754</v>
      </c>
      <c r="D3193" s="1" t="s">
        <v>37</v>
      </c>
      <c r="E3193" s="1" t="s">
        <v>24</v>
      </c>
      <c r="F3193" s="1" t="s">
        <v>38</v>
      </c>
      <c r="G3193" s="1" t="s">
        <v>16</v>
      </c>
      <c r="H3193" s="1" t="s">
        <v>39</v>
      </c>
      <c r="I3193" s="1" t="s">
        <v>18</v>
      </c>
      <c r="J3193">
        <v>30</v>
      </c>
      <c r="K3193">
        <v>5</v>
      </c>
      <c r="L3193" s="1" t="s">
        <v>30</v>
      </c>
    </row>
    <row r="3194" spans="1:12" x14ac:dyDescent="0.3">
      <c r="A3194" s="1" t="s">
        <v>1451</v>
      </c>
      <c r="B3194" s="2">
        <v>45748</v>
      </c>
      <c r="C3194" s="2">
        <v>45819</v>
      </c>
      <c r="D3194" s="1" t="s">
        <v>28</v>
      </c>
      <c r="E3194" s="1" t="s">
        <v>14</v>
      </c>
      <c r="F3194" s="1" t="s">
        <v>15</v>
      </c>
      <c r="G3194" s="1" t="s">
        <v>53</v>
      </c>
      <c r="H3194" s="1" t="s">
        <v>54</v>
      </c>
      <c r="I3194" s="1" t="s">
        <v>41</v>
      </c>
      <c r="J3194">
        <v>30</v>
      </c>
      <c r="K3194">
        <v>71</v>
      </c>
      <c r="L3194" s="1" t="s">
        <v>80</v>
      </c>
    </row>
    <row r="3195" spans="1:12" x14ac:dyDescent="0.3">
      <c r="A3195" s="1" t="s">
        <v>1524</v>
      </c>
      <c r="B3195" s="2">
        <v>45748</v>
      </c>
      <c r="C3195" s="2">
        <v>45780</v>
      </c>
      <c r="D3195" s="1" t="s">
        <v>28</v>
      </c>
      <c r="E3195" s="1" t="s">
        <v>14</v>
      </c>
      <c r="F3195" s="1" t="s">
        <v>15</v>
      </c>
      <c r="G3195" s="1" t="s">
        <v>16</v>
      </c>
      <c r="H3195" s="1" t="s">
        <v>29</v>
      </c>
      <c r="I3195" s="1" t="s">
        <v>26</v>
      </c>
      <c r="J3195">
        <v>15</v>
      </c>
      <c r="K3195">
        <v>32</v>
      </c>
      <c r="L3195" s="1" t="s">
        <v>21</v>
      </c>
    </row>
    <row r="3196" spans="1:12" x14ac:dyDescent="0.3">
      <c r="A3196" s="1" t="s">
        <v>1530</v>
      </c>
      <c r="B3196" s="2">
        <v>45748</v>
      </c>
      <c r="C3196" s="2">
        <v>45792</v>
      </c>
      <c r="D3196" s="1" t="s">
        <v>13</v>
      </c>
      <c r="E3196" s="1" t="s">
        <v>14</v>
      </c>
      <c r="F3196" s="1" t="s">
        <v>15</v>
      </c>
      <c r="G3196" s="1" t="s">
        <v>33</v>
      </c>
      <c r="H3196" s="1" t="s">
        <v>47</v>
      </c>
      <c r="I3196" s="1" t="s">
        <v>41</v>
      </c>
      <c r="J3196">
        <v>15</v>
      </c>
      <c r="K3196">
        <v>44</v>
      </c>
      <c r="L3196" s="1" t="s">
        <v>44</v>
      </c>
    </row>
    <row r="3197" spans="1:12" x14ac:dyDescent="0.3">
      <c r="A3197" s="1" t="s">
        <v>1991</v>
      </c>
      <c r="B3197" s="2">
        <v>45748</v>
      </c>
      <c r="C3197" s="2">
        <v>45792</v>
      </c>
      <c r="D3197" s="1" t="s">
        <v>23</v>
      </c>
      <c r="E3197" s="1" t="s">
        <v>14</v>
      </c>
      <c r="F3197" s="1" t="s">
        <v>15</v>
      </c>
      <c r="G3197" s="1" t="s">
        <v>16</v>
      </c>
      <c r="H3197" s="1" t="s">
        <v>25</v>
      </c>
      <c r="I3197" s="1" t="s">
        <v>18</v>
      </c>
      <c r="J3197">
        <v>15</v>
      </c>
      <c r="K3197">
        <v>44</v>
      </c>
      <c r="L3197" s="1" t="s">
        <v>44</v>
      </c>
    </row>
    <row r="3198" spans="1:12" x14ac:dyDescent="0.3">
      <c r="A3198" s="1" t="s">
        <v>2038</v>
      </c>
      <c r="B3198" s="2">
        <v>45748</v>
      </c>
      <c r="C3198" s="2">
        <v>45778</v>
      </c>
      <c r="D3198" s="1" t="s">
        <v>13</v>
      </c>
      <c r="E3198" s="1" t="s">
        <v>14</v>
      </c>
      <c r="F3198" s="1" t="s">
        <v>15</v>
      </c>
      <c r="G3198" s="1" t="s">
        <v>53</v>
      </c>
      <c r="H3198" s="1" t="s">
        <v>47</v>
      </c>
      <c r="I3198" s="1" t="s">
        <v>26</v>
      </c>
      <c r="J3198">
        <v>30</v>
      </c>
      <c r="K3198">
        <v>30</v>
      </c>
      <c r="L3198" s="1" t="s">
        <v>21</v>
      </c>
    </row>
    <row r="3199" spans="1:12" x14ac:dyDescent="0.3">
      <c r="A3199" s="1" t="s">
        <v>2301</v>
      </c>
      <c r="B3199" s="2">
        <v>45748</v>
      </c>
      <c r="C3199" s="2">
        <v>45811</v>
      </c>
      <c r="D3199" s="1" t="s">
        <v>23</v>
      </c>
      <c r="E3199" s="1" t="s">
        <v>14</v>
      </c>
      <c r="F3199" s="1" t="s">
        <v>15</v>
      </c>
      <c r="G3199" s="1" t="s">
        <v>16</v>
      </c>
      <c r="H3199" s="1" t="s">
        <v>25</v>
      </c>
      <c r="I3199" s="1" t="s">
        <v>26</v>
      </c>
      <c r="J3199">
        <v>15</v>
      </c>
      <c r="K3199">
        <v>63</v>
      </c>
      <c r="L3199" s="1" t="s">
        <v>80</v>
      </c>
    </row>
    <row r="3200" spans="1:12" x14ac:dyDescent="0.3">
      <c r="A3200" s="1" t="s">
        <v>2358</v>
      </c>
      <c r="B3200" s="2">
        <v>45748</v>
      </c>
      <c r="C3200" s="2">
        <v>45790</v>
      </c>
      <c r="D3200" s="1" t="s">
        <v>28</v>
      </c>
      <c r="E3200" s="1" t="s">
        <v>14</v>
      </c>
      <c r="F3200" s="1" t="s">
        <v>15</v>
      </c>
      <c r="G3200" s="1" t="s">
        <v>16</v>
      </c>
      <c r="H3200" s="1" t="s">
        <v>29</v>
      </c>
      <c r="I3200" s="1" t="s">
        <v>18</v>
      </c>
      <c r="J3200">
        <v>30</v>
      </c>
      <c r="K3200">
        <v>42</v>
      </c>
      <c r="L3200" s="1" t="s">
        <v>21</v>
      </c>
    </row>
    <row r="3201" spans="1:12" x14ac:dyDescent="0.3">
      <c r="A3201" s="1" t="s">
        <v>2484</v>
      </c>
      <c r="B3201" s="2">
        <v>45748</v>
      </c>
      <c r="C3201" s="2">
        <v>45799</v>
      </c>
      <c r="D3201" s="1" t="s">
        <v>13</v>
      </c>
      <c r="E3201" s="1" t="s">
        <v>14</v>
      </c>
      <c r="F3201" s="1" t="s">
        <v>15</v>
      </c>
      <c r="G3201" s="1" t="s">
        <v>16</v>
      </c>
      <c r="H3201" s="1" t="s">
        <v>17</v>
      </c>
      <c r="I3201" s="1" t="s">
        <v>18</v>
      </c>
      <c r="J3201">
        <v>15</v>
      </c>
      <c r="K3201">
        <v>51</v>
      </c>
      <c r="L3201" s="1" t="s">
        <v>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C321F-85D6-4B38-BDDF-508554277582}">
  <dimension ref="A1:C61"/>
  <sheetViews>
    <sheetView workbookViewId="0">
      <selection activeCell="G8" sqref="G8"/>
    </sheetView>
  </sheetViews>
  <sheetFormatPr defaultRowHeight="14.4" x14ac:dyDescent="0.3"/>
  <cols>
    <col min="1" max="1" width="10.33203125" bestFit="1" customWidth="1"/>
    <col min="2" max="2" width="14.88671875" bestFit="1" customWidth="1"/>
    <col min="3" max="3" width="16.109375" bestFit="1" customWidth="1"/>
  </cols>
  <sheetData>
    <row r="1" spans="1:3" x14ac:dyDescent="0.3">
      <c r="A1" t="s">
        <v>3243</v>
      </c>
      <c r="B1" t="s">
        <v>3</v>
      </c>
      <c r="C1" t="s">
        <v>3244</v>
      </c>
    </row>
    <row r="2" spans="1:3" x14ac:dyDescent="0.3">
      <c r="A2" s="2">
        <v>45748</v>
      </c>
      <c r="B2" s="1" t="s">
        <v>23</v>
      </c>
      <c r="C2">
        <v>10</v>
      </c>
    </row>
    <row r="3" spans="1:3" x14ac:dyDescent="0.3">
      <c r="A3" s="2">
        <v>45748</v>
      </c>
      <c r="B3" s="1" t="s">
        <v>13</v>
      </c>
      <c r="C3">
        <v>10</v>
      </c>
    </row>
    <row r="4" spans="1:3" x14ac:dyDescent="0.3">
      <c r="A4" s="2">
        <v>45748</v>
      </c>
      <c r="B4" s="1" t="s">
        <v>28</v>
      </c>
      <c r="C4">
        <v>10</v>
      </c>
    </row>
    <row r="5" spans="1:3" x14ac:dyDescent="0.3">
      <c r="A5" s="2">
        <v>45748</v>
      </c>
      <c r="B5" s="1" t="s">
        <v>32</v>
      </c>
      <c r="C5">
        <v>10</v>
      </c>
    </row>
    <row r="6" spans="1:3" x14ac:dyDescent="0.3">
      <c r="A6" s="2">
        <v>45748</v>
      </c>
      <c r="B6" s="1" t="s">
        <v>37</v>
      </c>
      <c r="C6">
        <v>10</v>
      </c>
    </row>
    <row r="7" spans="1:3" x14ac:dyDescent="0.3">
      <c r="A7" s="2">
        <v>45778</v>
      </c>
      <c r="B7" s="1" t="s">
        <v>23</v>
      </c>
      <c r="C7">
        <v>41</v>
      </c>
    </row>
    <row r="8" spans="1:3" x14ac:dyDescent="0.3">
      <c r="A8" s="2">
        <v>45778</v>
      </c>
      <c r="B8" s="1" t="s">
        <v>13</v>
      </c>
      <c r="C8">
        <v>30</v>
      </c>
    </row>
    <row r="9" spans="1:3" x14ac:dyDescent="0.3">
      <c r="A9" s="2">
        <v>45778</v>
      </c>
      <c r="B9" s="1" t="s">
        <v>28</v>
      </c>
      <c r="C9">
        <v>30</v>
      </c>
    </row>
    <row r="10" spans="1:3" x14ac:dyDescent="0.3">
      <c r="A10" s="2">
        <v>45778</v>
      </c>
      <c r="B10" s="1" t="s">
        <v>32</v>
      </c>
      <c r="C10">
        <v>19</v>
      </c>
    </row>
    <row r="11" spans="1:3" x14ac:dyDescent="0.3">
      <c r="A11" s="2">
        <v>45778</v>
      </c>
      <c r="B11" s="1" t="s">
        <v>37</v>
      </c>
      <c r="C11">
        <v>40</v>
      </c>
    </row>
    <row r="12" spans="1:3" x14ac:dyDescent="0.3">
      <c r="A12" s="2">
        <v>45809</v>
      </c>
      <c r="B12" s="1" t="s">
        <v>23</v>
      </c>
      <c r="C12">
        <v>50</v>
      </c>
    </row>
    <row r="13" spans="1:3" x14ac:dyDescent="0.3">
      <c r="A13" s="2">
        <v>45809</v>
      </c>
      <c r="B13" s="1" t="s">
        <v>13</v>
      </c>
      <c r="C13">
        <v>32</v>
      </c>
    </row>
    <row r="14" spans="1:3" x14ac:dyDescent="0.3">
      <c r="A14" s="2">
        <v>45809</v>
      </c>
      <c r="B14" s="1" t="s">
        <v>28</v>
      </c>
      <c r="C14">
        <v>48</v>
      </c>
    </row>
    <row r="15" spans="1:3" x14ac:dyDescent="0.3">
      <c r="A15" s="2">
        <v>45809</v>
      </c>
      <c r="B15" s="1" t="s">
        <v>32</v>
      </c>
      <c r="C15">
        <v>46</v>
      </c>
    </row>
    <row r="16" spans="1:3" x14ac:dyDescent="0.3">
      <c r="A16" s="2">
        <v>45809</v>
      </c>
      <c r="B16" s="1" t="s">
        <v>37</v>
      </c>
      <c r="C16">
        <v>37</v>
      </c>
    </row>
    <row r="17" spans="1:3" x14ac:dyDescent="0.3">
      <c r="A17" s="2">
        <v>45839</v>
      </c>
      <c r="B17" s="1" t="s">
        <v>23</v>
      </c>
      <c r="C17">
        <v>56</v>
      </c>
    </row>
    <row r="18" spans="1:3" x14ac:dyDescent="0.3">
      <c r="A18" s="2">
        <v>45839</v>
      </c>
      <c r="B18" s="1" t="s">
        <v>13</v>
      </c>
      <c r="C18">
        <v>56</v>
      </c>
    </row>
    <row r="19" spans="1:3" x14ac:dyDescent="0.3">
      <c r="A19" s="2">
        <v>45839</v>
      </c>
      <c r="B19" s="1" t="s">
        <v>28</v>
      </c>
      <c r="C19">
        <v>41</v>
      </c>
    </row>
    <row r="20" spans="1:3" x14ac:dyDescent="0.3">
      <c r="A20" s="2">
        <v>45839</v>
      </c>
      <c r="B20" s="1" t="s">
        <v>32</v>
      </c>
      <c r="C20">
        <v>41</v>
      </c>
    </row>
    <row r="21" spans="1:3" x14ac:dyDescent="0.3">
      <c r="A21" s="2">
        <v>45839</v>
      </c>
      <c r="B21" s="1" t="s">
        <v>37</v>
      </c>
      <c r="C21">
        <v>46</v>
      </c>
    </row>
    <row r="22" spans="1:3" x14ac:dyDescent="0.3">
      <c r="A22" s="2">
        <v>45870</v>
      </c>
      <c r="B22" s="1" t="s">
        <v>23</v>
      </c>
      <c r="C22">
        <v>39</v>
      </c>
    </row>
    <row r="23" spans="1:3" x14ac:dyDescent="0.3">
      <c r="A23" s="2">
        <v>45870</v>
      </c>
      <c r="B23" s="1" t="s">
        <v>13</v>
      </c>
      <c r="C23">
        <v>47</v>
      </c>
    </row>
    <row r="24" spans="1:3" x14ac:dyDescent="0.3">
      <c r="A24" s="2">
        <v>45870</v>
      </c>
      <c r="B24" s="1" t="s">
        <v>28</v>
      </c>
      <c r="C24">
        <v>37</v>
      </c>
    </row>
    <row r="25" spans="1:3" x14ac:dyDescent="0.3">
      <c r="A25" s="2">
        <v>45870</v>
      </c>
      <c r="B25" s="1" t="s">
        <v>32</v>
      </c>
      <c r="C25">
        <v>42</v>
      </c>
    </row>
    <row r="26" spans="1:3" x14ac:dyDescent="0.3">
      <c r="A26" s="2">
        <v>45870</v>
      </c>
      <c r="B26" s="1" t="s">
        <v>37</v>
      </c>
      <c r="C26">
        <v>53</v>
      </c>
    </row>
    <row r="27" spans="1:3" x14ac:dyDescent="0.3">
      <c r="A27" s="2">
        <v>45901</v>
      </c>
      <c r="B27" s="1" t="s">
        <v>23</v>
      </c>
      <c r="C27">
        <v>49</v>
      </c>
    </row>
    <row r="28" spans="1:3" x14ac:dyDescent="0.3">
      <c r="A28" s="2">
        <v>45901</v>
      </c>
      <c r="B28" s="1" t="s">
        <v>13</v>
      </c>
      <c r="C28">
        <v>49</v>
      </c>
    </row>
    <row r="29" spans="1:3" x14ac:dyDescent="0.3">
      <c r="A29" s="2">
        <v>45901</v>
      </c>
      <c r="B29" s="1" t="s">
        <v>28</v>
      </c>
      <c r="C29">
        <v>38</v>
      </c>
    </row>
    <row r="30" spans="1:3" x14ac:dyDescent="0.3">
      <c r="A30" s="2">
        <v>45901</v>
      </c>
      <c r="B30" s="1" t="s">
        <v>32</v>
      </c>
      <c r="C30">
        <v>38</v>
      </c>
    </row>
    <row r="31" spans="1:3" x14ac:dyDescent="0.3">
      <c r="A31" s="2">
        <v>45901</v>
      </c>
      <c r="B31" s="1" t="s">
        <v>37</v>
      </c>
      <c r="C31">
        <v>60</v>
      </c>
    </row>
    <row r="32" spans="1:3" x14ac:dyDescent="0.3">
      <c r="A32" s="2">
        <v>45931</v>
      </c>
      <c r="B32" s="1" t="s">
        <v>23</v>
      </c>
      <c r="C32">
        <v>51</v>
      </c>
    </row>
    <row r="33" spans="1:3" x14ac:dyDescent="0.3">
      <c r="A33" s="2">
        <v>45931</v>
      </c>
      <c r="B33" s="1" t="s">
        <v>13</v>
      </c>
      <c r="C33">
        <v>52</v>
      </c>
    </row>
    <row r="34" spans="1:3" x14ac:dyDescent="0.3">
      <c r="A34" s="2">
        <v>45931</v>
      </c>
      <c r="B34" s="1" t="s">
        <v>28</v>
      </c>
      <c r="C34">
        <v>39</v>
      </c>
    </row>
    <row r="35" spans="1:3" x14ac:dyDescent="0.3">
      <c r="A35" s="2">
        <v>45931</v>
      </c>
      <c r="B35" s="1" t="s">
        <v>32</v>
      </c>
      <c r="C35">
        <v>44</v>
      </c>
    </row>
    <row r="36" spans="1:3" x14ac:dyDescent="0.3">
      <c r="A36" s="2">
        <v>45931</v>
      </c>
      <c r="B36" s="1" t="s">
        <v>37</v>
      </c>
      <c r="C36">
        <v>51</v>
      </c>
    </row>
    <row r="37" spans="1:3" x14ac:dyDescent="0.3">
      <c r="A37" s="2">
        <v>45962</v>
      </c>
      <c r="B37" s="1" t="s">
        <v>23</v>
      </c>
      <c r="C37">
        <v>63</v>
      </c>
    </row>
    <row r="38" spans="1:3" x14ac:dyDescent="0.3">
      <c r="A38" s="2">
        <v>45962</v>
      </c>
      <c r="B38" s="1" t="s">
        <v>13</v>
      </c>
      <c r="C38">
        <v>59</v>
      </c>
    </row>
    <row r="39" spans="1:3" x14ac:dyDescent="0.3">
      <c r="A39" s="2">
        <v>45962</v>
      </c>
      <c r="B39" s="1" t="s">
        <v>28</v>
      </c>
      <c r="C39">
        <v>26</v>
      </c>
    </row>
    <row r="40" spans="1:3" x14ac:dyDescent="0.3">
      <c r="A40" s="2">
        <v>45962</v>
      </c>
      <c r="B40" s="1" t="s">
        <v>32</v>
      </c>
      <c r="C40">
        <v>31</v>
      </c>
    </row>
    <row r="41" spans="1:3" x14ac:dyDescent="0.3">
      <c r="A41" s="2">
        <v>45962</v>
      </c>
      <c r="B41" s="1" t="s">
        <v>37</v>
      </c>
      <c r="C41">
        <v>54</v>
      </c>
    </row>
    <row r="42" spans="1:3" x14ac:dyDescent="0.3">
      <c r="A42" s="2">
        <v>45992</v>
      </c>
      <c r="B42" s="1" t="s">
        <v>23</v>
      </c>
      <c r="C42">
        <v>50</v>
      </c>
    </row>
    <row r="43" spans="1:3" x14ac:dyDescent="0.3">
      <c r="A43" s="2">
        <v>45992</v>
      </c>
      <c r="B43" s="1" t="s">
        <v>13</v>
      </c>
      <c r="C43">
        <v>45</v>
      </c>
    </row>
    <row r="44" spans="1:3" x14ac:dyDescent="0.3">
      <c r="A44" s="2">
        <v>45992</v>
      </c>
      <c r="B44" s="1" t="s">
        <v>28</v>
      </c>
      <c r="C44">
        <v>52</v>
      </c>
    </row>
    <row r="45" spans="1:3" x14ac:dyDescent="0.3">
      <c r="A45" s="2">
        <v>45992</v>
      </c>
      <c r="B45" s="1" t="s">
        <v>32</v>
      </c>
      <c r="C45">
        <v>38</v>
      </c>
    </row>
    <row r="46" spans="1:3" x14ac:dyDescent="0.3">
      <c r="A46" s="2">
        <v>45992</v>
      </c>
      <c r="B46" s="1" t="s">
        <v>37</v>
      </c>
      <c r="C46">
        <v>37</v>
      </c>
    </row>
    <row r="47" spans="1:3" x14ac:dyDescent="0.3">
      <c r="A47" s="2">
        <v>46023</v>
      </c>
      <c r="B47" s="1" t="s">
        <v>23</v>
      </c>
      <c r="C47">
        <v>50</v>
      </c>
    </row>
    <row r="48" spans="1:3" x14ac:dyDescent="0.3">
      <c r="A48" s="2">
        <v>46023</v>
      </c>
      <c r="B48" s="1" t="s">
        <v>13</v>
      </c>
      <c r="C48">
        <v>54</v>
      </c>
    </row>
    <row r="49" spans="1:3" x14ac:dyDescent="0.3">
      <c r="A49" s="2">
        <v>46023</v>
      </c>
      <c r="B49" s="1" t="s">
        <v>28</v>
      </c>
      <c r="C49">
        <v>34</v>
      </c>
    </row>
    <row r="50" spans="1:3" x14ac:dyDescent="0.3">
      <c r="A50" s="2">
        <v>46023</v>
      </c>
      <c r="B50" s="1" t="s">
        <v>32</v>
      </c>
      <c r="C50">
        <v>46</v>
      </c>
    </row>
    <row r="51" spans="1:3" x14ac:dyDescent="0.3">
      <c r="A51" s="2">
        <v>46023</v>
      </c>
      <c r="B51" s="1" t="s">
        <v>37</v>
      </c>
      <c r="C51">
        <v>47</v>
      </c>
    </row>
    <row r="52" spans="1:3" x14ac:dyDescent="0.3">
      <c r="A52" s="2">
        <v>46054</v>
      </c>
      <c r="B52" s="1" t="s">
        <v>23</v>
      </c>
      <c r="C52">
        <v>41</v>
      </c>
    </row>
    <row r="53" spans="1:3" x14ac:dyDescent="0.3">
      <c r="A53" s="2">
        <v>46054</v>
      </c>
      <c r="B53" s="1" t="s">
        <v>13</v>
      </c>
      <c r="C53">
        <v>47</v>
      </c>
    </row>
    <row r="54" spans="1:3" x14ac:dyDescent="0.3">
      <c r="A54" s="2">
        <v>46054</v>
      </c>
      <c r="B54" s="1" t="s">
        <v>28</v>
      </c>
      <c r="C54">
        <v>39</v>
      </c>
    </row>
    <row r="55" spans="1:3" x14ac:dyDescent="0.3">
      <c r="A55" s="2">
        <v>46054</v>
      </c>
      <c r="B55" s="1" t="s">
        <v>32</v>
      </c>
      <c r="C55">
        <v>28</v>
      </c>
    </row>
    <row r="56" spans="1:3" x14ac:dyDescent="0.3">
      <c r="A56" s="2">
        <v>46054</v>
      </c>
      <c r="B56" s="1" t="s">
        <v>37</v>
      </c>
      <c r="C56">
        <v>43</v>
      </c>
    </row>
    <row r="57" spans="1:3" x14ac:dyDescent="0.3">
      <c r="A57" s="2">
        <v>46082</v>
      </c>
      <c r="B57" s="1" t="s">
        <v>23</v>
      </c>
      <c r="C57">
        <v>58</v>
      </c>
    </row>
    <row r="58" spans="1:3" x14ac:dyDescent="0.3">
      <c r="A58" s="2">
        <v>46082</v>
      </c>
      <c r="B58" s="1" t="s">
        <v>13</v>
      </c>
      <c r="C58">
        <v>48</v>
      </c>
    </row>
    <row r="59" spans="1:3" x14ac:dyDescent="0.3">
      <c r="A59" s="2">
        <v>46082</v>
      </c>
      <c r="B59" s="1" t="s">
        <v>28</v>
      </c>
      <c r="C59">
        <v>47</v>
      </c>
    </row>
    <row r="60" spans="1:3" x14ac:dyDescent="0.3">
      <c r="A60" s="2">
        <v>46082</v>
      </c>
      <c r="B60" s="1" t="s">
        <v>32</v>
      </c>
      <c r="C60">
        <v>33</v>
      </c>
    </row>
    <row r="61" spans="1:3" x14ac:dyDescent="0.3">
      <c r="A61" s="2">
        <v>46082</v>
      </c>
      <c r="B61" s="1" t="s">
        <v>37</v>
      </c>
      <c r="C61">
        <v>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269F-8540-4DD4-8583-6B37BE813241}">
  <dimension ref="A1:K61"/>
  <sheetViews>
    <sheetView workbookViewId="0">
      <selection activeCell="E2" sqref="E2"/>
    </sheetView>
  </sheetViews>
  <sheetFormatPr defaultRowHeight="14.4" x14ac:dyDescent="0.3"/>
  <cols>
    <col min="1" max="1" width="12.77734375" customWidth="1"/>
    <col min="2" max="2" width="18.5546875" customWidth="1"/>
    <col min="3" max="3" width="12.44140625" customWidth="1"/>
    <col min="4" max="4" width="14.109375" customWidth="1"/>
    <col min="5" max="5" width="14" customWidth="1"/>
    <col min="6" max="6" width="20.21875" customWidth="1"/>
    <col min="7" max="7" width="13.109375" style="7" customWidth="1"/>
    <col min="8" max="8" width="14.88671875" style="7" customWidth="1"/>
    <col min="9" max="9" width="17.44140625" style="7" customWidth="1"/>
    <col min="10" max="10" width="17.33203125" style="11" customWidth="1"/>
    <col min="11" max="11" width="18.44140625" customWidth="1"/>
  </cols>
  <sheetData>
    <row r="1" spans="1:11" s="8" customFormat="1" x14ac:dyDescent="0.3">
      <c r="A1" s="8" t="s">
        <v>3243</v>
      </c>
      <c r="B1" s="8" t="s">
        <v>3</v>
      </c>
      <c r="C1" s="8" t="s">
        <v>3245</v>
      </c>
      <c r="D1" s="8" t="s">
        <v>3246</v>
      </c>
      <c r="E1" s="8" t="s">
        <v>3247</v>
      </c>
      <c r="F1" s="8" t="s">
        <v>3248</v>
      </c>
      <c r="G1" s="9" t="s">
        <v>3249</v>
      </c>
      <c r="H1" s="9" t="s">
        <v>3250</v>
      </c>
      <c r="I1" s="9" t="s">
        <v>3251</v>
      </c>
      <c r="J1" s="10" t="s">
        <v>3252</v>
      </c>
      <c r="K1" s="8" t="s">
        <v>3253</v>
      </c>
    </row>
    <row r="2" spans="1:11" x14ac:dyDescent="0.3">
      <c r="A2" s="5">
        <v>45748</v>
      </c>
      <c r="B2" s="3" t="s">
        <v>23</v>
      </c>
      <c r="C2">
        <f>COUNTIFS(Appointments[Specialty],B2, Appointments[Appointment_Date], "&gt;="&amp;A2, Appointments[Appointment_Date],"&lt;"&amp;EDATE(A2,1))</f>
        <v>6</v>
      </c>
      <c r="D2" cm="1">
        <f t="array" ref="D2">_xlfn.XLOOKUP(1,(Capacity[Month]=A2)*(Capacity[Specialty]=B2),Capacity[Available_Slots])</f>
        <v>10</v>
      </c>
      <c r="E2">
        <f>COUNTIFS(Appointments[Specialty],B2,Appointments[Appointment_Date],"&gt;="&amp;A2, Appointments[Appointment_Date],"&lt;"&amp;EDATE(A2,1),Appointments[Status],"Attended")</f>
        <v>4</v>
      </c>
      <c r="F2">
        <f>C2-D2</f>
        <v>-4</v>
      </c>
      <c r="G2" s="7">
        <f>E2/D2</f>
        <v>0.4</v>
      </c>
      <c r="H2" s="7">
        <f>COUNTIFS(Appointments[Specialty],B2,Appointments[Appointment_Date],"&gt;="&amp;A2,Appointments[Appointment_Date],"&lt;"&amp;EDATE(A2,1), Appointments[Status],"DNA")/C2</f>
        <v>0.16666666666666666</v>
      </c>
      <c r="I2" s="7">
        <f>COUNTIFS(Appointments[Specialty],B2,Appointments[Appointment_Date], "&gt;="&amp;A2,Appointments[Appointment_Date],"&lt;"&amp;EDATE(A2,1), Appointments[Status],"Cancelled")/C2</f>
        <v>0.16666666666666666</v>
      </c>
      <c r="J2" s="11">
        <f>AVERAGEIFS(Appointments[Waiting_Days],Appointments[Specialty],B2, Appointments[Appointment_Date],"&gt;="&amp;A2, Appointments[Appointment_Date],"&lt;"&amp;EDATE(A2,1))</f>
        <v>16</v>
      </c>
      <c r="K2">
        <f>MAX(0, SUMIFS(K:K, A:A, EDATE(A2,-1),B:B, B2)+F2)</f>
        <v>0</v>
      </c>
    </row>
    <row r="3" spans="1:11" x14ac:dyDescent="0.3">
      <c r="A3" s="6">
        <v>45748</v>
      </c>
      <c r="B3" s="4" t="s">
        <v>13</v>
      </c>
      <c r="C3">
        <f>COUNTIFS(Appointments[Specialty],B3, Appointments[Appointment_Date], "&gt;="&amp;A3, Appointments[Appointment_Date],"&lt;"&amp;EDATE(A3,1))</f>
        <v>6</v>
      </c>
      <c r="D3" cm="1">
        <f t="array" ref="D3">_xlfn.XLOOKUP(1,(Capacity[Month]=A3)*(Capacity[Specialty]=B3),Capacity[Available_Slots])</f>
        <v>10</v>
      </c>
      <c r="E3">
        <f>COUNTIFS(Appointments[Specialty],B3,Appointments[Appointment_Date],"&gt;="&amp;A3, Appointments[Appointment_Date],"&lt;"&amp;EDATE(A3,1),Appointments[Status],"Attended")</f>
        <v>3</v>
      </c>
      <c r="F3">
        <f t="shared" ref="F3:F61" si="0">C3-D3</f>
        <v>-4</v>
      </c>
      <c r="G3" s="7">
        <f t="shared" ref="G3:G61" si="1">E3/D3</f>
        <v>0.3</v>
      </c>
      <c r="H3" s="7">
        <f>COUNTIFS(Appointments[Specialty],B3,Appointments[Appointment_Date],"&gt;="&amp;A3,Appointments[Appointment_Date],"&lt;"&amp;EDATE(A3,1), Appointments[Status],"DNA")/C3</f>
        <v>0</v>
      </c>
      <c r="I3" s="7">
        <f>COUNTIFS(Appointments[Specialty],B3,Appointments[Appointment_Date], "&gt;="&amp;A3,Appointments[Appointment_Date],"&lt;"&amp;EDATE(A3,1), Appointments[Status],"Cancelled")/C3</f>
        <v>0.5</v>
      </c>
      <c r="J3" s="11">
        <f>AVERAGEIFS(Appointments[Waiting_Days],Appointments[Specialty],B3, Appointments[Appointment_Date],"&gt;="&amp;A3, Appointments[Appointment_Date],"&lt;"&amp;EDATE(A3,1))</f>
        <v>13.333333333333334</v>
      </c>
      <c r="K3">
        <f t="shared" ref="K3:K61" si="2">MAX(0, SUMIFS(K:K, A:A, EDATE(A3,-1),B:B, B3)+F3)</f>
        <v>0</v>
      </c>
    </row>
    <row r="4" spans="1:11" x14ac:dyDescent="0.3">
      <c r="A4" s="5">
        <v>45748</v>
      </c>
      <c r="B4" s="3" t="s">
        <v>28</v>
      </c>
      <c r="C4">
        <f>COUNTIFS(Appointments[Specialty],B4, Appointments[Appointment_Date], "&gt;="&amp;A4, Appointments[Appointment_Date],"&lt;"&amp;EDATE(A4,1))</f>
        <v>9</v>
      </c>
      <c r="D4" cm="1">
        <f t="array" ref="D4">_xlfn.XLOOKUP(1,(Capacity[Month]=A4)*(Capacity[Specialty]=B4),Capacity[Available_Slots])</f>
        <v>10</v>
      </c>
      <c r="E4">
        <f>COUNTIFS(Appointments[Specialty],B4,Appointments[Appointment_Date],"&gt;="&amp;A4, Appointments[Appointment_Date],"&lt;"&amp;EDATE(A4,1),Appointments[Status],"Attended")</f>
        <v>5</v>
      </c>
      <c r="F4">
        <f t="shared" si="0"/>
        <v>-1</v>
      </c>
      <c r="G4" s="7">
        <f t="shared" si="1"/>
        <v>0.5</v>
      </c>
      <c r="H4" s="7">
        <f>COUNTIFS(Appointments[Specialty],B4,Appointments[Appointment_Date],"&gt;="&amp;A4,Appointments[Appointment_Date],"&lt;"&amp;EDATE(A4,1), Appointments[Status],"DNA")/C4</f>
        <v>0.22222222222222221</v>
      </c>
      <c r="I4" s="7">
        <f>COUNTIFS(Appointments[Specialty],B4,Appointments[Appointment_Date], "&gt;="&amp;A4,Appointments[Appointment_Date],"&lt;"&amp;EDATE(A4,1), Appointments[Status],"Cancelled")/C4</f>
        <v>0.22222222222222221</v>
      </c>
      <c r="J4" s="11">
        <f>AVERAGEIFS(Appointments[Waiting_Days],Appointments[Specialty],B4, Appointments[Appointment_Date],"&gt;="&amp;A4, Appointments[Appointment_Date],"&lt;"&amp;EDATE(A4,1))</f>
        <v>13.222222222222221</v>
      </c>
      <c r="K4">
        <f t="shared" si="2"/>
        <v>0</v>
      </c>
    </row>
    <row r="5" spans="1:11" x14ac:dyDescent="0.3">
      <c r="A5" s="6">
        <v>45748</v>
      </c>
      <c r="B5" s="4" t="s">
        <v>32</v>
      </c>
      <c r="C5">
        <f>COUNTIFS(Appointments[Specialty],B5, Appointments[Appointment_Date], "&gt;="&amp;A5, Appointments[Appointment_Date],"&lt;"&amp;EDATE(A5,1))</f>
        <v>6</v>
      </c>
      <c r="D5" cm="1">
        <f t="array" ref="D5">_xlfn.XLOOKUP(1,(Capacity[Month]=A5)*(Capacity[Specialty]=B5),Capacity[Available_Slots])</f>
        <v>10</v>
      </c>
      <c r="E5">
        <f>COUNTIFS(Appointments[Specialty],B5,Appointments[Appointment_Date],"&gt;="&amp;A5, Appointments[Appointment_Date],"&lt;"&amp;EDATE(A5,1),Appointments[Status],"Attended")</f>
        <v>4</v>
      </c>
      <c r="F5">
        <f t="shared" si="0"/>
        <v>-4</v>
      </c>
      <c r="G5" s="7">
        <f t="shared" si="1"/>
        <v>0.4</v>
      </c>
      <c r="H5" s="7">
        <f>COUNTIFS(Appointments[Specialty],B5,Appointments[Appointment_Date],"&gt;="&amp;A5,Appointments[Appointment_Date],"&lt;"&amp;EDATE(A5,1), Appointments[Status],"DNA")/C5</f>
        <v>0.16666666666666666</v>
      </c>
      <c r="I5" s="7">
        <f>COUNTIFS(Appointments[Specialty],B5,Appointments[Appointment_Date], "&gt;="&amp;A5,Appointments[Appointment_Date],"&lt;"&amp;EDATE(A5,1), Appointments[Status],"Cancelled")/C5</f>
        <v>0.16666666666666666</v>
      </c>
      <c r="J5" s="11">
        <f>AVERAGEIFS(Appointments[Waiting_Days],Appointments[Specialty],B5, Appointments[Appointment_Date],"&gt;="&amp;A5, Appointments[Appointment_Date],"&lt;"&amp;EDATE(A5,1))</f>
        <v>15.666666666666666</v>
      </c>
      <c r="K5">
        <f t="shared" si="2"/>
        <v>0</v>
      </c>
    </row>
    <row r="6" spans="1:11" x14ac:dyDescent="0.3">
      <c r="A6" s="5">
        <v>45748</v>
      </c>
      <c r="B6" s="3" t="s">
        <v>37</v>
      </c>
      <c r="C6">
        <f>COUNTIFS(Appointments[Specialty],B6, Appointments[Appointment_Date], "&gt;="&amp;A6, Appointments[Appointment_Date],"&lt;"&amp;EDATE(A6,1))</f>
        <v>10</v>
      </c>
      <c r="D6" cm="1">
        <f t="array" ref="D6">_xlfn.XLOOKUP(1,(Capacity[Month]=A6)*(Capacity[Specialty]=B6),Capacity[Available_Slots])</f>
        <v>10</v>
      </c>
      <c r="E6">
        <f>COUNTIFS(Appointments[Specialty],B6,Appointments[Appointment_Date],"&gt;="&amp;A6, Appointments[Appointment_Date],"&lt;"&amp;EDATE(A6,1),Appointments[Status],"Attended")</f>
        <v>10</v>
      </c>
      <c r="F6">
        <f t="shared" si="0"/>
        <v>0</v>
      </c>
      <c r="G6" s="7">
        <f t="shared" si="1"/>
        <v>1</v>
      </c>
      <c r="H6" s="7">
        <f>COUNTIFS(Appointments[Specialty],B6,Appointments[Appointment_Date],"&gt;="&amp;A6,Appointments[Appointment_Date],"&lt;"&amp;EDATE(A6,1), Appointments[Status],"DNA")/C6</f>
        <v>0</v>
      </c>
      <c r="I6" s="7">
        <f>COUNTIFS(Appointments[Specialty],B6,Appointments[Appointment_Date], "&gt;="&amp;A6,Appointments[Appointment_Date],"&lt;"&amp;EDATE(A6,1), Appointments[Status],"Cancelled")/C6</f>
        <v>0</v>
      </c>
      <c r="J6" s="11">
        <f>AVERAGEIFS(Appointments[Waiting_Days],Appointments[Specialty],B6, Appointments[Appointment_Date],"&gt;="&amp;A6, Appointments[Appointment_Date],"&lt;"&amp;EDATE(A6,1))</f>
        <v>12.7</v>
      </c>
      <c r="K6">
        <f t="shared" si="2"/>
        <v>0</v>
      </c>
    </row>
    <row r="7" spans="1:11" x14ac:dyDescent="0.3">
      <c r="A7" s="6">
        <v>45778</v>
      </c>
      <c r="B7" s="4" t="s">
        <v>23</v>
      </c>
      <c r="C7">
        <f>COUNTIFS(Appointments[Specialty],B7, Appointments[Appointment_Date], "&gt;="&amp;A7, Appointments[Appointment_Date],"&lt;"&amp;EDATE(A7,1))</f>
        <v>47</v>
      </c>
      <c r="D7" cm="1">
        <f t="array" ref="D7">_xlfn.XLOOKUP(1,(Capacity[Month]=A7)*(Capacity[Specialty]=B7),Capacity[Available_Slots])</f>
        <v>41</v>
      </c>
      <c r="E7">
        <f>COUNTIFS(Appointments[Specialty],B7,Appointments[Appointment_Date],"&gt;="&amp;A7, Appointments[Appointment_Date],"&lt;"&amp;EDATE(A7,1),Appointments[Status],"Attended")</f>
        <v>36</v>
      </c>
      <c r="F7">
        <f t="shared" si="0"/>
        <v>6</v>
      </c>
      <c r="G7" s="7">
        <f t="shared" si="1"/>
        <v>0.87804878048780488</v>
      </c>
      <c r="H7" s="7">
        <f>COUNTIFS(Appointments[Specialty],B7,Appointments[Appointment_Date],"&gt;="&amp;A7,Appointments[Appointment_Date],"&lt;"&amp;EDATE(A7,1), Appointments[Status],"DNA")/C7</f>
        <v>6.3829787234042548E-2</v>
      </c>
      <c r="I7" s="7">
        <f>COUNTIFS(Appointments[Specialty],B7,Appointments[Appointment_Date], "&gt;="&amp;A7,Appointments[Appointment_Date],"&lt;"&amp;EDATE(A7,1), Appointments[Status],"Cancelled")/C7</f>
        <v>0.1702127659574468</v>
      </c>
      <c r="J7" s="11">
        <f>AVERAGEIFS(Appointments[Waiting_Days],Appointments[Specialty],B7, Appointments[Appointment_Date],"&gt;="&amp;A7, Appointments[Appointment_Date],"&lt;"&amp;EDATE(A7,1))</f>
        <v>24.680851063829788</v>
      </c>
      <c r="K7">
        <f t="shared" si="2"/>
        <v>6</v>
      </c>
    </row>
    <row r="8" spans="1:11" x14ac:dyDescent="0.3">
      <c r="A8" s="5">
        <v>45778</v>
      </c>
      <c r="B8" s="3" t="s">
        <v>13</v>
      </c>
      <c r="C8">
        <f>COUNTIFS(Appointments[Specialty],B8, Appointments[Appointment_Date], "&gt;="&amp;A8, Appointments[Appointment_Date],"&lt;"&amp;EDATE(A8,1))</f>
        <v>35</v>
      </c>
      <c r="D8" cm="1">
        <f t="array" ref="D8">_xlfn.XLOOKUP(1,(Capacity[Month]=A8)*(Capacity[Specialty]=B8),Capacity[Available_Slots])</f>
        <v>30</v>
      </c>
      <c r="E8">
        <f>COUNTIFS(Appointments[Specialty],B8,Appointments[Appointment_Date],"&gt;="&amp;A8, Appointments[Appointment_Date],"&lt;"&amp;EDATE(A8,1),Appointments[Status],"Attended")</f>
        <v>25</v>
      </c>
      <c r="F8">
        <f t="shared" si="0"/>
        <v>5</v>
      </c>
      <c r="G8" s="7">
        <f t="shared" si="1"/>
        <v>0.83333333333333337</v>
      </c>
      <c r="H8" s="7">
        <f>COUNTIFS(Appointments[Specialty],B8,Appointments[Appointment_Date],"&gt;="&amp;A8,Appointments[Appointment_Date],"&lt;"&amp;EDATE(A8,1), Appointments[Status],"DNA")/C8</f>
        <v>0.11428571428571428</v>
      </c>
      <c r="I8" s="7">
        <f>COUNTIFS(Appointments[Specialty],B8,Appointments[Appointment_Date], "&gt;="&amp;A8,Appointments[Appointment_Date],"&lt;"&amp;EDATE(A8,1), Appointments[Status],"Cancelled")/C8</f>
        <v>0.17142857142857143</v>
      </c>
      <c r="J8" s="11">
        <f>AVERAGEIFS(Appointments[Waiting_Days],Appointments[Specialty],B8, Appointments[Appointment_Date],"&gt;="&amp;A8, Appointments[Appointment_Date],"&lt;"&amp;EDATE(A8,1))</f>
        <v>31.714285714285715</v>
      </c>
      <c r="K8">
        <f t="shared" si="2"/>
        <v>5</v>
      </c>
    </row>
    <row r="9" spans="1:11" x14ac:dyDescent="0.3">
      <c r="A9" s="6">
        <v>45778</v>
      </c>
      <c r="B9" s="4" t="s">
        <v>28</v>
      </c>
      <c r="C9">
        <f>COUNTIFS(Appointments[Specialty],B9, Appointments[Appointment_Date], "&gt;="&amp;A9, Appointments[Appointment_Date],"&lt;"&amp;EDATE(A9,1))</f>
        <v>39</v>
      </c>
      <c r="D9" cm="1">
        <f t="array" ref="D9">_xlfn.XLOOKUP(1,(Capacity[Month]=A9)*(Capacity[Specialty]=B9),Capacity[Available_Slots])</f>
        <v>30</v>
      </c>
      <c r="E9">
        <f>COUNTIFS(Appointments[Specialty],B9,Appointments[Appointment_Date],"&gt;="&amp;A9, Appointments[Appointment_Date],"&lt;"&amp;EDATE(A9,1),Appointments[Status],"Attended")</f>
        <v>31</v>
      </c>
      <c r="F9">
        <f t="shared" si="0"/>
        <v>9</v>
      </c>
      <c r="G9" s="7">
        <f t="shared" si="1"/>
        <v>1.0333333333333334</v>
      </c>
      <c r="H9" s="7">
        <f>COUNTIFS(Appointments[Specialty],B9,Appointments[Appointment_Date],"&gt;="&amp;A9,Appointments[Appointment_Date],"&lt;"&amp;EDATE(A9,1), Appointments[Status],"DNA")/C9</f>
        <v>0.10256410256410256</v>
      </c>
      <c r="I9" s="7">
        <f>COUNTIFS(Appointments[Specialty],B9,Appointments[Appointment_Date], "&gt;="&amp;A9,Appointments[Appointment_Date],"&lt;"&amp;EDATE(A9,1), Appointments[Status],"Cancelled")/C9</f>
        <v>0.10256410256410256</v>
      </c>
      <c r="J9" s="11">
        <f>AVERAGEIFS(Appointments[Waiting_Days],Appointments[Specialty],B9, Appointments[Appointment_Date],"&gt;="&amp;A9, Appointments[Appointment_Date],"&lt;"&amp;EDATE(A9,1))</f>
        <v>25.76923076923077</v>
      </c>
      <c r="K9">
        <f t="shared" si="2"/>
        <v>9</v>
      </c>
    </row>
    <row r="10" spans="1:11" x14ac:dyDescent="0.3">
      <c r="A10" s="5">
        <v>45778</v>
      </c>
      <c r="B10" s="3" t="s">
        <v>32</v>
      </c>
      <c r="C10">
        <f>COUNTIFS(Appointments[Specialty],B10, Appointments[Appointment_Date], "&gt;="&amp;A10, Appointments[Appointment_Date],"&lt;"&amp;EDATE(A10,1))</f>
        <v>23</v>
      </c>
      <c r="D10" cm="1">
        <f t="array" ref="D10">_xlfn.XLOOKUP(1,(Capacity[Month]=A10)*(Capacity[Specialty]=B10),Capacity[Available_Slots])</f>
        <v>19</v>
      </c>
      <c r="E10">
        <f>COUNTIFS(Appointments[Specialty],B10,Appointments[Appointment_Date],"&gt;="&amp;A10, Appointments[Appointment_Date],"&lt;"&amp;EDATE(A10,1),Appointments[Status],"Attended")</f>
        <v>15</v>
      </c>
      <c r="F10">
        <f t="shared" si="0"/>
        <v>4</v>
      </c>
      <c r="G10" s="7">
        <f t="shared" si="1"/>
        <v>0.78947368421052633</v>
      </c>
      <c r="H10" s="7">
        <f>COUNTIFS(Appointments[Specialty],B10,Appointments[Appointment_Date],"&gt;="&amp;A10,Appointments[Appointment_Date],"&lt;"&amp;EDATE(A10,1), Appointments[Status],"DNA")/C10</f>
        <v>0.17391304347826086</v>
      </c>
      <c r="I10" s="7">
        <f>COUNTIFS(Appointments[Specialty],B10,Appointments[Appointment_Date], "&gt;="&amp;A10,Appointments[Appointment_Date],"&lt;"&amp;EDATE(A10,1), Appointments[Status],"Cancelled")/C10</f>
        <v>0.17391304347826086</v>
      </c>
      <c r="J10" s="11">
        <f>AVERAGEIFS(Appointments[Waiting_Days],Appointments[Specialty],B10, Appointments[Appointment_Date],"&gt;="&amp;A10, Appointments[Appointment_Date],"&lt;"&amp;EDATE(A10,1))</f>
        <v>30.956521739130434</v>
      </c>
      <c r="K10">
        <f t="shared" si="2"/>
        <v>4</v>
      </c>
    </row>
    <row r="11" spans="1:11" x14ac:dyDescent="0.3">
      <c r="A11" s="6">
        <v>45778</v>
      </c>
      <c r="B11" s="4" t="s">
        <v>37</v>
      </c>
      <c r="C11">
        <f>COUNTIFS(Appointments[Specialty],B11, Appointments[Appointment_Date], "&gt;="&amp;A11, Appointments[Appointment_Date],"&lt;"&amp;EDATE(A11,1))</f>
        <v>57</v>
      </c>
      <c r="D11" cm="1">
        <f t="array" ref="D11">_xlfn.XLOOKUP(1,(Capacity[Month]=A11)*(Capacity[Specialty]=B11),Capacity[Available_Slots])</f>
        <v>40</v>
      </c>
      <c r="E11">
        <f>COUNTIFS(Appointments[Specialty],B11,Appointments[Appointment_Date],"&gt;="&amp;A11, Appointments[Appointment_Date],"&lt;"&amp;EDATE(A11,1),Appointments[Status],"Attended")</f>
        <v>44</v>
      </c>
      <c r="F11">
        <f t="shared" si="0"/>
        <v>17</v>
      </c>
      <c r="G11" s="7">
        <f t="shared" si="1"/>
        <v>1.1000000000000001</v>
      </c>
      <c r="H11" s="7">
        <f>COUNTIFS(Appointments[Specialty],B11,Appointments[Appointment_Date],"&gt;="&amp;A11,Appointments[Appointment_Date],"&lt;"&amp;EDATE(A11,1), Appointments[Status],"DNA")/C11</f>
        <v>0.14035087719298245</v>
      </c>
      <c r="I11" s="7">
        <f>COUNTIFS(Appointments[Specialty],B11,Appointments[Appointment_Date], "&gt;="&amp;A11,Appointments[Appointment_Date],"&lt;"&amp;EDATE(A11,1), Appointments[Status],"Cancelled")/C11</f>
        <v>8.771929824561403E-2</v>
      </c>
      <c r="J11" s="11">
        <f>AVERAGEIFS(Appointments[Waiting_Days],Appointments[Specialty],B11, Appointments[Appointment_Date],"&gt;="&amp;A11, Appointments[Appointment_Date],"&lt;"&amp;EDATE(A11,1))</f>
        <v>24.701754385964911</v>
      </c>
      <c r="K11">
        <f t="shared" si="2"/>
        <v>17</v>
      </c>
    </row>
    <row r="12" spans="1:11" x14ac:dyDescent="0.3">
      <c r="A12" s="5">
        <v>45809</v>
      </c>
      <c r="B12" s="3" t="s">
        <v>23</v>
      </c>
      <c r="C12">
        <f>COUNTIFS(Appointments[Specialty],B12, Appointments[Appointment_Date], "&gt;="&amp;A12, Appointments[Appointment_Date],"&lt;"&amp;EDATE(A12,1))</f>
        <v>53</v>
      </c>
      <c r="D12" cm="1">
        <f t="array" ref="D12">_xlfn.XLOOKUP(1,(Capacity[Month]=A12)*(Capacity[Specialty]=B12),Capacity[Available_Slots])</f>
        <v>50</v>
      </c>
      <c r="E12">
        <f>COUNTIFS(Appointments[Specialty],B12,Appointments[Appointment_Date],"&gt;="&amp;A12, Appointments[Appointment_Date],"&lt;"&amp;EDATE(A12,1),Appointments[Status],"Attended")</f>
        <v>43</v>
      </c>
      <c r="F12">
        <f t="shared" si="0"/>
        <v>3</v>
      </c>
      <c r="G12" s="7">
        <f t="shared" si="1"/>
        <v>0.86</v>
      </c>
      <c r="H12" s="7">
        <f>COUNTIFS(Appointments[Specialty],B12,Appointments[Appointment_Date],"&gt;="&amp;A12,Appointments[Appointment_Date],"&lt;"&amp;EDATE(A12,1), Appointments[Status],"DNA")/C12</f>
        <v>5.6603773584905662E-2</v>
      </c>
      <c r="I12" s="7">
        <f>COUNTIFS(Appointments[Specialty],B12,Appointments[Appointment_Date], "&gt;="&amp;A12,Appointments[Appointment_Date],"&lt;"&amp;EDATE(A12,1), Appointments[Status],"Cancelled")/C12</f>
        <v>0.13207547169811321</v>
      </c>
      <c r="J12" s="11">
        <f>AVERAGEIFS(Appointments[Waiting_Days],Appointments[Specialty],B12, Appointments[Appointment_Date],"&gt;="&amp;A12, Appointments[Appointment_Date],"&lt;"&amp;EDATE(A12,1))</f>
        <v>31.547169811320753</v>
      </c>
      <c r="K12">
        <f t="shared" si="2"/>
        <v>9</v>
      </c>
    </row>
    <row r="13" spans="1:11" x14ac:dyDescent="0.3">
      <c r="A13" s="6">
        <v>45809</v>
      </c>
      <c r="B13" s="4" t="s">
        <v>13</v>
      </c>
      <c r="C13">
        <f>COUNTIFS(Appointments[Specialty],B13, Appointments[Appointment_Date], "&gt;="&amp;A13, Appointments[Appointment_Date],"&lt;"&amp;EDATE(A13,1))</f>
        <v>39</v>
      </c>
      <c r="D13" cm="1">
        <f t="array" ref="D13">_xlfn.XLOOKUP(1,(Capacity[Month]=A13)*(Capacity[Specialty]=B13),Capacity[Available_Slots])</f>
        <v>32</v>
      </c>
      <c r="E13">
        <f>COUNTIFS(Appointments[Specialty],B13,Appointments[Appointment_Date],"&gt;="&amp;A13, Appointments[Appointment_Date],"&lt;"&amp;EDATE(A13,1),Appointments[Status],"Attended")</f>
        <v>29</v>
      </c>
      <c r="F13">
        <f t="shared" si="0"/>
        <v>7</v>
      </c>
      <c r="G13" s="7">
        <f t="shared" si="1"/>
        <v>0.90625</v>
      </c>
      <c r="H13" s="7">
        <f>COUNTIFS(Appointments[Specialty],B13,Appointments[Appointment_Date],"&gt;="&amp;A13,Appointments[Appointment_Date],"&lt;"&amp;EDATE(A13,1), Appointments[Status],"DNA")/C13</f>
        <v>0.10256410256410256</v>
      </c>
      <c r="I13" s="7">
        <f>COUNTIFS(Appointments[Specialty],B13,Appointments[Appointment_Date], "&gt;="&amp;A13,Appointments[Appointment_Date],"&lt;"&amp;EDATE(A13,1), Appointments[Status],"Cancelled")/C13</f>
        <v>0.15384615384615385</v>
      </c>
      <c r="J13" s="11">
        <f>AVERAGEIFS(Appointments[Waiting_Days],Appointments[Specialty],B13, Appointments[Appointment_Date],"&gt;="&amp;A13, Appointments[Appointment_Date],"&lt;"&amp;EDATE(A13,1))</f>
        <v>35.615384615384613</v>
      </c>
      <c r="K13">
        <f t="shared" si="2"/>
        <v>12</v>
      </c>
    </row>
    <row r="14" spans="1:11" x14ac:dyDescent="0.3">
      <c r="A14" s="5">
        <v>45809</v>
      </c>
      <c r="B14" s="3" t="s">
        <v>28</v>
      </c>
      <c r="C14">
        <f>COUNTIFS(Appointments[Specialty],B14, Appointments[Appointment_Date], "&gt;="&amp;A14, Appointments[Appointment_Date],"&lt;"&amp;EDATE(A14,1))</f>
        <v>62</v>
      </c>
      <c r="D14" cm="1">
        <f t="array" ref="D14">_xlfn.XLOOKUP(1,(Capacity[Month]=A14)*(Capacity[Specialty]=B14),Capacity[Available_Slots])</f>
        <v>48</v>
      </c>
      <c r="E14">
        <f>COUNTIFS(Appointments[Specialty],B14,Appointments[Appointment_Date],"&gt;="&amp;A14, Appointments[Appointment_Date],"&lt;"&amp;EDATE(A14,1),Appointments[Status],"Attended")</f>
        <v>48</v>
      </c>
      <c r="F14">
        <f t="shared" si="0"/>
        <v>14</v>
      </c>
      <c r="G14" s="7">
        <f t="shared" si="1"/>
        <v>1</v>
      </c>
      <c r="H14" s="7">
        <f>COUNTIFS(Appointments[Specialty],B14,Appointments[Appointment_Date],"&gt;="&amp;A14,Appointments[Appointment_Date],"&lt;"&amp;EDATE(A14,1), Appointments[Status],"DNA")/C14</f>
        <v>9.6774193548387094E-2</v>
      </c>
      <c r="I14" s="7">
        <f>COUNTIFS(Appointments[Specialty],B14,Appointments[Appointment_Date], "&gt;="&amp;A14,Appointments[Appointment_Date],"&lt;"&amp;EDATE(A14,1), Appointments[Status],"Cancelled")/C14</f>
        <v>0.12903225806451613</v>
      </c>
      <c r="J14" s="11">
        <f>AVERAGEIFS(Appointments[Waiting_Days],Appointments[Specialty],B14, Appointments[Appointment_Date],"&gt;="&amp;A14, Appointments[Appointment_Date],"&lt;"&amp;EDATE(A14,1))</f>
        <v>32.903225806451616</v>
      </c>
      <c r="K14">
        <f t="shared" si="2"/>
        <v>23</v>
      </c>
    </row>
    <row r="15" spans="1:11" x14ac:dyDescent="0.3">
      <c r="A15" s="6">
        <v>45809</v>
      </c>
      <c r="B15" s="4" t="s">
        <v>32</v>
      </c>
      <c r="C15">
        <f>COUNTIFS(Appointments[Specialty],B15, Appointments[Appointment_Date], "&gt;="&amp;A15, Appointments[Appointment_Date],"&lt;"&amp;EDATE(A15,1))</f>
        <v>47</v>
      </c>
      <c r="D15" cm="1">
        <f t="array" ref="D15">_xlfn.XLOOKUP(1,(Capacity[Month]=A15)*(Capacity[Specialty]=B15),Capacity[Available_Slots])</f>
        <v>46</v>
      </c>
      <c r="E15">
        <f>COUNTIFS(Appointments[Specialty],B15,Appointments[Appointment_Date],"&gt;="&amp;A15, Appointments[Appointment_Date],"&lt;"&amp;EDATE(A15,1),Appointments[Status],"Attended")</f>
        <v>38</v>
      </c>
      <c r="F15">
        <f t="shared" si="0"/>
        <v>1</v>
      </c>
      <c r="G15" s="7">
        <f t="shared" si="1"/>
        <v>0.82608695652173914</v>
      </c>
      <c r="H15" s="7">
        <f>COUNTIFS(Appointments[Specialty],B15,Appointments[Appointment_Date],"&gt;="&amp;A15,Appointments[Appointment_Date],"&lt;"&amp;EDATE(A15,1), Appointments[Status],"DNA")/C15</f>
        <v>6.3829787234042548E-2</v>
      </c>
      <c r="I15" s="7">
        <f>COUNTIFS(Appointments[Specialty],B15,Appointments[Appointment_Date], "&gt;="&amp;A15,Appointments[Appointment_Date],"&lt;"&amp;EDATE(A15,1), Appointments[Status],"Cancelled")/C15</f>
        <v>0.1276595744680851</v>
      </c>
      <c r="J15" s="11">
        <f>AVERAGEIFS(Appointments[Waiting_Days],Appointments[Specialty],B15, Appointments[Appointment_Date],"&gt;="&amp;A15, Appointments[Appointment_Date],"&lt;"&amp;EDATE(A15,1))</f>
        <v>32.893617021276597</v>
      </c>
      <c r="K15">
        <f t="shared" si="2"/>
        <v>5</v>
      </c>
    </row>
    <row r="16" spans="1:11" x14ac:dyDescent="0.3">
      <c r="A16" s="5">
        <v>45809</v>
      </c>
      <c r="B16" s="3" t="s">
        <v>37</v>
      </c>
      <c r="C16">
        <f>COUNTIFS(Appointments[Specialty],B16, Appointments[Appointment_Date], "&gt;="&amp;A16, Appointments[Appointment_Date],"&lt;"&amp;EDATE(A16,1))</f>
        <v>62</v>
      </c>
      <c r="D16" cm="1">
        <f t="array" ref="D16">_xlfn.XLOOKUP(1,(Capacity[Month]=A16)*(Capacity[Specialty]=B16),Capacity[Available_Slots])</f>
        <v>37</v>
      </c>
      <c r="E16">
        <f>COUNTIFS(Appointments[Specialty],B16,Appointments[Appointment_Date],"&gt;="&amp;A16, Appointments[Appointment_Date],"&lt;"&amp;EDATE(A16,1),Appointments[Status],"Attended")</f>
        <v>45</v>
      </c>
      <c r="F16">
        <f t="shared" si="0"/>
        <v>25</v>
      </c>
      <c r="G16" s="7">
        <f t="shared" si="1"/>
        <v>1.2162162162162162</v>
      </c>
      <c r="H16" s="7">
        <f>COUNTIFS(Appointments[Specialty],B16,Appointments[Appointment_Date],"&gt;="&amp;A16,Appointments[Appointment_Date],"&lt;"&amp;EDATE(A16,1), Appointments[Status],"DNA")/C16</f>
        <v>0.12903225806451613</v>
      </c>
      <c r="I16" s="7">
        <f>COUNTIFS(Appointments[Specialty],B16,Appointments[Appointment_Date], "&gt;="&amp;A16,Appointments[Appointment_Date],"&lt;"&amp;EDATE(A16,1), Appointments[Status],"Cancelled")/C16</f>
        <v>0.14516129032258066</v>
      </c>
      <c r="J16" s="11">
        <f>AVERAGEIFS(Appointments[Waiting_Days],Appointments[Specialty],B16, Appointments[Appointment_Date],"&gt;="&amp;A16, Appointments[Appointment_Date],"&lt;"&amp;EDATE(A16,1))</f>
        <v>32.032258064516128</v>
      </c>
      <c r="K16">
        <f t="shared" si="2"/>
        <v>42</v>
      </c>
    </row>
    <row r="17" spans="1:11" x14ac:dyDescent="0.3">
      <c r="A17" s="6">
        <v>45839</v>
      </c>
      <c r="B17" s="4" t="s">
        <v>23</v>
      </c>
      <c r="C17">
        <f>COUNTIFS(Appointments[Specialty],B17, Appointments[Appointment_Date], "&gt;="&amp;A17, Appointments[Appointment_Date],"&lt;"&amp;EDATE(A17,1))</f>
        <v>66</v>
      </c>
      <c r="D17" cm="1">
        <f t="array" ref="D17">_xlfn.XLOOKUP(1,(Capacity[Month]=A17)*(Capacity[Specialty]=B17),Capacity[Available_Slots])</f>
        <v>56</v>
      </c>
      <c r="E17">
        <f>COUNTIFS(Appointments[Specialty],B17,Appointments[Appointment_Date],"&gt;="&amp;A17, Appointments[Appointment_Date],"&lt;"&amp;EDATE(A17,1),Appointments[Status],"Attended")</f>
        <v>54</v>
      </c>
      <c r="F17">
        <f t="shared" si="0"/>
        <v>10</v>
      </c>
      <c r="G17" s="7">
        <f t="shared" si="1"/>
        <v>0.9642857142857143</v>
      </c>
      <c r="H17" s="7">
        <f>COUNTIFS(Appointments[Specialty],B17,Appointments[Appointment_Date],"&gt;="&amp;A17,Appointments[Appointment_Date],"&lt;"&amp;EDATE(A17,1), Appointments[Status],"DNA")/C17</f>
        <v>6.0606060606060608E-2</v>
      </c>
      <c r="I17" s="7">
        <f>COUNTIFS(Appointments[Specialty],B17,Appointments[Appointment_Date], "&gt;="&amp;A17,Appointments[Appointment_Date],"&lt;"&amp;EDATE(A17,1), Appointments[Status],"Cancelled")/C17</f>
        <v>0.12121212121212122</v>
      </c>
      <c r="J17" s="11">
        <f>AVERAGEIFS(Appointments[Waiting_Days],Appointments[Specialty],B17, Appointments[Appointment_Date],"&gt;="&amp;A17, Appointments[Appointment_Date],"&lt;"&amp;EDATE(A17,1))</f>
        <v>32.303030303030305</v>
      </c>
      <c r="K17">
        <f t="shared" si="2"/>
        <v>19</v>
      </c>
    </row>
    <row r="18" spans="1:11" x14ac:dyDescent="0.3">
      <c r="A18" s="5">
        <v>45839</v>
      </c>
      <c r="B18" s="3" t="s">
        <v>13</v>
      </c>
      <c r="C18">
        <f>COUNTIFS(Appointments[Specialty],B18, Appointments[Appointment_Date], "&gt;="&amp;A18, Appointments[Appointment_Date],"&lt;"&amp;EDATE(A18,1))</f>
        <v>57</v>
      </c>
      <c r="D18" cm="1">
        <f t="array" ref="D18">_xlfn.XLOOKUP(1,(Capacity[Month]=A18)*(Capacity[Specialty]=B18),Capacity[Available_Slots])</f>
        <v>56</v>
      </c>
      <c r="E18">
        <f>COUNTIFS(Appointments[Specialty],B18,Appointments[Appointment_Date],"&gt;="&amp;A18, Appointments[Appointment_Date],"&lt;"&amp;EDATE(A18,1),Appointments[Status],"Attended")</f>
        <v>46</v>
      </c>
      <c r="F18">
        <f t="shared" si="0"/>
        <v>1</v>
      </c>
      <c r="G18" s="7">
        <f t="shared" si="1"/>
        <v>0.8214285714285714</v>
      </c>
      <c r="H18" s="7">
        <f>COUNTIFS(Appointments[Specialty],B18,Appointments[Appointment_Date],"&gt;="&amp;A18,Appointments[Appointment_Date],"&lt;"&amp;EDATE(A18,1), Appointments[Status],"DNA")/C18</f>
        <v>0.10526315789473684</v>
      </c>
      <c r="I18" s="7">
        <f>COUNTIFS(Appointments[Specialty],B18,Appointments[Appointment_Date], "&gt;="&amp;A18,Appointments[Appointment_Date],"&lt;"&amp;EDATE(A18,1), Appointments[Status],"Cancelled")/C18</f>
        <v>8.771929824561403E-2</v>
      </c>
      <c r="J18" s="11">
        <f>AVERAGEIFS(Appointments[Waiting_Days],Appointments[Specialty],B18, Appointments[Appointment_Date],"&gt;="&amp;A18, Appointments[Appointment_Date],"&lt;"&amp;EDATE(A18,1))</f>
        <v>36.736842105263158</v>
      </c>
      <c r="K18">
        <f t="shared" si="2"/>
        <v>13</v>
      </c>
    </row>
    <row r="19" spans="1:11" x14ac:dyDescent="0.3">
      <c r="A19" s="6">
        <v>45839</v>
      </c>
      <c r="B19" s="4" t="s">
        <v>28</v>
      </c>
      <c r="C19">
        <f>COUNTIFS(Appointments[Specialty],B19, Appointments[Appointment_Date], "&gt;="&amp;A19, Appointments[Appointment_Date],"&lt;"&amp;EDATE(A19,1))</f>
        <v>50</v>
      </c>
      <c r="D19" cm="1">
        <f t="array" ref="D19">_xlfn.XLOOKUP(1,(Capacity[Month]=A19)*(Capacity[Specialty]=B19),Capacity[Available_Slots])</f>
        <v>41</v>
      </c>
      <c r="E19">
        <f>COUNTIFS(Appointments[Specialty],B19,Appointments[Appointment_Date],"&gt;="&amp;A19, Appointments[Appointment_Date],"&lt;"&amp;EDATE(A19,1),Appointments[Status],"Attended")</f>
        <v>36</v>
      </c>
      <c r="F19">
        <f t="shared" si="0"/>
        <v>9</v>
      </c>
      <c r="G19" s="7">
        <f t="shared" si="1"/>
        <v>0.87804878048780488</v>
      </c>
      <c r="H19" s="7">
        <f>COUNTIFS(Appointments[Specialty],B19,Appointments[Appointment_Date],"&gt;="&amp;A19,Appointments[Appointment_Date],"&lt;"&amp;EDATE(A19,1), Appointments[Status],"DNA")/C19</f>
        <v>0.06</v>
      </c>
      <c r="I19" s="7">
        <f>COUNTIFS(Appointments[Specialty],B19,Appointments[Appointment_Date], "&gt;="&amp;A19,Appointments[Appointment_Date],"&lt;"&amp;EDATE(A19,1), Appointments[Status],"Cancelled")/C19</f>
        <v>0.22</v>
      </c>
      <c r="J19" s="11">
        <f>AVERAGEIFS(Appointments[Waiting_Days],Appointments[Specialty],B19, Appointments[Appointment_Date],"&gt;="&amp;A19, Appointments[Appointment_Date],"&lt;"&amp;EDATE(A19,1))</f>
        <v>34.54</v>
      </c>
      <c r="K19">
        <f t="shared" si="2"/>
        <v>32</v>
      </c>
    </row>
    <row r="20" spans="1:11" x14ac:dyDescent="0.3">
      <c r="A20" s="5">
        <v>45839</v>
      </c>
      <c r="B20" s="3" t="s">
        <v>32</v>
      </c>
      <c r="C20">
        <f>COUNTIFS(Appointments[Specialty],B20, Appointments[Appointment_Date], "&gt;="&amp;A20, Appointments[Appointment_Date],"&lt;"&amp;EDATE(A20,1))</f>
        <v>43</v>
      </c>
      <c r="D20" cm="1">
        <f t="array" ref="D20">_xlfn.XLOOKUP(1,(Capacity[Month]=A20)*(Capacity[Specialty]=B20),Capacity[Available_Slots])</f>
        <v>41</v>
      </c>
      <c r="E20">
        <f>COUNTIFS(Appointments[Specialty],B20,Appointments[Appointment_Date],"&gt;="&amp;A20, Appointments[Appointment_Date],"&lt;"&amp;EDATE(A20,1),Appointments[Status],"Attended")</f>
        <v>36</v>
      </c>
      <c r="F20">
        <f t="shared" si="0"/>
        <v>2</v>
      </c>
      <c r="G20" s="7">
        <f t="shared" si="1"/>
        <v>0.87804878048780488</v>
      </c>
      <c r="H20" s="7">
        <f>COUNTIFS(Appointments[Specialty],B20,Appointments[Appointment_Date],"&gt;="&amp;A20,Appointments[Appointment_Date],"&lt;"&amp;EDATE(A20,1), Appointments[Status],"DNA")/C20</f>
        <v>4.6511627906976744E-2</v>
      </c>
      <c r="I20" s="7">
        <f>COUNTIFS(Appointments[Specialty],B20,Appointments[Appointment_Date], "&gt;="&amp;A20,Appointments[Appointment_Date],"&lt;"&amp;EDATE(A20,1), Appointments[Status],"Cancelled")/C20</f>
        <v>0.11627906976744186</v>
      </c>
      <c r="J20" s="11">
        <f>AVERAGEIFS(Appointments[Waiting_Days],Appointments[Specialty],B20, Appointments[Appointment_Date],"&gt;="&amp;A20, Appointments[Appointment_Date],"&lt;"&amp;EDATE(A20,1))</f>
        <v>39.069767441860463</v>
      </c>
      <c r="K20">
        <f t="shared" si="2"/>
        <v>7</v>
      </c>
    </row>
    <row r="21" spans="1:11" x14ac:dyDescent="0.3">
      <c r="A21" s="6">
        <v>45839</v>
      </c>
      <c r="B21" s="4" t="s">
        <v>37</v>
      </c>
      <c r="C21">
        <f>COUNTIFS(Appointments[Specialty],B21, Appointments[Appointment_Date], "&gt;="&amp;A21, Appointments[Appointment_Date],"&lt;"&amp;EDATE(A21,1))</f>
        <v>60</v>
      </c>
      <c r="D21" cm="1">
        <f t="array" ref="D21">_xlfn.XLOOKUP(1,(Capacity[Month]=A21)*(Capacity[Specialty]=B21),Capacity[Available_Slots])</f>
        <v>46</v>
      </c>
      <c r="E21">
        <f>COUNTIFS(Appointments[Specialty],B21,Appointments[Appointment_Date],"&gt;="&amp;A21, Appointments[Appointment_Date],"&lt;"&amp;EDATE(A21,1),Appointments[Status],"Attended")</f>
        <v>47</v>
      </c>
      <c r="F21">
        <f t="shared" si="0"/>
        <v>14</v>
      </c>
      <c r="G21" s="7">
        <f t="shared" si="1"/>
        <v>1.0217391304347827</v>
      </c>
      <c r="H21" s="7">
        <f>COUNTIFS(Appointments[Specialty],B21,Appointments[Appointment_Date],"&gt;="&amp;A21,Appointments[Appointment_Date],"&lt;"&amp;EDATE(A21,1), Appointments[Status],"DNA")/C21</f>
        <v>0.1</v>
      </c>
      <c r="I21" s="7">
        <f>COUNTIFS(Appointments[Specialty],B21,Appointments[Appointment_Date], "&gt;="&amp;A21,Appointments[Appointment_Date],"&lt;"&amp;EDATE(A21,1), Appointments[Status],"Cancelled")/C21</f>
        <v>0.11666666666666667</v>
      </c>
      <c r="J21" s="11">
        <f>AVERAGEIFS(Appointments[Waiting_Days],Appointments[Specialty],B21, Appointments[Appointment_Date],"&gt;="&amp;A21, Appointments[Appointment_Date],"&lt;"&amp;EDATE(A21,1))</f>
        <v>34.35</v>
      </c>
      <c r="K21">
        <f t="shared" si="2"/>
        <v>56</v>
      </c>
    </row>
    <row r="22" spans="1:11" x14ac:dyDescent="0.3">
      <c r="A22" s="5">
        <v>45870</v>
      </c>
      <c r="B22" s="3" t="s">
        <v>23</v>
      </c>
      <c r="C22">
        <f>COUNTIFS(Appointments[Specialty],B22, Appointments[Appointment_Date], "&gt;="&amp;A22, Appointments[Appointment_Date],"&lt;"&amp;EDATE(A22,1))</f>
        <v>47</v>
      </c>
      <c r="D22" cm="1">
        <f t="array" ref="D22">_xlfn.XLOOKUP(1,(Capacity[Month]=A22)*(Capacity[Specialty]=B22),Capacity[Available_Slots])</f>
        <v>39</v>
      </c>
      <c r="E22">
        <f>COUNTIFS(Appointments[Specialty],B22,Appointments[Appointment_Date],"&gt;="&amp;A22, Appointments[Appointment_Date],"&lt;"&amp;EDATE(A22,1),Appointments[Status],"Attended")</f>
        <v>35</v>
      </c>
      <c r="F22">
        <f t="shared" si="0"/>
        <v>8</v>
      </c>
      <c r="G22" s="7">
        <f t="shared" si="1"/>
        <v>0.89743589743589747</v>
      </c>
      <c r="H22" s="7">
        <f>COUNTIFS(Appointments[Specialty],B22,Appointments[Appointment_Date],"&gt;="&amp;A22,Appointments[Appointment_Date],"&lt;"&amp;EDATE(A22,1), Appointments[Status],"DNA")/C22</f>
        <v>0.1276595744680851</v>
      </c>
      <c r="I22" s="7">
        <f>COUNTIFS(Appointments[Specialty],B22,Appointments[Appointment_Date], "&gt;="&amp;A22,Appointments[Appointment_Date],"&lt;"&amp;EDATE(A22,1), Appointments[Status],"Cancelled")/C22</f>
        <v>0.1276595744680851</v>
      </c>
      <c r="J22" s="11">
        <f>AVERAGEIFS(Appointments[Waiting_Days],Appointments[Specialty],B22, Appointments[Appointment_Date],"&gt;="&amp;A22, Appointments[Appointment_Date],"&lt;"&amp;EDATE(A22,1))</f>
        <v>32.361702127659576</v>
      </c>
      <c r="K22">
        <f t="shared" si="2"/>
        <v>27</v>
      </c>
    </row>
    <row r="23" spans="1:11" x14ac:dyDescent="0.3">
      <c r="A23" s="6">
        <v>45870</v>
      </c>
      <c r="B23" s="4" t="s">
        <v>13</v>
      </c>
      <c r="C23">
        <f>COUNTIFS(Appointments[Specialty],B23, Appointments[Appointment_Date], "&gt;="&amp;A23, Appointments[Appointment_Date],"&lt;"&amp;EDATE(A23,1))</f>
        <v>46</v>
      </c>
      <c r="D23" cm="1">
        <f t="array" ref="D23">_xlfn.XLOOKUP(1,(Capacity[Month]=A23)*(Capacity[Specialty]=B23),Capacity[Available_Slots])</f>
        <v>47</v>
      </c>
      <c r="E23">
        <f>COUNTIFS(Appointments[Specialty],B23,Appointments[Appointment_Date],"&gt;="&amp;A23, Appointments[Appointment_Date],"&lt;"&amp;EDATE(A23,1),Appointments[Status],"Attended")</f>
        <v>41</v>
      </c>
      <c r="F23">
        <f t="shared" si="0"/>
        <v>-1</v>
      </c>
      <c r="G23" s="7">
        <f t="shared" si="1"/>
        <v>0.87234042553191493</v>
      </c>
      <c r="H23" s="7">
        <f>COUNTIFS(Appointments[Specialty],B23,Appointments[Appointment_Date],"&gt;="&amp;A23,Appointments[Appointment_Date],"&lt;"&amp;EDATE(A23,1), Appointments[Status],"DNA")/C23</f>
        <v>0</v>
      </c>
      <c r="I23" s="7">
        <f>COUNTIFS(Appointments[Specialty],B23,Appointments[Appointment_Date], "&gt;="&amp;A23,Appointments[Appointment_Date],"&lt;"&amp;EDATE(A23,1), Appointments[Status],"Cancelled")/C23</f>
        <v>0.10869565217391304</v>
      </c>
      <c r="J23" s="11">
        <f>AVERAGEIFS(Appointments[Waiting_Days],Appointments[Specialty],B23, Appointments[Appointment_Date],"&gt;="&amp;A23, Appointments[Appointment_Date],"&lt;"&amp;EDATE(A23,1))</f>
        <v>33.195652173913047</v>
      </c>
      <c r="K23">
        <f t="shared" si="2"/>
        <v>12</v>
      </c>
    </row>
    <row r="24" spans="1:11" x14ac:dyDescent="0.3">
      <c r="A24" s="5">
        <v>45870</v>
      </c>
      <c r="B24" s="3" t="s">
        <v>28</v>
      </c>
      <c r="C24">
        <f>COUNTIFS(Appointments[Specialty],B24, Appointments[Appointment_Date], "&gt;="&amp;A24, Appointments[Appointment_Date],"&lt;"&amp;EDATE(A24,1))</f>
        <v>49</v>
      </c>
      <c r="D24" cm="1">
        <f t="array" ref="D24">_xlfn.XLOOKUP(1,(Capacity[Month]=A24)*(Capacity[Specialty]=B24),Capacity[Available_Slots])</f>
        <v>37</v>
      </c>
      <c r="E24">
        <f>COUNTIFS(Appointments[Specialty],B24,Appointments[Appointment_Date],"&gt;="&amp;A24, Appointments[Appointment_Date],"&lt;"&amp;EDATE(A24,1),Appointments[Status],"Attended")</f>
        <v>33</v>
      </c>
      <c r="F24">
        <f t="shared" si="0"/>
        <v>12</v>
      </c>
      <c r="G24" s="7">
        <f t="shared" si="1"/>
        <v>0.89189189189189189</v>
      </c>
      <c r="H24" s="7">
        <f>COUNTIFS(Appointments[Specialty],B24,Appointments[Appointment_Date],"&gt;="&amp;A24,Appointments[Appointment_Date],"&lt;"&amp;EDATE(A24,1), Appointments[Status],"DNA")/C24</f>
        <v>0.10204081632653061</v>
      </c>
      <c r="I24" s="7">
        <f>COUNTIFS(Appointments[Specialty],B24,Appointments[Appointment_Date], "&gt;="&amp;A24,Appointments[Appointment_Date],"&lt;"&amp;EDATE(A24,1), Appointments[Status],"Cancelled")/C24</f>
        <v>0.22448979591836735</v>
      </c>
      <c r="J24" s="11">
        <f>AVERAGEIFS(Appointments[Waiting_Days],Appointments[Specialty],B24, Appointments[Appointment_Date],"&gt;="&amp;A24, Appointments[Appointment_Date],"&lt;"&amp;EDATE(A24,1))</f>
        <v>38.142857142857146</v>
      </c>
      <c r="K24">
        <f t="shared" si="2"/>
        <v>44</v>
      </c>
    </row>
    <row r="25" spans="1:11" x14ac:dyDescent="0.3">
      <c r="A25" s="6">
        <v>45870</v>
      </c>
      <c r="B25" s="4" t="s">
        <v>32</v>
      </c>
      <c r="C25">
        <f>COUNTIFS(Appointments[Specialty],B25, Appointments[Appointment_Date], "&gt;="&amp;A25, Appointments[Appointment_Date],"&lt;"&amp;EDATE(A25,1))</f>
        <v>45</v>
      </c>
      <c r="D25" cm="1">
        <f t="array" ref="D25">_xlfn.XLOOKUP(1,(Capacity[Month]=A25)*(Capacity[Specialty]=B25),Capacity[Available_Slots])</f>
        <v>42</v>
      </c>
      <c r="E25">
        <f>COUNTIFS(Appointments[Specialty],B25,Appointments[Appointment_Date],"&gt;="&amp;A25, Appointments[Appointment_Date],"&lt;"&amp;EDATE(A25,1),Appointments[Status],"Attended")</f>
        <v>36</v>
      </c>
      <c r="F25">
        <f t="shared" si="0"/>
        <v>3</v>
      </c>
      <c r="G25" s="7">
        <f t="shared" si="1"/>
        <v>0.8571428571428571</v>
      </c>
      <c r="H25" s="7">
        <f>COUNTIFS(Appointments[Specialty],B25,Appointments[Appointment_Date],"&gt;="&amp;A25,Appointments[Appointment_Date],"&lt;"&amp;EDATE(A25,1), Appointments[Status],"DNA")/C25</f>
        <v>6.6666666666666666E-2</v>
      </c>
      <c r="I25" s="7">
        <f>COUNTIFS(Appointments[Specialty],B25,Appointments[Appointment_Date], "&gt;="&amp;A25,Appointments[Appointment_Date],"&lt;"&amp;EDATE(A25,1), Appointments[Status],"Cancelled")/C25</f>
        <v>0.13333333333333333</v>
      </c>
      <c r="J25" s="11">
        <f>AVERAGEIFS(Appointments[Waiting_Days],Appointments[Specialty],B25, Appointments[Appointment_Date],"&gt;="&amp;A25, Appointments[Appointment_Date],"&lt;"&amp;EDATE(A25,1))</f>
        <v>35.955555555555556</v>
      </c>
      <c r="K25">
        <f t="shared" si="2"/>
        <v>10</v>
      </c>
    </row>
    <row r="26" spans="1:11" x14ac:dyDescent="0.3">
      <c r="A26" s="5">
        <v>45870</v>
      </c>
      <c r="B26" s="3" t="s">
        <v>37</v>
      </c>
      <c r="C26">
        <f>COUNTIFS(Appointments[Specialty],B26, Appointments[Appointment_Date], "&gt;="&amp;A26, Appointments[Appointment_Date],"&lt;"&amp;EDATE(A26,1))</f>
        <v>62</v>
      </c>
      <c r="D26" cm="1">
        <f t="array" ref="D26">_xlfn.XLOOKUP(1,(Capacity[Month]=A26)*(Capacity[Specialty]=B26),Capacity[Available_Slots])</f>
        <v>53</v>
      </c>
      <c r="E26">
        <f>COUNTIFS(Appointments[Specialty],B26,Appointments[Appointment_Date],"&gt;="&amp;A26, Appointments[Appointment_Date],"&lt;"&amp;EDATE(A26,1),Appointments[Status],"Attended")</f>
        <v>53</v>
      </c>
      <c r="F26">
        <f t="shared" si="0"/>
        <v>9</v>
      </c>
      <c r="G26" s="7">
        <f t="shared" si="1"/>
        <v>1</v>
      </c>
      <c r="H26" s="7">
        <f>COUNTIFS(Appointments[Specialty],B26,Appointments[Appointment_Date],"&gt;="&amp;A26,Appointments[Appointment_Date],"&lt;"&amp;EDATE(A26,1), Appointments[Status],"DNA")/C26</f>
        <v>4.8387096774193547E-2</v>
      </c>
      <c r="I26" s="7">
        <f>COUNTIFS(Appointments[Specialty],B26,Appointments[Appointment_Date], "&gt;="&amp;A26,Appointments[Appointment_Date],"&lt;"&amp;EDATE(A26,1), Appointments[Status],"Cancelled")/C26</f>
        <v>9.6774193548387094E-2</v>
      </c>
      <c r="J26" s="11">
        <f>AVERAGEIFS(Appointments[Waiting_Days],Appointments[Specialty],B26, Appointments[Appointment_Date],"&gt;="&amp;A26, Appointments[Appointment_Date],"&lt;"&amp;EDATE(A26,1))</f>
        <v>33.37096774193548</v>
      </c>
      <c r="K26">
        <f t="shared" si="2"/>
        <v>65</v>
      </c>
    </row>
    <row r="27" spans="1:11" x14ac:dyDescent="0.3">
      <c r="A27" s="6">
        <v>45901</v>
      </c>
      <c r="B27" s="4" t="s">
        <v>23</v>
      </c>
      <c r="C27">
        <f>COUNTIFS(Appointments[Specialty],B27, Appointments[Appointment_Date], "&gt;="&amp;A27, Appointments[Appointment_Date],"&lt;"&amp;EDATE(A27,1))</f>
        <v>60</v>
      </c>
      <c r="D27" cm="1">
        <f t="array" ref="D27">_xlfn.XLOOKUP(1,(Capacity[Month]=A27)*(Capacity[Specialty]=B27),Capacity[Available_Slots])</f>
        <v>49</v>
      </c>
      <c r="E27">
        <f>COUNTIFS(Appointments[Specialty],B27,Appointments[Appointment_Date],"&gt;="&amp;A27, Appointments[Appointment_Date],"&lt;"&amp;EDATE(A27,1),Appointments[Status],"Attended")</f>
        <v>42</v>
      </c>
      <c r="F27">
        <f t="shared" si="0"/>
        <v>11</v>
      </c>
      <c r="G27" s="7">
        <f t="shared" si="1"/>
        <v>0.8571428571428571</v>
      </c>
      <c r="H27" s="7">
        <f>COUNTIFS(Appointments[Specialty],B27,Appointments[Appointment_Date],"&gt;="&amp;A27,Appointments[Appointment_Date],"&lt;"&amp;EDATE(A27,1), Appointments[Status],"DNA")/C27</f>
        <v>0.15</v>
      </c>
      <c r="I27" s="7">
        <f>COUNTIFS(Appointments[Specialty],B27,Appointments[Appointment_Date], "&gt;="&amp;A27,Appointments[Appointment_Date],"&lt;"&amp;EDATE(A27,1), Appointments[Status],"Cancelled")/C27</f>
        <v>0.15</v>
      </c>
      <c r="J27" s="11">
        <f>AVERAGEIFS(Appointments[Waiting_Days],Appointments[Specialty],B27, Appointments[Appointment_Date],"&gt;="&amp;A27, Appointments[Appointment_Date],"&lt;"&amp;EDATE(A27,1))</f>
        <v>34.56666666666667</v>
      </c>
      <c r="K27">
        <f t="shared" si="2"/>
        <v>38</v>
      </c>
    </row>
    <row r="28" spans="1:11" x14ac:dyDescent="0.3">
      <c r="A28" s="5">
        <v>45901</v>
      </c>
      <c r="B28" s="3" t="s">
        <v>13</v>
      </c>
      <c r="C28">
        <f>COUNTIFS(Appointments[Specialty],B28, Appointments[Appointment_Date], "&gt;="&amp;A28, Appointments[Appointment_Date],"&lt;"&amp;EDATE(A28,1))</f>
        <v>47</v>
      </c>
      <c r="D28" cm="1">
        <f t="array" ref="D28">_xlfn.XLOOKUP(1,(Capacity[Month]=A28)*(Capacity[Specialty]=B28),Capacity[Available_Slots])</f>
        <v>49</v>
      </c>
      <c r="E28">
        <f>COUNTIFS(Appointments[Specialty],B28,Appointments[Appointment_Date],"&gt;="&amp;A28, Appointments[Appointment_Date],"&lt;"&amp;EDATE(A28,1),Appointments[Status],"Attended")</f>
        <v>37</v>
      </c>
      <c r="F28">
        <f t="shared" si="0"/>
        <v>-2</v>
      </c>
      <c r="G28" s="7">
        <f t="shared" si="1"/>
        <v>0.75510204081632648</v>
      </c>
      <c r="H28" s="7">
        <f>COUNTIFS(Appointments[Specialty],B28,Appointments[Appointment_Date],"&gt;="&amp;A28,Appointments[Appointment_Date],"&lt;"&amp;EDATE(A28,1), Appointments[Status],"DNA")/C28</f>
        <v>0.10638297872340426</v>
      </c>
      <c r="I28" s="7">
        <f>COUNTIFS(Appointments[Specialty],B28,Appointments[Appointment_Date], "&gt;="&amp;A28,Appointments[Appointment_Date],"&lt;"&amp;EDATE(A28,1), Appointments[Status],"Cancelled")/C28</f>
        <v>0.10638297872340426</v>
      </c>
      <c r="J28" s="11">
        <f>AVERAGEIFS(Appointments[Waiting_Days],Appointments[Specialty],B28, Appointments[Appointment_Date],"&gt;="&amp;A28, Appointments[Appointment_Date],"&lt;"&amp;EDATE(A28,1))</f>
        <v>32.723404255319146</v>
      </c>
      <c r="K28">
        <f t="shared" si="2"/>
        <v>10</v>
      </c>
    </row>
    <row r="29" spans="1:11" x14ac:dyDescent="0.3">
      <c r="A29" s="6">
        <v>45901</v>
      </c>
      <c r="B29" s="4" t="s">
        <v>28</v>
      </c>
      <c r="C29">
        <f>COUNTIFS(Appointments[Specialty],B29, Appointments[Appointment_Date], "&gt;="&amp;A29, Appointments[Appointment_Date],"&lt;"&amp;EDATE(A29,1))</f>
        <v>50</v>
      </c>
      <c r="D29" cm="1">
        <f t="array" ref="D29">_xlfn.XLOOKUP(1,(Capacity[Month]=A29)*(Capacity[Specialty]=B29),Capacity[Available_Slots])</f>
        <v>38</v>
      </c>
      <c r="E29">
        <f>COUNTIFS(Appointments[Specialty],B29,Appointments[Appointment_Date],"&gt;="&amp;A29, Appointments[Appointment_Date],"&lt;"&amp;EDATE(A29,1),Appointments[Status],"Attended")</f>
        <v>37</v>
      </c>
      <c r="F29">
        <f t="shared" si="0"/>
        <v>12</v>
      </c>
      <c r="G29" s="7">
        <f t="shared" si="1"/>
        <v>0.97368421052631582</v>
      </c>
      <c r="H29" s="7">
        <f>COUNTIFS(Appointments[Specialty],B29,Appointments[Appointment_Date],"&gt;="&amp;A29,Appointments[Appointment_Date],"&lt;"&amp;EDATE(A29,1), Appointments[Status],"DNA")/C29</f>
        <v>0.12</v>
      </c>
      <c r="I29" s="7">
        <f>COUNTIFS(Appointments[Specialty],B29,Appointments[Appointment_Date], "&gt;="&amp;A29,Appointments[Appointment_Date],"&lt;"&amp;EDATE(A29,1), Appointments[Status],"Cancelled")/C29</f>
        <v>0.14000000000000001</v>
      </c>
      <c r="J29" s="11">
        <f>AVERAGEIFS(Appointments[Waiting_Days],Appointments[Specialty],B29, Appointments[Appointment_Date],"&gt;="&amp;A29, Appointments[Appointment_Date],"&lt;"&amp;EDATE(A29,1))</f>
        <v>31.52</v>
      </c>
      <c r="K29">
        <f t="shared" si="2"/>
        <v>56</v>
      </c>
    </row>
    <row r="30" spans="1:11" x14ac:dyDescent="0.3">
      <c r="A30" s="5">
        <v>45901</v>
      </c>
      <c r="B30" s="3" t="s">
        <v>32</v>
      </c>
      <c r="C30">
        <f>COUNTIFS(Appointments[Specialty],B30, Appointments[Appointment_Date], "&gt;="&amp;A30, Appointments[Appointment_Date],"&lt;"&amp;EDATE(A30,1))</f>
        <v>51</v>
      </c>
      <c r="D30" cm="1">
        <f t="array" ref="D30">_xlfn.XLOOKUP(1,(Capacity[Month]=A30)*(Capacity[Specialty]=B30),Capacity[Available_Slots])</f>
        <v>38</v>
      </c>
      <c r="E30">
        <f>COUNTIFS(Appointments[Specialty],B30,Appointments[Appointment_Date],"&gt;="&amp;A30, Appointments[Appointment_Date],"&lt;"&amp;EDATE(A30,1),Appointments[Status],"Attended")</f>
        <v>36</v>
      </c>
      <c r="F30">
        <f t="shared" si="0"/>
        <v>13</v>
      </c>
      <c r="G30" s="7">
        <f t="shared" si="1"/>
        <v>0.94736842105263153</v>
      </c>
      <c r="H30" s="7">
        <f>COUNTIFS(Appointments[Specialty],B30,Appointments[Appointment_Date],"&gt;="&amp;A30,Appointments[Appointment_Date],"&lt;"&amp;EDATE(A30,1), Appointments[Status],"DNA")/C30</f>
        <v>0.15686274509803921</v>
      </c>
      <c r="I30" s="7">
        <f>COUNTIFS(Appointments[Specialty],B30,Appointments[Appointment_Date], "&gt;="&amp;A30,Appointments[Appointment_Date],"&lt;"&amp;EDATE(A30,1), Appointments[Status],"Cancelled")/C30</f>
        <v>0.13725490196078433</v>
      </c>
      <c r="J30" s="11">
        <f>AVERAGEIFS(Appointments[Waiting_Days],Appointments[Specialty],B30, Appointments[Appointment_Date],"&gt;="&amp;A30, Appointments[Appointment_Date],"&lt;"&amp;EDATE(A30,1))</f>
        <v>38.627450980392155</v>
      </c>
      <c r="K30">
        <f t="shared" si="2"/>
        <v>23</v>
      </c>
    </row>
    <row r="31" spans="1:11" x14ac:dyDescent="0.3">
      <c r="A31" s="6">
        <v>45901</v>
      </c>
      <c r="B31" s="4" t="s">
        <v>37</v>
      </c>
      <c r="C31">
        <f>COUNTIFS(Appointments[Specialty],B31, Appointments[Appointment_Date], "&gt;="&amp;A31, Appointments[Appointment_Date],"&lt;"&amp;EDATE(A31,1))</f>
        <v>72</v>
      </c>
      <c r="D31" cm="1">
        <f t="array" ref="D31">_xlfn.XLOOKUP(1,(Capacity[Month]=A31)*(Capacity[Specialty]=B31),Capacity[Available_Slots])</f>
        <v>60</v>
      </c>
      <c r="E31">
        <f>COUNTIFS(Appointments[Specialty],B31,Appointments[Appointment_Date],"&gt;="&amp;A31, Appointments[Appointment_Date],"&lt;"&amp;EDATE(A31,1),Appointments[Status],"Attended")</f>
        <v>55</v>
      </c>
      <c r="F31">
        <f t="shared" si="0"/>
        <v>12</v>
      </c>
      <c r="G31" s="7">
        <f t="shared" si="1"/>
        <v>0.91666666666666663</v>
      </c>
      <c r="H31" s="7">
        <f>COUNTIFS(Appointments[Specialty],B31,Appointments[Appointment_Date],"&gt;="&amp;A31,Appointments[Appointment_Date],"&lt;"&amp;EDATE(A31,1), Appointments[Status],"DNA")/C31</f>
        <v>8.3333333333333329E-2</v>
      </c>
      <c r="I31" s="7">
        <f>COUNTIFS(Appointments[Specialty],B31,Appointments[Appointment_Date], "&gt;="&amp;A31,Appointments[Appointment_Date],"&lt;"&amp;EDATE(A31,1), Appointments[Status],"Cancelled")/C31</f>
        <v>0.15277777777777779</v>
      </c>
      <c r="J31" s="11">
        <f>AVERAGEIFS(Appointments[Waiting_Days],Appointments[Specialty],B31, Appointments[Appointment_Date],"&gt;="&amp;A31, Appointments[Appointment_Date],"&lt;"&amp;EDATE(A31,1))</f>
        <v>32.986111111111114</v>
      </c>
      <c r="K31">
        <f t="shared" si="2"/>
        <v>77</v>
      </c>
    </row>
    <row r="32" spans="1:11" x14ac:dyDescent="0.3">
      <c r="A32" s="5">
        <v>45931</v>
      </c>
      <c r="B32" s="3" t="s">
        <v>23</v>
      </c>
      <c r="C32">
        <f>COUNTIFS(Appointments[Specialty],B32, Appointments[Appointment_Date], "&gt;="&amp;A32, Appointments[Appointment_Date],"&lt;"&amp;EDATE(A32,1))</f>
        <v>62</v>
      </c>
      <c r="D32" cm="1">
        <f t="array" ref="D32">_xlfn.XLOOKUP(1,(Capacity[Month]=A32)*(Capacity[Specialty]=B32),Capacity[Available_Slots])</f>
        <v>51</v>
      </c>
      <c r="E32">
        <f>COUNTIFS(Appointments[Specialty],B32,Appointments[Appointment_Date],"&gt;="&amp;A32, Appointments[Appointment_Date],"&lt;"&amp;EDATE(A32,1),Appointments[Status],"Attended")</f>
        <v>47</v>
      </c>
      <c r="F32">
        <f t="shared" si="0"/>
        <v>11</v>
      </c>
      <c r="G32" s="7">
        <f t="shared" si="1"/>
        <v>0.92156862745098034</v>
      </c>
      <c r="H32" s="7">
        <f>COUNTIFS(Appointments[Specialty],B32,Appointments[Appointment_Date],"&gt;="&amp;A32,Appointments[Appointment_Date],"&lt;"&amp;EDATE(A32,1), Appointments[Status],"DNA")/C32</f>
        <v>9.6774193548387094E-2</v>
      </c>
      <c r="I32" s="7">
        <f>COUNTIFS(Appointments[Specialty],B32,Appointments[Appointment_Date], "&gt;="&amp;A32,Appointments[Appointment_Date],"&lt;"&amp;EDATE(A32,1), Appointments[Status],"Cancelled")/C32</f>
        <v>0.14516129032258066</v>
      </c>
      <c r="J32" s="11">
        <f>AVERAGEIFS(Appointments[Waiting_Days],Appointments[Specialty],B32, Appointments[Appointment_Date],"&gt;="&amp;A32, Appointments[Appointment_Date],"&lt;"&amp;EDATE(A32,1))</f>
        <v>33.048387096774192</v>
      </c>
      <c r="K32">
        <f t="shared" si="2"/>
        <v>49</v>
      </c>
    </row>
    <row r="33" spans="1:11" x14ac:dyDescent="0.3">
      <c r="A33" s="6">
        <v>45931</v>
      </c>
      <c r="B33" s="4" t="s">
        <v>13</v>
      </c>
      <c r="C33">
        <f>COUNTIFS(Appointments[Specialty],B33, Appointments[Appointment_Date], "&gt;="&amp;A33, Appointments[Appointment_Date],"&lt;"&amp;EDATE(A33,1))</f>
        <v>50</v>
      </c>
      <c r="D33" cm="1">
        <f t="array" ref="D33">_xlfn.XLOOKUP(1,(Capacity[Month]=A33)*(Capacity[Specialty]=B33),Capacity[Available_Slots])</f>
        <v>52</v>
      </c>
      <c r="E33">
        <f>COUNTIFS(Appointments[Specialty],B33,Appointments[Appointment_Date],"&gt;="&amp;A33, Appointments[Appointment_Date],"&lt;"&amp;EDATE(A33,1),Appointments[Status],"Attended")</f>
        <v>39</v>
      </c>
      <c r="F33">
        <f t="shared" si="0"/>
        <v>-2</v>
      </c>
      <c r="G33" s="7">
        <f t="shared" si="1"/>
        <v>0.75</v>
      </c>
      <c r="H33" s="7">
        <f>COUNTIFS(Appointments[Specialty],B33,Appointments[Appointment_Date],"&gt;="&amp;A33,Appointments[Appointment_Date],"&lt;"&amp;EDATE(A33,1), Appointments[Status],"DNA")/C33</f>
        <v>0.1</v>
      </c>
      <c r="I33" s="7">
        <f>COUNTIFS(Appointments[Specialty],B33,Appointments[Appointment_Date], "&gt;="&amp;A33,Appointments[Appointment_Date],"&lt;"&amp;EDATE(A33,1), Appointments[Status],"Cancelled")/C33</f>
        <v>0.12</v>
      </c>
      <c r="J33" s="11">
        <f>AVERAGEIFS(Appointments[Waiting_Days],Appointments[Specialty],B33, Appointments[Appointment_Date],"&gt;="&amp;A33, Appointments[Appointment_Date],"&lt;"&amp;EDATE(A33,1))</f>
        <v>31.04</v>
      </c>
      <c r="K33">
        <f t="shared" si="2"/>
        <v>8</v>
      </c>
    </row>
    <row r="34" spans="1:11" x14ac:dyDescent="0.3">
      <c r="A34" s="5">
        <v>45931</v>
      </c>
      <c r="B34" s="3" t="s">
        <v>28</v>
      </c>
      <c r="C34">
        <f>COUNTIFS(Appointments[Specialty],B34, Appointments[Appointment_Date], "&gt;="&amp;A34, Appointments[Appointment_Date],"&lt;"&amp;EDATE(A34,1))</f>
        <v>51</v>
      </c>
      <c r="D34" cm="1">
        <f t="array" ref="D34">_xlfn.XLOOKUP(1,(Capacity[Month]=A34)*(Capacity[Specialty]=B34),Capacity[Available_Slots])</f>
        <v>39</v>
      </c>
      <c r="E34">
        <f>COUNTIFS(Appointments[Specialty],B34,Appointments[Appointment_Date],"&gt;="&amp;A34, Appointments[Appointment_Date],"&lt;"&amp;EDATE(A34,1),Appointments[Status],"Attended")</f>
        <v>41</v>
      </c>
      <c r="F34">
        <f t="shared" si="0"/>
        <v>12</v>
      </c>
      <c r="G34" s="7">
        <f t="shared" si="1"/>
        <v>1.0512820512820513</v>
      </c>
      <c r="H34" s="7">
        <f>COUNTIFS(Appointments[Specialty],B34,Appointments[Appointment_Date],"&gt;="&amp;A34,Appointments[Appointment_Date],"&lt;"&amp;EDATE(A34,1), Appointments[Status],"DNA")/C34</f>
        <v>7.8431372549019607E-2</v>
      </c>
      <c r="I34" s="7">
        <f>COUNTIFS(Appointments[Specialty],B34,Appointments[Appointment_Date], "&gt;="&amp;A34,Appointments[Appointment_Date],"&lt;"&amp;EDATE(A34,1), Appointments[Status],"Cancelled")/C34</f>
        <v>0.11764705882352941</v>
      </c>
      <c r="J34" s="11">
        <f>AVERAGEIFS(Appointments[Waiting_Days],Appointments[Specialty],B34, Appointments[Appointment_Date],"&gt;="&amp;A34, Appointments[Appointment_Date],"&lt;"&amp;EDATE(A34,1))</f>
        <v>39.568627450980394</v>
      </c>
      <c r="K34">
        <f t="shared" si="2"/>
        <v>68</v>
      </c>
    </row>
    <row r="35" spans="1:11" x14ac:dyDescent="0.3">
      <c r="A35" s="6">
        <v>45931</v>
      </c>
      <c r="B35" s="4" t="s">
        <v>32</v>
      </c>
      <c r="C35">
        <f>COUNTIFS(Appointments[Specialty],B35, Appointments[Appointment_Date], "&gt;="&amp;A35, Appointments[Appointment_Date],"&lt;"&amp;EDATE(A35,1))</f>
        <v>45</v>
      </c>
      <c r="D35" cm="1">
        <f t="array" ref="D35">_xlfn.XLOOKUP(1,(Capacity[Month]=A35)*(Capacity[Specialty]=B35),Capacity[Available_Slots])</f>
        <v>44</v>
      </c>
      <c r="E35">
        <f>COUNTIFS(Appointments[Specialty],B35,Appointments[Appointment_Date],"&gt;="&amp;A35, Appointments[Appointment_Date],"&lt;"&amp;EDATE(A35,1),Appointments[Status],"Attended")</f>
        <v>38</v>
      </c>
      <c r="F35">
        <f t="shared" si="0"/>
        <v>1</v>
      </c>
      <c r="G35" s="7">
        <f t="shared" si="1"/>
        <v>0.86363636363636365</v>
      </c>
      <c r="H35" s="7">
        <f>COUNTIFS(Appointments[Specialty],B35,Appointments[Appointment_Date],"&gt;="&amp;A35,Appointments[Appointment_Date],"&lt;"&amp;EDATE(A35,1), Appointments[Status],"DNA")/C35</f>
        <v>8.8888888888888892E-2</v>
      </c>
      <c r="I35" s="7">
        <f>COUNTIFS(Appointments[Specialty],B35,Appointments[Appointment_Date], "&gt;="&amp;A35,Appointments[Appointment_Date],"&lt;"&amp;EDATE(A35,1), Appointments[Status],"Cancelled")/C35</f>
        <v>6.6666666666666666E-2</v>
      </c>
      <c r="J35" s="11">
        <f>AVERAGEIFS(Appointments[Waiting_Days],Appointments[Specialty],B35, Appointments[Appointment_Date],"&gt;="&amp;A35, Appointments[Appointment_Date],"&lt;"&amp;EDATE(A35,1))</f>
        <v>35.866666666666667</v>
      </c>
      <c r="K35">
        <f t="shared" si="2"/>
        <v>24</v>
      </c>
    </row>
    <row r="36" spans="1:11" x14ac:dyDescent="0.3">
      <c r="A36" s="5">
        <v>45931</v>
      </c>
      <c r="B36" s="3" t="s">
        <v>37</v>
      </c>
      <c r="C36">
        <f>COUNTIFS(Appointments[Specialty],B36, Appointments[Appointment_Date], "&gt;="&amp;A36, Appointments[Appointment_Date],"&lt;"&amp;EDATE(A36,1))</f>
        <v>66</v>
      </c>
      <c r="D36" cm="1">
        <f t="array" ref="D36">_xlfn.XLOOKUP(1,(Capacity[Month]=A36)*(Capacity[Specialty]=B36),Capacity[Available_Slots])</f>
        <v>51</v>
      </c>
      <c r="E36">
        <f>COUNTIFS(Appointments[Specialty],B36,Appointments[Appointment_Date],"&gt;="&amp;A36, Appointments[Appointment_Date],"&lt;"&amp;EDATE(A36,1),Appointments[Status],"Attended")</f>
        <v>52</v>
      </c>
      <c r="F36">
        <f t="shared" si="0"/>
        <v>15</v>
      </c>
      <c r="G36" s="7">
        <f t="shared" si="1"/>
        <v>1.0196078431372548</v>
      </c>
      <c r="H36" s="7">
        <f>COUNTIFS(Appointments[Specialty],B36,Appointments[Appointment_Date],"&gt;="&amp;A36,Appointments[Appointment_Date],"&lt;"&amp;EDATE(A36,1), Appointments[Status],"DNA")/C36</f>
        <v>7.575757575757576E-2</v>
      </c>
      <c r="I36" s="7">
        <f>COUNTIFS(Appointments[Specialty],B36,Appointments[Appointment_Date], "&gt;="&amp;A36,Appointments[Appointment_Date],"&lt;"&amp;EDATE(A36,1), Appointments[Status],"Cancelled")/C36</f>
        <v>0.13636363636363635</v>
      </c>
      <c r="J36" s="11">
        <f>AVERAGEIFS(Appointments[Waiting_Days],Appointments[Specialty],B36, Appointments[Appointment_Date],"&gt;="&amp;A36, Appointments[Appointment_Date],"&lt;"&amp;EDATE(A36,1))</f>
        <v>32.484848484848484</v>
      </c>
      <c r="K36">
        <f t="shared" si="2"/>
        <v>92</v>
      </c>
    </row>
    <row r="37" spans="1:11" x14ac:dyDescent="0.3">
      <c r="A37" s="6">
        <v>45962</v>
      </c>
      <c r="B37" s="4" t="s">
        <v>23</v>
      </c>
      <c r="C37">
        <f>COUNTIFS(Appointments[Specialty],B37, Appointments[Appointment_Date], "&gt;="&amp;A37, Appointments[Appointment_Date],"&lt;"&amp;EDATE(A37,1))</f>
        <v>66</v>
      </c>
      <c r="D37" cm="1">
        <f t="array" ref="D37">_xlfn.XLOOKUP(1,(Capacity[Month]=A37)*(Capacity[Specialty]=B37),Capacity[Available_Slots])</f>
        <v>63</v>
      </c>
      <c r="E37">
        <f>COUNTIFS(Appointments[Specialty],B37,Appointments[Appointment_Date],"&gt;="&amp;A37, Appointments[Appointment_Date],"&lt;"&amp;EDATE(A37,1),Appointments[Status],"Attended")</f>
        <v>57</v>
      </c>
      <c r="F37">
        <f t="shared" si="0"/>
        <v>3</v>
      </c>
      <c r="G37" s="7">
        <f t="shared" si="1"/>
        <v>0.90476190476190477</v>
      </c>
      <c r="H37" s="7">
        <f>COUNTIFS(Appointments[Specialty],B37,Appointments[Appointment_Date],"&gt;="&amp;A37,Appointments[Appointment_Date],"&lt;"&amp;EDATE(A37,1), Appointments[Status],"DNA")/C37</f>
        <v>6.0606060606060608E-2</v>
      </c>
      <c r="I37" s="7">
        <f>COUNTIFS(Appointments[Specialty],B37,Appointments[Appointment_Date], "&gt;="&amp;A37,Appointments[Appointment_Date],"&lt;"&amp;EDATE(A37,1), Appointments[Status],"Cancelled")/C37</f>
        <v>7.575757575757576E-2</v>
      </c>
      <c r="J37" s="11">
        <f>AVERAGEIFS(Appointments[Waiting_Days],Appointments[Specialty],B37, Appointments[Appointment_Date],"&gt;="&amp;A37, Appointments[Appointment_Date],"&lt;"&amp;EDATE(A37,1))</f>
        <v>35.484848484848484</v>
      </c>
      <c r="K37">
        <f t="shared" si="2"/>
        <v>52</v>
      </c>
    </row>
    <row r="38" spans="1:11" x14ac:dyDescent="0.3">
      <c r="A38" s="5">
        <v>45962</v>
      </c>
      <c r="B38" s="3" t="s">
        <v>13</v>
      </c>
      <c r="C38">
        <f>COUNTIFS(Appointments[Specialty],B38, Appointments[Appointment_Date], "&gt;="&amp;A38, Appointments[Appointment_Date],"&lt;"&amp;EDATE(A38,1))</f>
        <v>54</v>
      </c>
      <c r="D38" cm="1">
        <f t="array" ref="D38">_xlfn.XLOOKUP(1,(Capacity[Month]=A38)*(Capacity[Specialty]=B38),Capacity[Available_Slots])</f>
        <v>59</v>
      </c>
      <c r="E38">
        <f>COUNTIFS(Appointments[Specialty],B38,Appointments[Appointment_Date],"&gt;="&amp;A38, Appointments[Appointment_Date],"&lt;"&amp;EDATE(A38,1),Appointments[Status],"Attended")</f>
        <v>46</v>
      </c>
      <c r="F38">
        <f t="shared" si="0"/>
        <v>-5</v>
      </c>
      <c r="G38" s="7">
        <f t="shared" si="1"/>
        <v>0.77966101694915257</v>
      </c>
      <c r="H38" s="7">
        <f>COUNTIFS(Appointments[Specialty],B38,Appointments[Appointment_Date],"&gt;="&amp;A38,Appointments[Appointment_Date],"&lt;"&amp;EDATE(A38,1), Appointments[Status],"DNA")/C38</f>
        <v>5.5555555555555552E-2</v>
      </c>
      <c r="I38" s="7">
        <f>COUNTIFS(Appointments[Specialty],B38,Appointments[Appointment_Date], "&gt;="&amp;A38,Appointments[Appointment_Date],"&lt;"&amp;EDATE(A38,1), Appointments[Status],"Cancelled")/C38</f>
        <v>9.2592592592592587E-2</v>
      </c>
      <c r="J38" s="11">
        <f>AVERAGEIFS(Appointments[Waiting_Days],Appointments[Specialty],B38, Appointments[Appointment_Date],"&gt;="&amp;A38, Appointments[Appointment_Date],"&lt;"&amp;EDATE(A38,1))</f>
        <v>35.518518518518519</v>
      </c>
      <c r="K38">
        <f t="shared" si="2"/>
        <v>3</v>
      </c>
    </row>
    <row r="39" spans="1:11" x14ac:dyDescent="0.3">
      <c r="A39" s="6">
        <v>45962</v>
      </c>
      <c r="B39" s="4" t="s">
        <v>28</v>
      </c>
      <c r="C39">
        <f>COUNTIFS(Appointments[Specialty],B39, Appointments[Appointment_Date], "&gt;="&amp;A39, Appointments[Appointment_Date],"&lt;"&amp;EDATE(A39,1))</f>
        <v>45</v>
      </c>
      <c r="D39" cm="1">
        <f t="array" ref="D39">_xlfn.XLOOKUP(1,(Capacity[Month]=A39)*(Capacity[Specialty]=B39),Capacity[Available_Slots])</f>
        <v>26</v>
      </c>
      <c r="E39">
        <f>COUNTIFS(Appointments[Specialty],B39,Appointments[Appointment_Date],"&gt;="&amp;A39, Appointments[Appointment_Date],"&lt;"&amp;EDATE(A39,1),Appointments[Status],"Attended")</f>
        <v>30</v>
      </c>
      <c r="F39">
        <f t="shared" si="0"/>
        <v>19</v>
      </c>
      <c r="G39" s="7">
        <f t="shared" si="1"/>
        <v>1.1538461538461537</v>
      </c>
      <c r="H39" s="7">
        <f>COUNTIFS(Appointments[Specialty],B39,Appointments[Appointment_Date],"&gt;="&amp;A39,Appointments[Appointment_Date],"&lt;"&amp;EDATE(A39,1), Appointments[Status],"DNA")/C39</f>
        <v>0.13333333333333333</v>
      </c>
      <c r="I39" s="7">
        <f>COUNTIFS(Appointments[Specialty],B39,Appointments[Appointment_Date], "&gt;="&amp;A39,Appointments[Appointment_Date],"&lt;"&amp;EDATE(A39,1), Appointments[Status],"Cancelled")/C39</f>
        <v>0.2</v>
      </c>
      <c r="J39" s="11">
        <f>AVERAGEIFS(Appointments[Waiting_Days],Appointments[Specialty],B39, Appointments[Appointment_Date],"&gt;="&amp;A39, Appointments[Appointment_Date],"&lt;"&amp;EDATE(A39,1))</f>
        <v>30.022222222222222</v>
      </c>
      <c r="K39">
        <f t="shared" si="2"/>
        <v>87</v>
      </c>
    </row>
    <row r="40" spans="1:11" x14ac:dyDescent="0.3">
      <c r="A40" s="5">
        <v>45962</v>
      </c>
      <c r="B40" s="3" t="s">
        <v>32</v>
      </c>
      <c r="C40">
        <f>COUNTIFS(Appointments[Specialty],B40, Appointments[Appointment_Date], "&gt;="&amp;A40, Appointments[Appointment_Date],"&lt;"&amp;EDATE(A40,1))</f>
        <v>33</v>
      </c>
      <c r="D40" cm="1">
        <f t="array" ref="D40">_xlfn.XLOOKUP(1,(Capacity[Month]=A40)*(Capacity[Specialty]=B40),Capacity[Available_Slots])</f>
        <v>31</v>
      </c>
      <c r="E40">
        <f>COUNTIFS(Appointments[Specialty],B40,Appointments[Appointment_Date],"&gt;="&amp;A40, Appointments[Appointment_Date],"&lt;"&amp;EDATE(A40,1),Appointments[Status],"Attended")</f>
        <v>26</v>
      </c>
      <c r="F40">
        <f t="shared" si="0"/>
        <v>2</v>
      </c>
      <c r="G40" s="7">
        <f t="shared" si="1"/>
        <v>0.83870967741935487</v>
      </c>
      <c r="H40" s="7">
        <f>COUNTIFS(Appointments[Specialty],B40,Appointments[Appointment_Date],"&gt;="&amp;A40,Appointments[Appointment_Date],"&lt;"&amp;EDATE(A40,1), Appointments[Status],"DNA")/C40</f>
        <v>0.15151515151515152</v>
      </c>
      <c r="I40" s="7">
        <f>COUNTIFS(Appointments[Specialty],B40,Appointments[Appointment_Date], "&gt;="&amp;A40,Appointments[Appointment_Date],"&lt;"&amp;EDATE(A40,1), Appointments[Status],"Cancelled")/C40</f>
        <v>6.0606060606060608E-2</v>
      </c>
      <c r="J40" s="11">
        <f>AVERAGEIFS(Appointments[Waiting_Days],Appointments[Specialty],B40, Appointments[Appointment_Date],"&gt;="&amp;A40, Appointments[Appointment_Date],"&lt;"&amp;EDATE(A40,1))</f>
        <v>33.393939393939391</v>
      </c>
      <c r="K40">
        <f t="shared" si="2"/>
        <v>26</v>
      </c>
    </row>
    <row r="41" spans="1:11" x14ac:dyDescent="0.3">
      <c r="A41" s="6">
        <v>45962</v>
      </c>
      <c r="B41" s="4" t="s">
        <v>37</v>
      </c>
      <c r="C41">
        <f>COUNTIFS(Appointments[Specialty],B41, Appointments[Appointment_Date], "&gt;="&amp;A41, Appointments[Appointment_Date],"&lt;"&amp;EDATE(A41,1))</f>
        <v>73</v>
      </c>
      <c r="D41" cm="1">
        <f t="array" ref="D41">_xlfn.XLOOKUP(1,(Capacity[Month]=A41)*(Capacity[Specialty]=B41),Capacity[Available_Slots])</f>
        <v>54</v>
      </c>
      <c r="E41">
        <f>COUNTIFS(Appointments[Specialty],B41,Appointments[Appointment_Date],"&gt;="&amp;A41, Appointments[Appointment_Date],"&lt;"&amp;EDATE(A41,1),Appointments[Status],"Attended")</f>
        <v>56</v>
      </c>
      <c r="F41">
        <f t="shared" si="0"/>
        <v>19</v>
      </c>
      <c r="G41" s="7">
        <f t="shared" si="1"/>
        <v>1.037037037037037</v>
      </c>
      <c r="H41" s="7">
        <f>COUNTIFS(Appointments[Specialty],B41,Appointments[Appointment_Date],"&gt;="&amp;A41,Appointments[Appointment_Date],"&lt;"&amp;EDATE(A41,1), Appointments[Status],"DNA")/C41</f>
        <v>0.1095890410958904</v>
      </c>
      <c r="I41" s="7">
        <f>COUNTIFS(Appointments[Specialty],B41,Appointments[Appointment_Date], "&gt;="&amp;A41,Appointments[Appointment_Date],"&lt;"&amp;EDATE(A41,1), Appointments[Status],"Cancelled")/C41</f>
        <v>0.12328767123287671</v>
      </c>
      <c r="J41" s="11">
        <f>AVERAGEIFS(Appointments[Waiting_Days],Appointments[Specialty],B41, Appointments[Appointment_Date],"&gt;="&amp;A41, Appointments[Appointment_Date],"&lt;"&amp;EDATE(A41,1))</f>
        <v>38.561643835616437</v>
      </c>
      <c r="K41">
        <f t="shared" si="2"/>
        <v>111</v>
      </c>
    </row>
    <row r="42" spans="1:11" x14ac:dyDescent="0.3">
      <c r="A42" s="5">
        <v>45992</v>
      </c>
      <c r="B42" s="3" t="s">
        <v>23</v>
      </c>
      <c r="C42">
        <f>COUNTIFS(Appointments[Specialty],B42, Appointments[Appointment_Date], "&gt;="&amp;A42, Appointments[Appointment_Date],"&lt;"&amp;EDATE(A42,1))</f>
        <v>58</v>
      </c>
      <c r="D42" cm="1">
        <f t="array" ref="D42">_xlfn.XLOOKUP(1,(Capacity[Month]=A42)*(Capacity[Specialty]=B42),Capacity[Available_Slots])</f>
        <v>50</v>
      </c>
      <c r="E42">
        <f>COUNTIFS(Appointments[Specialty],B42,Appointments[Appointment_Date],"&gt;="&amp;A42, Appointments[Appointment_Date],"&lt;"&amp;EDATE(A42,1),Appointments[Status],"Attended")</f>
        <v>45</v>
      </c>
      <c r="F42">
        <f t="shared" si="0"/>
        <v>8</v>
      </c>
      <c r="G42" s="7">
        <f t="shared" si="1"/>
        <v>0.9</v>
      </c>
      <c r="H42" s="7">
        <f>COUNTIFS(Appointments[Specialty],B42,Appointments[Appointment_Date],"&gt;="&amp;A42,Appointments[Appointment_Date],"&lt;"&amp;EDATE(A42,1), Appointments[Status],"DNA")/C42</f>
        <v>0.10344827586206896</v>
      </c>
      <c r="I42" s="7">
        <f>COUNTIFS(Appointments[Specialty],B42,Appointments[Appointment_Date], "&gt;="&amp;A42,Appointments[Appointment_Date],"&lt;"&amp;EDATE(A42,1), Appointments[Status],"Cancelled")/C42</f>
        <v>0.1206896551724138</v>
      </c>
      <c r="J42" s="11">
        <f>AVERAGEIFS(Appointments[Waiting_Days],Appointments[Specialty],B42, Appointments[Appointment_Date],"&gt;="&amp;A42, Appointments[Appointment_Date],"&lt;"&amp;EDATE(A42,1))</f>
        <v>38.172413793103445</v>
      </c>
      <c r="K42">
        <f t="shared" si="2"/>
        <v>60</v>
      </c>
    </row>
    <row r="43" spans="1:11" x14ac:dyDescent="0.3">
      <c r="A43" s="6">
        <v>45992</v>
      </c>
      <c r="B43" s="4" t="s">
        <v>13</v>
      </c>
      <c r="C43">
        <f>COUNTIFS(Appointments[Specialty],B43, Appointments[Appointment_Date], "&gt;="&amp;A43, Appointments[Appointment_Date],"&lt;"&amp;EDATE(A43,1))</f>
        <v>46</v>
      </c>
      <c r="D43" cm="1">
        <f t="array" ref="D43">_xlfn.XLOOKUP(1,(Capacity[Month]=A43)*(Capacity[Specialty]=B43),Capacity[Available_Slots])</f>
        <v>45</v>
      </c>
      <c r="E43">
        <f>COUNTIFS(Appointments[Specialty],B43,Appointments[Appointment_Date],"&gt;="&amp;A43, Appointments[Appointment_Date],"&lt;"&amp;EDATE(A43,1),Appointments[Status],"Attended")</f>
        <v>35</v>
      </c>
      <c r="F43">
        <f t="shared" si="0"/>
        <v>1</v>
      </c>
      <c r="G43" s="7">
        <f t="shared" si="1"/>
        <v>0.77777777777777779</v>
      </c>
      <c r="H43" s="7">
        <f>COUNTIFS(Appointments[Specialty],B43,Appointments[Appointment_Date],"&gt;="&amp;A43,Appointments[Appointment_Date],"&lt;"&amp;EDATE(A43,1), Appointments[Status],"DNA")/C43</f>
        <v>0.19565217391304349</v>
      </c>
      <c r="I43" s="7">
        <f>COUNTIFS(Appointments[Specialty],B43,Appointments[Appointment_Date], "&gt;="&amp;A43,Appointments[Appointment_Date],"&lt;"&amp;EDATE(A43,1), Appointments[Status],"Cancelled")/C43</f>
        <v>4.3478260869565216E-2</v>
      </c>
      <c r="J43" s="11">
        <f>AVERAGEIFS(Appointments[Waiting_Days],Appointments[Specialty],B43, Appointments[Appointment_Date],"&gt;="&amp;A43, Appointments[Appointment_Date],"&lt;"&amp;EDATE(A43,1))</f>
        <v>34.695652173913047</v>
      </c>
      <c r="K43">
        <f t="shared" si="2"/>
        <v>4</v>
      </c>
    </row>
    <row r="44" spans="1:11" x14ac:dyDescent="0.3">
      <c r="A44" s="5">
        <v>45992</v>
      </c>
      <c r="B44" s="3" t="s">
        <v>28</v>
      </c>
      <c r="C44">
        <f>COUNTIFS(Appointments[Specialty],B44, Appointments[Appointment_Date], "&gt;="&amp;A44, Appointments[Appointment_Date],"&lt;"&amp;EDATE(A44,1))</f>
        <v>65</v>
      </c>
      <c r="D44" cm="1">
        <f t="array" ref="D44">_xlfn.XLOOKUP(1,(Capacity[Month]=A44)*(Capacity[Specialty]=B44),Capacity[Available_Slots])</f>
        <v>52</v>
      </c>
      <c r="E44">
        <f>COUNTIFS(Appointments[Specialty],B44,Appointments[Appointment_Date],"&gt;="&amp;A44, Appointments[Appointment_Date],"&lt;"&amp;EDATE(A44,1),Appointments[Status],"Attended")</f>
        <v>54</v>
      </c>
      <c r="F44">
        <f t="shared" si="0"/>
        <v>13</v>
      </c>
      <c r="G44" s="7">
        <f t="shared" si="1"/>
        <v>1.0384615384615385</v>
      </c>
      <c r="H44" s="7">
        <f>COUNTIFS(Appointments[Specialty],B44,Appointments[Appointment_Date],"&gt;="&amp;A44,Appointments[Appointment_Date],"&lt;"&amp;EDATE(A44,1), Appointments[Status],"DNA")/C44</f>
        <v>4.6153846153846156E-2</v>
      </c>
      <c r="I44" s="7">
        <f>COUNTIFS(Appointments[Specialty],B44,Appointments[Appointment_Date], "&gt;="&amp;A44,Appointments[Appointment_Date],"&lt;"&amp;EDATE(A44,1), Appointments[Status],"Cancelled")/C44</f>
        <v>0.12307692307692308</v>
      </c>
      <c r="J44" s="11">
        <f>AVERAGEIFS(Appointments[Waiting_Days],Appointments[Specialty],B44, Appointments[Appointment_Date],"&gt;="&amp;A44, Appointments[Appointment_Date],"&lt;"&amp;EDATE(A44,1))</f>
        <v>32.246153846153845</v>
      </c>
      <c r="K44">
        <f t="shared" si="2"/>
        <v>100</v>
      </c>
    </row>
    <row r="45" spans="1:11" x14ac:dyDescent="0.3">
      <c r="A45" s="6">
        <v>45992</v>
      </c>
      <c r="B45" s="4" t="s">
        <v>32</v>
      </c>
      <c r="C45">
        <f>COUNTIFS(Appointments[Specialty],B45, Appointments[Appointment_Date], "&gt;="&amp;A45, Appointments[Appointment_Date],"&lt;"&amp;EDATE(A45,1))</f>
        <v>47</v>
      </c>
      <c r="D45" cm="1">
        <f t="array" ref="D45">_xlfn.XLOOKUP(1,(Capacity[Month]=A45)*(Capacity[Specialty]=B45),Capacity[Available_Slots])</f>
        <v>38</v>
      </c>
      <c r="E45">
        <f>COUNTIFS(Appointments[Specialty],B45,Appointments[Appointment_Date],"&gt;="&amp;A45, Appointments[Appointment_Date],"&lt;"&amp;EDATE(A45,1),Appointments[Status],"Attended")</f>
        <v>37</v>
      </c>
      <c r="F45">
        <f t="shared" si="0"/>
        <v>9</v>
      </c>
      <c r="G45" s="7">
        <f t="shared" si="1"/>
        <v>0.97368421052631582</v>
      </c>
      <c r="H45" s="7">
        <f>COUNTIFS(Appointments[Specialty],B45,Appointments[Appointment_Date],"&gt;="&amp;A45,Appointments[Appointment_Date],"&lt;"&amp;EDATE(A45,1), Appointments[Status],"DNA")/C45</f>
        <v>0.10638297872340426</v>
      </c>
      <c r="I45" s="7">
        <f>COUNTIFS(Appointments[Specialty],B45,Appointments[Appointment_Date], "&gt;="&amp;A45,Appointments[Appointment_Date],"&lt;"&amp;EDATE(A45,1), Appointments[Status],"Cancelled")/C45</f>
        <v>0.10638297872340426</v>
      </c>
      <c r="J45" s="11">
        <f>AVERAGEIFS(Appointments[Waiting_Days],Appointments[Specialty],B45, Appointments[Appointment_Date],"&gt;="&amp;A45, Appointments[Appointment_Date],"&lt;"&amp;EDATE(A45,1))</f>
        <v>36.170212765957444</v>
      </c>
      <c r="K45">
        <f t="shared" si="2"/>
        <v>35</v>
      </c>
    </row>
    <row r="46" spans="1:11" x14ac:dyDescent="0.3">
      <c r="A46" s="5">
        <v>45992</v>
      </c>
      <c r="B46" s="3" t="s">
        <v>37</v>
      </c>
      <c r="C46">
        <f>COUNTIFS(Appointments[Specialty],B46, Appointments[Appointment_Date], "&gt;="&amp;A46, Appointments[Appointment_Date],"&lt;"&amp;EDATE(A46,1))</f>
        <v>51</v>
      </c>
      <c r="D46" cm="1">
        <f t="array" ref="D46">_xlfn.XLOOKUP(1,(Capacity[Month]=A46)*(Capacity[Specialty]=B46),Capacity[Available_Slots])</f>
        <v>37</v>
      </c>
      <c r="E46">
        <f>COUNTIFS(Appointments[Specialty],B46,Appointments[Appointment_Date],"&gt;="&amp;A46, Appointments[Appointment_Date],"&lt;"&amp;EDATE(A46,1),Appointments[Status],"Attended")</f>
        <v>40</v>
      </c>
      <c r="F46">
        <f t="shared" si="0"/>
        <v>14</v>
      </c>
      <c r="G46" s="7">
        <f t="shared" si="1"/>
        <v>1.0810810810810811</v>
      </c>
      <c r="H46" s="7">
        <f>COUNTIFS(Appointments[Specialty],B46,Appointments[Appointment_Date],"&gt;="&amp;A46,Appointments[Appointment_Date],"&lt;"&amp;EDATE(A46,1), Appointments[Status],"DNA")/C46</f>
        <v>3.9215686274509803E-2</v>
      </c>
      <c r="I46" s="7">
        <f>COUNTIFS(Appointments[Specialty],B46,Appointments[Appointment_Date], "&gt;="&amp;A46,Appointments[Appointment_Date],"&lt;"&amp;EDATE(A46,1), Appointments[Status],"Cancelled")/C46</f>
        <v>0.17647058823529413</v>
      </c>
      <c r="J46" s="11">
        <f>AVERAGEIFS(Appointments[Waiting_Days],Appointments[Specialty],B46, Appointments[Appointment_Date],"&gt;="&amp;A46, Appointments[Appointment_Date],"&lt;"&amp;EDATE(A46,1))</f>
        <v>32.235294117647058</v>
      </c>
      <c r="K46">
        <f t="shared" si="2"/>
        <v>125</v>
      </c>
    </row>
    <row r="47" spans="1:11" x14ac:dyDescent="0.3">
      <c r="A47" s="6">
        <v>46023</v>
      </c>
      <c r="B47" s="4" t="s">
        <v>23</v>
      </c>
      <c r="C47">
        <f>COUNTIFS(Appointments[Specialty],B47, Appointments[Appointment_Date], "&gt;="&amp;A47, Appointments[Appointment_Date],"&lt;"&amp;EDATE(A47,1))</f>
        <v>52</v>
      </c>
      <c r="D47" cm="1">
        <f t="array" ref="D47">_xlfn.XLOOKUP(1,(Capacity[Month]=A47)*(Capacity[Specialty]=B47),Capacity[Available_Slots])</f>
        <v>50</v>
      </c>
      <c r="E47">
        <f>COUNTIFS(Appointments[Specialty],B47,Appointments[Appointment_Date],"&gt;="&amp;A47, Appointments[Appointment_Date],"&lt;"&amp;EDATE(A47,1),Appointments[Status],"Attended")</f>
        <v>44</v>
      </c>
      <c r="F47">
        <f t="shared" si="0"/>
        <v>2</v>
      </c>
      <c r="G47" s="7">
        <f t="shared" si="1"/>
        <v>0.88</v>
      </c>
      <c r="H47" s="7">
        <f>COUNTIFS(Appointments[Specialty],B47,Appointments[Appointment_Date],"&gt;="&amp;A47,Appointments[Appointment_Date],"&lt;"&amp;EDATE(A47,1), Appointments[Status],"DNA")/C47</f>
        <v>0</v>
      </c>
      <c r="I47" s="7">
        <f>COUNTIFS(Appointments[Specialty],B47,Appointments[Appointment_Date], "&gt;="&amp;A47,Appointments[Appointment_Date],"&lt;"&amp;EDATE(A47,1), Appointments[Status],"Cancelled")/C47</f>
        <v>0.15384615384615385</v>
      </c>
      <c r="J47" s="11">
        <f>AVERAGEIFS(Appointments[Waiting_Days],Appointments[Specialty],B47, Appointments[Appointment_Date],"&gt;="&amp;A47, Appointments[Appointment_Date],"&lt;"&amp;EDATE(A47,1))</f>
        <v>30.923076923076923</v>
      </c>
      <c r="K47">
        <f t="shared" si="2"/>
        <v>62</v>
      </c>
    </row>
    <row r="48" spans="1:11" x14ac:dyDescent="0.3">
      <c r="A48" s="5">
        <v>46023</v>
      </c>
      <c r="B48" s="3" t="s">
        <v>13</v>
      </c>
      <c r="C48">
        <f>COUNTIFS(Appointments[Specialty],B48, Appointments[Appointment_Date], "&gt;="&amp;A48, Appointments[Appointment_Date],"&lt;"&amp;EDATE(A48,1))</f>
        <v>54</v>
      </c>
      <c r="D48" cm="1">
        <f t="array" ref="D48">_xlfn.XLOOKUP(1,(Capacity[Month]=A48)*(Capacity[Specialty]=B48),Capacity[Available_Slots])</f>
        <v>54</v>
      </c>
      <c r="E48">
        <f>COUNTIFS(Appointments[Specialty],B48,Appointments[Appointment_Date],"&gt;="&amp;A48, Appointments[Appointment_Date],"&lt;"&amp;EDATE(A48,1),Appointments[Status],"Attended")</f>
        <v>42</v>
      </c>
      <c r="F48">
        <f t="shared" si="0"/>
        <v>0</v>
      </c>
      <c r="G48" s="7">
        <f t="shared" si="1"/>
        <v>0.77777777777777779</v>
      </c>
      <c r="H48" s="7">
        <f>COUNTIFS(Appointments[Specialty],B48,Appointments[Appointment_Date],"&gt;="&amp;A48,Appointments[Appointment_Date],"&lt;"&amp;EDATE(A48,1), Appointments[Status],"DNA")/C48</f>
        <v>9.2592592592592587E-2</v>
      </c>
      <c r="I48" s="7">
        <f>COUNTIFS(Appointments[Specialty],B48,Appointments[Appointment_Date], "&gt;="&amp;A48,Appointments[Appointment_Date],"&lt;"&amp;EDATE(A48,1), Appointments[Status],"Cancelled")/C48</f>
        <v>0.12962962962962962</v>
      </c>
      <c r="J48" s="11">
        <f>AVERAGEIFS(Appointments[Waiting_Days],Appointments[Specialty],B48, Appointments[Appointment_Date],"&gt;="&amp;A48, Appointments[Appointment_Date],"&lt;"&amp;EDATE(A48,1))</f>
        <v>37.555555555555557</v>
      </c>
      <c r="K48">
        <f t="shared" si="2"/>
        <v>4</v>
      </c>
    </row>
    <row r="49" spans="1:11" x14ac:dyDescent="0.3">
      <c r="A49" s="6">
        <v>46023</v>
      </c>
      <c r="B49" s="4" t="s">
        <v>28</v>
      </c>
      <c r="C49">
        <f>COUNTIFS(Appointments[Specialty],B49, Appointments[Appointment_Date], "&gt;="&amp;A49, Appointments[Appointment_Date],"&lt;"&amp;EDATE(A49,1))</f>
        <v>45</v>
      </c>
      <c r="D49" cm="1">
        <f t="array" ref="D49">_xlfn.XLOOKUP(1,(Capacity[Month]=A49)*(Capacity[Specialty]=B49),Capacity[Available_Slots])</f>
        <v>34</v>
      </c>
      <c r="E49">
        <f>COUNTIFS(Appointments[Specialty],B49,Appointments[Appointment_Date],"&gt;="&amp;A49, Appointments[Appointment_Date],"&lt;"&amp;EDATE(A49,1),Appointments[Status],"Attended")</f>
        <v>34</v>
      </c>
      <c r="F49">
        <f t="shared" si="0"/>
        <v>11</v>
      </c>
      <c r="G49" s="7">
        <f t="shared" si="1"/>
        <v>1</v>
      </c>
      <c r="H49" s="7">
        <f>COUNTIFS(Appointments[Specialty],B49,Appointments[Appointment_Date],"&gt;="&amp;A49,Appointments[Appointment_Date],"&lt;"&amp;EDATE(A49,1), Appointments[Status],"DNA")/C49</f>
        <v>0.1111111111111111</v>
      </c>
      <c r="I49" s="7">
        <f>COUNTIFS(Appointments[Specialty],B49,Appointments[Appointment_Date], "&gt;="&amp;A49,Appointments[Appointment_Date],"&lt;"&amp;EDATE(A49,1), Appointments[Status],"Cancelled")/C49</f>
        <v>0.13333333333333333</v>
      </c>
      <c r="J49" s="11">
        <f>AVERAGEIFS(Appointments[Waiting_Days],Appointments[Specialty],B49, Appointments[Appointment_Date],"&gt;="&amp;A49, Appointments[Appointment_Date],"&lt;"&amp;EDATE(A49,1))</f>
        <v>34.06666666666667</v>
      </c>
      <c r="K49">
        <f t="shared" si="2"/>
        <v>111</v>
      </c>
    </row>
    <row r="50" spans="1:11" x14ac:dyDescent="0.3">
      <c r="A50" s="5">
        <v>46023</v>
      </c>
      <c r="B50" s="3" t="s">
        <v>32</v>
      </c>
      <c r="C50">
        <f>COUNTIFS(Appointments[Specialty],B50, Appointments[Appointment_Date], "&gt;="&amp;A50, Appointments[Appointment_Date],"&lt;"&amp;EDATE(A50,1))</f>
        <v>46</v>
      </c>
      <c r="D50" cm="1">
        <f t="array" ref="D50">_xlfn.XLOOKUP(1,(Capacity[Month]=A50)*(Capacity[Specialty]=B50),Capacity[Available_Slots])</f>
        <v>46</v>
      </c>
      <c r="E50">
        <f>COUNTIFS(Appointments[Specialty],B50,Appointments[Appointment_Date],"&gt;="&amp;A50, Appointments[Appointment_Date],"&lt;"&amp;EDATE(A50,1),Appointments[Status],"Attended")</f>
        <v>36</v>
      </c>
      <c r="F50">
        <f t="shared" si="0"/>
        <v>0</v>
      </c>
      <c r="G50" s="7">
        <f t="shared" si="1"/>
        <v>0.78260869565217395</v>
      </c>
      <c r="H50" s="7">
        <f>COUNTIFS(Appointments[Specialty],B50,Appointments[Appointment_Date],"&gt;="&amp;A50,Appointments[Appointment_Date],"&lt;"&amp;EDATE(A50,1), Appointments[Status],"DNA")/C50</f>
        <v>8.6956521739130432E-2</v>
      </c>
      <c r="I50" s="7">
        <f>COUNTIFS(Appointments[Specialty],B50,Appointments[Appointment_Date], "&gt;="&amp;A50,Appointments[Appointment_Date],"&lt;"&amp;EDATE(A50,1), Appointments[Status],"Cancelled")/C50</f>
        <v>0.13043478260869565</v>
      </c>
      <c r="J50" s="11">
        <f>AVERAGEIFS(Appointments[Waiting_Days],Appointments[Specialty],B50, Appointments[Appointment_Date],"&gt;="&amp;A50, Appointments[Appointment_Date],"&lt;"&amp;EDATE(A50,1))</f>
        <v>31.195652173913043</v>
      </c>
      <c r="K50">
        <f t="shared" si="2"/>
        <v>35</v>
      </c>
    </row>
    <row r="51" spans="1:11" x14ac:dyDescent="0.3">
      <c r="A51" s="6">
        <v>46023</v>
      </c>
      <c r="B51" s="4" t="s">
        <v>37</v>
      </c>
      <c r="C51">
        <f>COUNTIFS(Appointments[Specialty],B51, Appointments[Appointment_Date], "&gt;="&amp;A51, Appointments[Appointment_Date],"&lt;"&amp;EDATE(A51,1))</f>
        <v>64</v>
      </c>
      <c r="D51" cm="1">
        <f t="array" ref="D51">_xlfn.XLOOKUP(1,(Capacity[Month]=A51)*(Capacity[Specialty]=B51),Capacity[Available_Slots])</f>
        <v>47</v>
      </c>
      <c r="E51">
        <f>COUNTIFS(Appointments[Specialty],B51,Appointments[Appointment_Date],"&gt;="&amp;A51, Appointments[Appointment_Date],"&lt;"&amp;EDATE(A51,1),Appointments[Status],"Attended")</f>
        <v>46</v>
      </c>
      <c r="F51">
        <f t="shared" si="0"/>
        <v>17</v>
      </c>
      <c r="G51" s="7">
        <f t="shared" si="1"/>
        <v>0.97872340425531912</v>
      </c>
      <c r="H51" s="7">
        <f>COUNTIFS(Appointments[Specialty],B51,Appointments[Appointment_Date],"&gt;="&amp;A51,Appointments[Appointment_Date],"&lt;"&amp;EDATE(A51,1), Appointments[Status],"DNA")/C51</f>
        <v>0.1875</v>
      </c>
      <c r="I51" s="7">
        <f>COUNTIFS(Appointments[Specialty],B51,Appointments[Appointment_Date], "&gt;="&amp;A51,Appointments[Appointment_Date],"&lt;"&amp;EDATE(A51,1), Appointments[Status],"Cancelled")/C51</f>
        <v>9.375E-2</v>
      </c>
      <c r="J51" s="11">
        <f>AVERAGEIFS(Appointments[Waiting_Days],Appointments[Specialty],B51, Appointments[Appointment_Date],"&gt;="&amp;A51, Appointments[Appointment_Date],"&lt;"&amp;EDATE(A51,1))</f>
        <v>33.625</v>
      </c>
      <c r="K51">
        <f t="shared" si="2"/>
        <v>142</v>
      </c>
    </row>
    <row r="52" spans="1:11" x14ac:dyDescent="0.3">
      <c r="A52" s="5">
        <v>46054</v>
      </c>
      <c r="B52" s="3" t="s">
        <v>23</v>
      </c>
      <c r="C52">
        <f>COUNTIFS(Appointments[Specialty],B52, Appointments[Appointment_Date], "&gt;="&amp;A52, Appointments[Appointment_Date],"&lt;"&amp;EDATE(A52,1))</f>
        <v>50</v>
      </c>
      <c r="D52" cm="1">
        <f t="array" ref="D52">_xlfn.XLOOKUP(1,(Capacity[Month]=A52)*(Capacity[Specialty]=B52),Capacity[Available_Slots])</f>
        <v>41</v>
      </c>
      <c r="E52">
        <f>COUNTIFS(Appointments[Specialty],B52,Appointments[Appointment_Date],"&gt;="&amp;A52, Appointments[Appointment_Date],"&lt;"&amp;EDATE(A52,1),Appointments[Status],"Attended")</f>
        <v>40</v>
      </c>
      <c r="F52">
        <f t="shared" si="0"/>
        <v>9</v>
      </c>
      <c r="G52" s="7">
        <f t="shared" si="1"/>
        <v>0.97560975609756095</v>
      </c>
      <c r="H52" s="7">
        <f>COUNTIFS(Appointments[Specialty],B52,Appointments[Appointment_Date],"&gt;="&amp;A52,Appointments[Appointment_Date],"&lt;"&amp;EDATE(A52,1), Appointments[Status],"DNA")/C52</f>
        <v>0.04</v>
      </c>
      <c r="I52" s="7">
        <f>COUNTIFS(Appointments[Specialty],B52,Appointments[Appointment_Date], "&gt;="&amp;A52,Appointments[Appointment_Date],"&lt;"&amp;EDATE(A52,1), Appointments[Status],"Cancelled")/C52</f>
        <v>0.16</v>
      </c>
      <c r="J52" s="11">
        <f>AVERAGEIFS(Appointments[Waiting_Days],Appointments[Specialty],B52, Appointments[Appointment_Date],"&gt;="&amp;A52, Appointments[Appointment_Date],"&lt;"&amp;EDATE(A52,1))</f>
        <v>33.86</v>
      </c>
      <c r="K52">
        <f t="shared" si="2"/>
        <v>71</v>
      </c>
    </row>
    <row r="53" spans="1:11" x14ac:dyDescent="0.3">
      <c r="A53" s="6">
        <v>46054</v>
      </c>
      <c r="B53" s="4" t="s">
        <v>13</v>
      </c>
      <c r="C53">
        <f>COUNTIFS(Appointments[Specialty],B53, Appointments[Appointment_Date], "&gt;="&amp;A53, Appointments[Appointment_Date],"&lt;"&amp;EDATE(A53,1))</f>
        <v>53</v>
      </c>
      <c r="D53" cm="1">
        <f t="array" ref="D53">_xlfn.XLOOKUP(1,(Capacity[Month]=A53)*(Capacity[Specialty]=B53),Capacity[Available_Slots])</f>
        <v>47</v>
      </c>
      <c r="E53">
        <f>COUNTIFS(Appointments[Specialty],B53,Appointments[Appointment_Date],"&gt;="&amp;A53, Appointments[Appointment_Date],"&lt;"&amp;EDATE(A53,1),Appointments[Status],"Attended")</f>
        <v>39</v>
      </c>
      <c r="F53">
        <f t="shared" si="0"/>
        <v>6</v>
      </c>
      <c r="G53" s="7">
        <f t="shared" si="1"/>
        <v>0.82978723404255317</v>
      </c>
      <c r="H53" s="7">
        <f>COUNTIFS(Appointments[Specialty],B53,Appointments[Appointment_Date],"&gt;="&amp;A53,Appointments[Appointment_Date],"&lt;"&amp;EDATE(A53,1), Appointments[Status],"DNA")/C53</f>
        <v>0.11320754716981132</v>
      </c>
      <c r="I53" s="7">
        <f>COUNTIFS(Appointments[Specialty],B53,Appointments[Appointment_Date], "&gt;="&amp;A53,Appointments[Appointment_Date],"&lt;"&amp;EDATE(A53,1), Appointments[Status],"Cancelled")/C53</f>
        <v>0.15094339622641509</v>
      </c>
      <c r="J53" s="11">
        <f>AVERAGEIFS(Appointments[Waiting_Days],Appointments[Specialty],B53, Appointments[Appointment_Date],"&gt;="&amp;A53, Appointments[Appointment_Date],"&lt;"&amp;EDATE(A53,1))</f>
        <v>34.452830188679243</v>
      </c>
      <c r="K53">
        <f t="shared" si="2"/>
        <v>10</v>
      </c>
    </row>
    <row r="54" spans="1:11" x14ac:dyDescent="0.3">
      <c r="A54" s="5">
        <v>46054</v>
      </c>
      <c r="B54" s="3" t="s">
        <v>28</v>
      </c>
      <c r="C54">
        <f>COUNTIFS(Appointments[Specialty],B54, Appointments[Appointment_Date], "&gt;="&amp;A54, Appointments[Appointment_Date],"&lt;"&amp;EDATE(A54,1))</f>
        <v>45</v>
      </c>
      <c r="D54" cm="1">
        <f t="array" ref="D54">_xlfn.XLOOKUP(1,(Capacity[Month]=A54)*(Capacity[Specialty]=B54),Capacity[Available_Slots])</f>
        <v>39</v>
      </c>
      <c r="E54">
        <f>COUNTIFS(Appointments[Specialty],B54,Appointments[Appointment_Date],"&gt;="&amp;A54, Appointments[Appointment_Date],"&lt;"&amp;EDATE(A54,1),Appointments[Status],"Attended")</f>
        <v>35</v>
      </c>
      <c r="F54">
        <f t="shared" si="0"/>
        <v>6</v>
      </c>
      <c r="G54" s="7">
        <f t="shared" si="1"/>
        <v>0.89743589743589747</v>
      </c>
      <c r="H54" s="7">
        <f>COUNTIFS(Appointments[Specialty],B54,Appointments[Appointment_Date],"&gt;="&amp;A54,Appointments[Appointment_Date],"&lt;"&amp;EDATE(A54,1), Appointments[Status],"DNA")/C54</f>
        <v>0.1111111111111111</v>
      </c>
      <c r="I54" s="7">
        <f>COUNTIFS(Appointments[Specialty],B54,Appointments[Appointment_Date], "&gt;="&amp;A54,Appointments[Appointment_Date],"&lt;"&amp;EDATE(A54,1), Appointments[Status],"Cancelled")/C54</f>
        <v>0.1111111111111111</v>
      </c>
      <c r="J54" s="11">
        <f>AVERAGEIFS(Appointments[Waiting_Days],Appointments[Specialty],B54, Appointments[Appointment_Date],"&gt;="&amp;A54, Appointments[Appointment_Date],"&lt;"&amp;EDATE(A54,1))</f>
        <v>33.422222222222224</v>
      </c>
      <c r="K54">
        <f t="shared" si="2"/>
        <v>117</v>
      </c>
    </row>
    <row r="55" spans="1:11" x14ac:dyDescent="0.3">
      <c r="A55" s="6">
        <v>46054</v>
      </c>
      <c r="B55" s="4" t="s">
        <v>32</v>
      </c>
      <c r="C55">
        <f>COUNTIFS(Appointments[Specialty],B55, Appointments[Appointment_Date], "&gt;="&amp;A55, Appointments[Appointment_Date],"&lt;"&amp;EDATE(A55,1))</f>
        <v>30</v>
      </c>
      <c r="D55" cm="1">
        <f t="array" ref="D55">_xlfn.XLOOKUP(1,(Capacity[Month]=A55)*(Capacity[Specialty]=B55),Capacity[Available_Slots])</f>
        <v>28</v>
      </c>
      <c r="E55">
        <f>COUNTIFS(Appointments[Specialty],B55,Appointments[Appointment_Date],"&gt;="&amp;A55, Appointments[Appointment_Date],"&lt;"&amp;EDATE(A55,1),Appointments[Status],"Attended")</f>
        <v>25</v>
      </c>
      <c r="F55">
        <f t="shared" si="0"/>
        <v>2</v>
      </c>
      <c r="G55" s="7">
        <f t="shared" si="1"/>
        <v>0.8928571428571429</v>
      </c>
      <c r="H55" s="7">
        <f>COUNTIFS(Appointments[Specialty],B55,Appointments[Appointment_Date],"&gt;="&amp;A55,Appointments[Appointment_Date],"&lt;"&amp;EDATE(A55,1), Appointments[Status],"DNA")/C55</f>
        <v>3.3333333333333333E-2</v>
      </c>
      <c r="I55" s="7">
        <f>COUNTIFS(Appointments[Specialty],B55,Appointments[Appointment_Date], "&gt;="&amp;A55,Appointments[Appointment_Date],"&lt;"&amp;EDATE(A55,1), Appointments[Status],"Cancelled")/C55</f>
        <v>0.13333333333333333</v>
      </c>
      <c r="J55" s="11">
        <f>AVERAGEIFS(Appointments[Waiting_Days],Appointments[Specialty],B55, Appointments[Appointment_Date],"&gt;="&amp;A55, Appointments[Appointment_Date],"&lt;"&amp;EDATE(A55,1))</f>
        <v>33.9</v>
      </c>
      <c r="K55">
        <f t="shared" si="2"/>
        <v>37</v>
      </c>
    </row>
    <row r="56" spans="1:11" x14ac:dyDescent="0.3">
      <c r="A56" s="5">
        <v>46054</v>
      </c>
      <c r="B56" s="3" t="s">
        <v>37</v>
      </c>
      <c r="C56">
        <f>COUNTIFS(Appointments[Specialty],B56, Appointments[Appointment_Date], "&gt;="&amp;A56, Appointments[Appointment_Date],"&lt;"&amp;EDATE(A56,1))</f>
        <v>55</v>
      </c>
      <c r="D56" cm="1">
        <f t="array" ref="D56">_xlfn.XLOOKUP(1,(Capacity[Month]=A56)*(Capacity[Specialty]=B56),Capacity[Available_Slots])</f>
        <v>43</v>
      </c>
      <c r="E56">
        <f>COUNTIFS(Appointments[Specialty],B56,Appointments[Appointment_Date],"&gt;="&amp;A56, Appointments[Appointment_Date],"&lt;"&amp;EDATE(A56,1),Appointments[Status],"Attended")</f>
        <v>47</v>
      </c>
      <c r="F56">
        <f t="shared" si="0"/>
        <v>12</v>
      </c>
      <c r="G56" s="7">
        <f t="shared" si="1"/>
        <v>1.0930232558139534</v>
      </c>
      <c r="H56" s="7">
        <f>COUNTIFS(Appointments[Specialty],B56,Appointments[Appointment_Date],"&gt;="&amp;A56,Appointments[Appointment_Date],"&lt;"&amp;EDATE(A56,1), Appointments[Status],"DNA")/C56</f>
        <v>7.2727272727272724E-2</v>
      </c>
      <c r="I56" s="7">
        <f>COUNTIFS(Appointments[Specialty],B56,Appointments[Appointment_Date], "&gt;="&amp;A56,Appointments[Appointment_Date],"&lt;"&amp;EDATE(A56,1), Appointments[Status],"Cancelled")/C56</f>
        <v>7.2727272727272724E-2</v>
      </c>
      <c r="J56" s="11">
        <f>AVERAGEIFS(Appointments[Waiting_Days],Appointments[Specialty],B56, Appointments[Appointment_Date],"&gt;="&amp;A56, Appointments[Appointment_Date],"&lt;"&amp;EDATE(A56,1))</f>
        <v>37.072727272727271</v>
      </c>
      <c r="K56">
        <f t="shared" si="2"/>
        <v>154</v>
      </c>
    </row>
    <row r="57" spans="1:11" x14ac:dyDescent="0.3">
      <c r="A57" s="6">
        <v>46082</v>
      </c>
      <c r="B57" s="4" t="s">
        <v>23</v>
      </c>
      <c r="C57">
        <f>COUNTIFS(Appointments[Specialty],B57, Appointments[Appointment_Date], "&gt;="&amp;A57, Appointments[Appointment_Date],"&lt;"&amp;EDATE(A57,1))</f>
        <v>65</v>
      </c>
      <c r="D57" cm="1">
        <f t="array" ref="D57">_xlfn.XLOOKUP(1,(Capacity[Month]=A57)*(Capacity[Specialty]=B57),Capacity[Available_Slots])</f>
        <v>58</v>
      </c>
      <c r="E57">
        <f>COUNTIFS(Appointments[Specialty],B57,Appointments[Appointment_Date],"&gt;="&amp;A57, Appointments[Appointment_Date],"&lt;"&amp;EDATE(A57,1),Appointments[Status],"Attended")</f>
        <v>47</v>
      </c>
      <c r="F57">
        <f t="shared" si="0"/>
        <v>7</v>
      </c>
      <c r="G57" s="7">
        <f t="shared" si="1"/>
        <v>0.81034482758620685</v>
      </c>
      <c r="H57" s="7">
        <f>COUNTIFS(Appointments[Specialty],B57,Appointments[Appointment_Date],"&gt;="&amp;A57,Appointments[Appointment_Date],"&lt;"&amp;EDATE(A57,1), Appointments[Status],"DNA")/C57</f>
        <v>6.1538461538461542E-2</v>
      </c>
      <c r="I57" s="7">
        <f>COUNTIFS(Appointments[Specialty],B57,Appointments[Appointment_Date], "&gt;="&amp;A57,Appointments[Appointment_Date],"&lt;"&amp;EDATE(A57,1), Appointments[Status],"Cancelled")/C57</f>
        <v>0.2153846153846154</v>
      </c>
      <c r="J57" s="11">
        <f>AVERAGEIFS(Appointments[Waiting_Days],Appointments[Specialty],B57, Appointments[Appointment_Date],"&gt;="&amp;A57, Appointments[Appointment_Date],"&lt;"&amp;EDATE(A57,1))</f>
        <v>36.95384615384615</v>
      </c>
      <c r="K57">
        <f t="shared" si="2"/>
        <v>78</v>
      </c>
    </row>
    <row r="58" spans="1:11" x14ac:dyDescent="0.3">
      <c r="A58" s="5">
        <v>46082</v>
      </c>
      <c r="B58" s="3" t="s">
        <v>13</v>
      </c>
      <c r="C58">
        <f>COUNTIFS(Appointments[Specialty],B58, Appointments[Appointment_Date], "&gt;="&amp;A58, Appointments[Appointment_Date],"&lt;"&amp;EDATE(A58,1))</f>
        <v>49</v>
      </c>
      <c r="D58" cm="1">
        <f t="array" ref="D58">_xlfn.XLOOKUP(1,(Capacity[Month]=A58)*(Capacity[Specialty]=B58),Capacity[Available_Slots])</f>
        <v>48</v>
      </c>
      <c r="E58">
        <f>COUNTIFS(Appointments[Specialty],B58,Appointments[Appointment_Date],"&gt;="&amp;A58, Appointments[Appointment_Date],"&lt;"&amp;EDATE(A58,1),Appointments[Status],"Attended")</f>
        <v>40</v>
      </c>
      <c r="F58">
        <f t="shared" si="0"/>
        <v>1</v>
      </c>
      <c r="G58" s="7">
        <f t="shared" si="1"/>
        <v>0.83333333333333337</v>
      </c>
      <c r="H58" s="7">
        <f>COUNTIFS(Appointments[Specialty],B58,Appointments[Appointment_Date],"&gt;="&amp;A58,Appointments[Appointment_Date],"&lt;"&amp;EDATE(A58,1), Appointments[Status],"DNA")/C58</f>
        <v>8.1632653061224483E-2</v>
      </c>
      <c r="I58" s="7">
        <f>COUNTIFS(Appointments[Specialty],B58,Appointments[Appointment_Date], "&gt;="&amp;A58,Appointments[Appointment_Date],"&lt;"&amp;EDATE(A58,1), Appointments[Status],"Cancelled")/C58</f>
        <v>0.10204081632653061</v>
      </c>
      <c r="J58" s="11">
        <f>AVERAGEIFS(Appointments[Waiting_Days],Appointments[Specialty],B58, Appointments[Appointment_Date],"&gt;="&amp;A58, Appointments[Appointment_Date],"&lt;"&amp;EDATE(A58,1))</f>
        <v>36.224489795918366</v>
      </c>
      <c r="K58">
        <f t="shared" si="2"/>
        <v>11</v>
      </c>
    </row>
    <row r="59" spans="1:11" x14ac:dyDescent="0.3">
      <c r="A59" s="6">
        <v>46082</v>
      </c>
      <c r="B59" s="4" t="s">
        <v>28</v>
      </c>
      <c r="C59">
        <f>COUNTIFS(Appointments[Specialty],B59, Appointments[Appointment_Date], "&gt;="&amp;A59, Appointments[Appointment_Date],"&lt;"&amp;EDATE(A59,1))</f>
        <v>57</v>
      </c>
      <c r="D59" cm="1">
        <f t="array" ref="D59">_xlfn.XLOOKUP(1,(Capacity[Month]=A59)*(Capacity[Specialty]=B59),Capacity[Available_Slots])</f>
        <v>47</v>
      </c>
      <c r="E59">
        <f>COUNTIFS(Appointments[Specialty],B59,Appointments[Appointment_Date],"&gt;="&amp;A59, Appointments[Appointment_Date],"&lt;"&amp;EDATE(A59,1),Appointments[Status],"Attended")</f>
        <v>48</v>
      </c>
      <c r="F59">
        <f t="shared" si="0"/>
        <v>10</v>
      </c>
      <c r="G59" s="7">
        <f t="shared" si="1"/>
        <v>1.0212765957446808</v>
      </c>
      <c r="H59" s="7">
        <f>COUNTIFS(Appointments[Specialty],B59,Appointments[Appointment_Date],"&gt;="&amp;A59,Appointments[Appointment_Date],"&lt;"&amp;EDATE(A59,1), Appointments[Status],"DNA")/C59</f>
        <v>5.2631578947368418E-2</v>
      </c>
      <c r="I59" s="7">
        <f>COUNTIFS(Appointments[Specialty],B59,Appointments[Appointment_Date], "&gt;="&amp;A59,Appointments[Appointment_Date],"&lt;"&amp;EDATE(A59,1), Appointments[Status],"Cancelled")/C59</f>
        <v>0.10526315789473684</v>
      </c>
      <c r="J59" s="11">
        <f>AVERAGEIFS(Appointments[Waiting_Days],Appointments[Specialty],B59, Appointments[Appointment_Date],"&gt;="&amp;A59, Appointments[Appointment_Date],"&lt;"&amp;EDATE(A59,1))</f>
        <v>32.719298245614034</v>
      </c>
      <c r="K59">
        <f t="shared" si="2"/>
        <v>127</v>
      </c>
    </row>
    <row r="60" spans="1:11" x14ac:dyDescent="0.3">
      <c r="A60" s="5">
        <v>46082</v>
      </c>
      <c r="B60" s="3" t="s">
        <v>32</v>
      </c>
      <c r="C60">
        <f>COUNTIFS(Appointments[Specialty],B60, Appointments[Appointment_Date], "&gt;="&amp;A60, Appointments[Appointment_Date],"&lt;"&amp;EDATE(A60,1))</f>
        <v>37</v>
      </c>
      <c r="D60" cm="1">
        <f t="array" ref="D60">_xlfn.XLOOKUP(1,(Capacity[Month]=A60)*(Capacity[Specialty]=B60),Capacity[Available_Slots])</f>
        <v>33</v>
      </c>
      <c r="E60">
        <f>COUNTIFS(Appointments[Specialty],B60,Appointments[Appointment_Date],"&gt;="&amp;A60, Appointments[Appointment_Date],"&lt;"&amp;EDATE(A60,1),Appointments[Status],"Attended")</f>
        <v>27</v>
      </c>
      <c r="F60">
        <f t="shared" si="0"/>
        <v>4</v>
      </c>
      <c r="G60" s="7">
        <f t="shared" si="1"/>
        <v>0.81818181818181823</v>
      </c>
      <c r="H60" s="7">
        <f>COUNTIFS(Appointments[Specialty],B60,Appointments[Appointment_Date],"&gt;="&amp;A60,Appointments[Appointment_Date],"&lt;"&amp;EDATE(A60,1), Appointments[Status],"DNA")/C60</f>
        <v>0.10810810810810811</v>
      </c>
      <c r="I60" s="7">
        <f>COUNTIFS(Appointments[Specialty],B60,Appointments[Appointment_Date], "&gt;="&amp;A60,Appointments[Appointment_Date],"&lt;"&amp;EDATE(A60,1), Appointments[Status],"Cancelled")/C60</f>
        <v>0.16216216216216217</v>
      </c>
      <c r="J60" s="11">
        <f>AVERAGEIFS(Appointments[Waiting_Days],Appointments[Specialty],B60, Appointments[Appointment_Date],"&gt;="&amp;A60, Appointments[Appointment_Date],"&lt;"&amp;EDATE(A60,1))</f>
        <v>35.621621621621621</v>
      </c>
      <c r="K60">
        <f t="shared" si="2"/>
        <v>41</v>
      </c>
    </row>
    <row r="61" spans="1:11" x14ac:dyDescent="0.3">
      <c r="A61" s="6">
        <v>46082</v>
      </c>
      <c r="B61" s="4" t="s">
        <v>37</v>
      </c>
      <c r="C61">
        <f>COUNTIFS(Appointments[Specialty],B61, Appointments[Appointment_Date], "&gt;="&amp;A61, Appointments[Appointment_Date],"&lt;"&amp;EDATE(A61,1))</f>
        <v>64</v>
      </c>
      <c r="D61" cm="1">
        <f t="array" ref="D61">_xlfn.XLOOKUP(1,(Capacity[Month]=A61)*(Capacity[Specialty]=B61),Capacity[Available_Slots])</f>
        <v>47</v>
      </c>
      <c r="E61">
        <f>COUNTIFS(Appointments[Specialty],B61,Appointments[Appointment_Date],"&gt;="&amp;A61, Appointments[Appointment_Date],"&lt;"&amp;EDATE(A61,1),Appointments[Status],"Attended")</f>
        <v>51</v>
      </c>
      <c r="F61">
        <f t="shared" si="0"/>
        <v>17</v>
      </c>
      <c r="G61" s="7">
        <f t="shared" si="1"/>
        <v>1.0851063829787233</v>
      </c>
      <c r="H61" s="7">
        <f>COUNTIFS(Appointments[Specialty],B61,Appointments[Appointment_Date],"&gt;="&amp;A61,Appointments[Appointment_Date],"&lt;"&amp;EDATE(A61,1), Appointments[Status],"DNA")/C61</f>
        <v>7.8125E-2</v>
      </c>
      <c r="I61" s="7">
        <f>COUNTIFS(Appointments[Specialty],B61,Appointments[Appointment_Date], "&gt;="&amp;A61,Appointments[Appointment_Date],"&lt;"&amp;EDATE(A61,1), Appointments[Status],"Cancelled")/C61</f>
        <v>0.125</v>
      </c>
      <c r="J61" s="11">
        <f>AVERAGEIFS(Appointments[Waiting_Days],Appointments[Specialty],B61, Appointments[Appointment_Date],"&gt;="&amp;A61, Appointments[Appointment_Date],"&lt;"&amp;EDATE(A61,1))</f>
        <v>33.3125</v>
      </c>
      <c r="K61">
        <f t="shared" si="2"/>
        <v>171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619B8-5637-44C9-97C0-CC3E26CBD20C}">
  <dimension ref="A1:W170"/>
  <sheetViews>
    <sheetView workbookViewId="0">
      <selection activeCell="F9" sqref="F9"/>
    </sheetView>
  </sheetViews>
  <sheetFormatPr defaultRowHeight="14.4" x14ac:dyDescent="0.3"/>
  <cols>
    <col min="1" max="1" width="23.44140625" bestFit="1" customWidth="1"/>
    <col min="2" max="2" width="21.88671875" bestFit="1" customWidth="1"/>
    <col min="3" max="3" width="14.88671875" bestFit="1" customWidth="1"/>
    <col min="4" max="4" width="17.77734375" bestFit="1" customWidth="1"/>
    <col min="5" max="5" width="24.77734375" bestFit="1" customWidth="1"/>
    <col min="6" max="6" width="4.6640625" bestFit="1" customWidth="1"/>
    <col min="7" max="7" width="14.88671875" bestFit="1" customWidth="1"/>
    <col min="8" max="8" width="8.33203125" bestFit="1" customWidth="1"/>
    <col min="9" max="9" width="8.77734375" bestFit="1" customWidth="1"/>
    <col min="10" max="10" width="7.6640625" bestFit="1" customWidth="1"/>
    <col min="15" max="15" width="14.88671875" bestFit="1" customWidth="1"/>
    <col min="16" max="16" width="20.5546875" bestFit="1" customWidth="1"/>
    <col min="17" max="17" width="11.5546875" bestFit="1" customWidth="1"/>
    <col min="18" max="18" width="15.33203125" bestFit="1" customWidth="1"/>
    <col min="19" max="19" width="9.33203125" bestFit="1" customWidth="1"/>
    <col min="20" max="20" width="12.33203125" bestFit="1" customWidth="1"/>
    <col min="21" max="21" width="10.5546875" bestFit="1" customWidth="1"/>
    <col min="23" max="23" width="18.5546875" customWidth="1"/>
  </cols>
  <sheetData>
    <row r="1" spans="1:10" x14ac:dyDescent="0.3">
      <c r="A1" s="12" t="s">
        <v>3</v>
      </c>
      <c r="B1" t="s">
        <v>3257</v>
      </c>
    </row>
    <row r="2" spans="1:10" x14ac:dyDescent="0.3">
      <c r="A2" s="12" t="s">
        <v>3260</v>
      </c>
      <c r="B2" t="s">
        <v>3258</v>
      </c>
    </row>
    <row r="3" spans="1:10" x14ac:dyDescent="0.3">
      <c r="A3" s="12" t="s">
        <v>3261</v>
      </c>
      <c r="B3" t="s">
        <v>3259</v>
      </c>
      <c r="G3" s="12" t="s">
        <v>3254</v>
      </c>
      <c r="H3" t="s">
        <v>3274</v>
      </c>
      <c r="I3" t="s">
        <v>3275</v>
      </c>
      <c r="J3" t="s">
        <v>3276</v>
      </c>
    </row>
    <row r="4" spans="1:10" x14ac:dyDescent="0.3">
      <c r="G4" s="13" t="s">
        <v>23</v>
      </c>
      <c r="H4" s="1">
        <v>632</v>
      </c>
      <c r="I4" s="1">
        <v>558</v>
      </c>
      <c r="J4" s="1">
        <v>494</v>
      </c>
    </row>
    <row r="5" spans="1:10" x14ac:dyDescent="0.3">
      <c r="A5" s="12" t="s">
        <v>3254</v>
      </c>
      <c r="B5" t="s">
        <v>3256</v>
      </c>
      <c r="G5" s="13" t="s">
        <v>13</v>
      </c>
      <c r="H5" s="1">
        <v>536</v>
      </c>
      <c r="I5" s="1">
        <v>529</v>
      </c>
      <c r="J5" s="1">
        <v>422</v>
      </c>
    </row>
    <row r="6" spans="1:10" x14ac:dyDescent="0.3">
      <c r="A6" s="13" t="s">
        <v>16</v>
      </c>
      <c r="B6" s="1">
        <v>213</v>
      </c>
      <c r="G6" s="13" t="s">
        <v>28</v>
      </c>
      <c r="H6" s="1">
        <v>567</v>
      </c>
      <c r="I6" s="1">
        <v>441</v>
      </c>
      <c r="J6" s="1">
        <v>432</v>
      </c>
    </row>
    <row r="7" spans="1:10" x14ac:dyDescent="0.3">
      <c r="A7" s="13" t="s">
        <v>53</v>
      </c>
      <c r="B7" s="1">
        <v>39</v>
      </c>
      <c r="G7" s="13" t="s">
        <v>32</v>
      </c>
      <c r="H7" s="1">
        <v>453</v>
      </c>
      <c r="I7" s="1">
        <v>416</v>
      </c>
      <c r="J7" s="1">
        <v>354</v>
      </c>
    </row>
    <row r="8" spans="1:10" x14ac:dyDescent="0.3">
      <c r="A8" s="13" t="s">
        <v>33</v>
      </c>
      <c r="B8" s="1">
        <v>20</v>
      </c>
      <c r="G8" s="13" t="s">
        <v>37</v>
      </c>
      <c r="H8" s="1">
        <v>696</v>
      </c>
      <c r="I8" s="1">
        <v>525</v>
      </c>
      <c r="J8" s="1">
        <v>546</v>
      </c>
    </row>
    <row r="9" spans="1:10" x14ac:dyDescent="0.3">
      <c r="A9" s="13" t="s">
        <v>3255</v>
      </c>
      <c r="B9" s="1">
        <v>272</v>
      </c>
      <c r="G9" s="13" t="s">
        <v>3255</v>
      </c>
      <c r="H9" s="1">
        <v>2884</v>
      </c>
      <c r="I9" s="1">
        <v>2469</v>
      </c>
      <c r="J9" s="1">
        <v>2248</v>
      </c>
    </row>
    <row r="39" spans="3:5" x14ac:dyDescent="0.3">
      <c r="C39" s="12" t="s">
        <v>3254</v>
      </c>
      <c r="D39" t="s">
        <v>3274</v>
      </c>
      <c r="E39" t="s">
        <v>3275</v>
      </c>
    </row>
    <row r="40" spans="3:5" x14ac:dyDescent="0.3">
      <c r="C40" s="14">
        <v>45748</v>
      </c>
      <c r="D40" s="1">
        <v>37</v>
      </c>
      <c r="E40" s="1">
        <v>50</v>
      </c>
    </row>
    <row r="41" spans="3:5" x14ac:dyDescent="0.3">
      <c r="C41" s="14">
        <v>45778</v>
      </c>
      <c r="D41" s="1">
        <v>201</v>
      </c>
      <c r="E41" s="1">
        <v>160</v>
      </c>
    </row>
    <row r="42" spans="3:5" x14ac:dyDescent="0.3">
      <c r="C42" s="14">
        <v>45809</v>
      </c>
      <c r="D42" s="1">
        <v>263</v>
      </c>
      <c r="E42" s="1">
        <v>213</v>
      </c>
    </row>
    <row r="43" spans="3:5" x14ac:dyDescent="0.3">
      <c r="C43" s="14">
        <v>45839</v>
      </c>
      <c r="D43" s="1">
        <v>276</v>
      </c>
      <c r="E43" s="1">
        <v>240</v>
      </c>
    </row>
    <row r="44" spans="3:5" x14ac:dyDescent="0.3">
      <c r="C44" s="14">
        <v>45870</v>
      </c>
      <c r="D44" s="1">
        <v>249</v>
      </c>
      <c r="E44" s="1">
        <v>218</v>
      </c>
    </row>
    <row r="45" spans="3:5" x14ac:dyDescent="0.3">
      <c r="C45" s="14">
        <v>45901</v>
      </c>
      <c r="D45" s="1">
        <v>280</v>
      </c>
      <c r="E45" s="1">
        <v>234</v>
      </c>
    </row>
    <row r="46" spans="3:5" x14ac:dyDescent="0.3">
      <c r="C46" s="14">
        <v>45931</v>
      </c>
      <c r="D46" s="1">
        <v>274</v>
      </c>
      <c r="E46" s="1">
        <v>237</v>
      </c>
    </row>
    <row r="47" spans="3:5" x14ac:dyDescent="0.3">
      <c r="C47" s="14">
        <v>45962</v>
      </c>
      <c r="D47" s="1">
        <v>271</v>
      </c>
      <c r="E47" s="1">
        <v>233</v>
      </c>
    </row>
    <row r="48" spans="3:5" x14ac:dyDescent="0.3">
      <c r="C48" s="14">
        <v>45992</v>
      </c>
      <c r="D48" s="1">
        <v>267</v>
      </c>
      <c r="E48" s="1">
        <v>222</v>
      </c>
    </row>
    <row r="49" spans="3:5" x14ac:dyDescent="0.3">
      <c r="C49" s="14">
        <v>46023</v>
      </c>
      <c r="D49" s="1">
        <v>261</v>
      </c>
      <c r="E49" s="1">
        <v>231</v>
      </c>
    </row>
    <row r="50" spans="3:5" x14ac:dyDescent="0.3">
      <c r="C50" s="14">
        <v>46054</v>
      </c>
      <c r="D50" s="1">
        <v>233</v>
      </c>
      <c r="E50" s="1">
        <v>198</v>
      </c>
    </row>
    <row r="51" spans="3:5" x14ac:dyDescent="0.3">
      <c r="C51" s="14">
        <v>46082</v>
      </c>
      <c r="D51" s="1">
        <v>272</v>
      </c>
      <c r="E51" s="1">
        <v>233</v>
      </c>
    </row>
    <row r="52" spans="3:5" x14ac:dyDescent="0.3">
      <c r="C52" s="14" t="s">
        <v>3255</v>
      </c>
      <c r="D52" s="1">
        <v>2884</v>
      </c>
      <c r="E52" s="1">
        <v>2469</v>
      </c>
    </row>
    <row r="67" spans="15:21" x14ac:dyDescent="0.3">
      <c r="O67" s="12" t="s">
        <v>3256</v>
      </c>
      <c r="P67" s="12" t="s">
        <v>3262</v>
      </c>
    </row>
    <row r="68" spans="15:21" x14ac:dyDescent="0.3">
      <c r="O68" s="12" t="s">
        <v>3254</v>
      </c>
      <c r="P68" t="s">
        <v>30</v>
      </c>
      <c r="Q68" t="s">
        <v>19</v>
      </c>
      <c r="R68" t="s">
        <v>21</v>
      </c>
      <c r="S68" t="s">
        <v>44</v>
      </c>
      <c r="T68" t="s">
        <v>80</v>
      </c>
      <c r="U68" t="s">
        <v>3255</v>
      </c>
    </row>
    <row r="69" spans="15:21" x14ac:dyDescent="0.3">
      <c r="O69" s="13" t="s">
        <v>23</v>
      </c>
      <c r="P69" s="7">
        <v>0.12340425531914893</v>
      </c>
      <c r="Q69" s="7">
        <v>0.24964539007092199</v>
      </c>
      <c r="R69" s="7">
        <v>0.3219858156028369</v>
      </c>
      <c r="S69" s="7">
        <v>0.21702127659574469</v>
      </c>
      <c r="T69" s="7">
        <v>8.794326241134752E-2</v>
      </c>
      <c r="U69" s="7">
        <v>1</v>
      </c>
    </row>
    <row r="70" spans="15:21" x14ac:dyDescent="0.3">
      <c r="O70" s="13" t="s">
        <v>13</v>
      </c>
      <c r="P70" s="7">
        <v>0.11036789297658862</v>
      </c>
      <c r="Q70" s="7">
        <v>0.23411371237458195</v>
      </c>
      <c r="R70" s="7">
        <v>0.32441471571906355</v>
      </c>
      <c r="S70" s="7">
        <v>0.21404682274247491</v>
      </c>
      <c r="T70" s="7">
        <v>0.11705685618729098</v>
      </c>
      <c r="U70" s="7">
        <v>1</v>
      </c>
    </row>
    <row r="71" spans="15:21" x14ac:dyDescent="0.3">
      <c r="O71" s="13" t="s">
        <v>28</v>
      </c>
      <c r="P71" s="7">
        <v>0.1492063492063492</v>
      </c>
      <c r="Q71" s="7">
        <v>0.22698412698412698</v>
      </c>
      <c r="R71" s="7">
        <v>0.29523809523809524</v>
      </c>
      <c r="S71" s="7">
        <v>0.22857142857142856</v>
      </c>
      <c r="T71" s="7">
        <v>0.1</v>
      </c>
      <c r="U71" s="7">
        <v>1</v>
      </c>
    </row>
    <row r="72" spans="15:21" x14ac:dyDescent="0.3">
      <c r="O72" s="13" t="s">
        <v>32</v>
      </c>
      <c r="P72" s="7">
        <v>0.12151394422310757</v>
      </c>
      <c r="Q72" s="7">
        <v>0.25099601593625498</v>
      </c>
      <c r="R72" s="7">
        <v>0.27490039840637448</v>
      </c>
      <c r="S72" s="7">
        <v>0.2151394422310757</v>
      </c>
      <c r="T72" s="7">
        <v>0.13745019920318724</v>
      </c>
      <c r="U72" s="7">
        <v>1</v>
      </c>
    </row>
    <row r="73" spans="15:21" x14ac:dyDescent="0.3">
      <c r="O73" s="13" t="s">
        <v>37</v>
      </c>
      <c r="P73" s="7">
        <v>0.14248366013071895</v>
      </c>
      <c r="Q73" s="7">
        <v>0.24444444444444444</v>
      </c>
      <c r="R73" s="7">
        <v>0.31895424836601305</v>
      </c>
      <c r="S73" s="7">
        <v>0.20392156862745098</v>
      </c>
      <c r="T73" s="7">
        <v>9.0196078431372548E-2</v>
      </c>
      <c r="U73" s="7">
        <v>1</v>
      </c>
    </row>
    <row r="74" spans="15:21" x14ac:dyDescent="0.3">
      <c r="O74" s="13" t="s">
        <v>3255</v>
      </c>
      <c r="P74" s="7">
        <v>0.1303125</v>
      </c>
      <c r="Q74" s="7">
        <v>0.24124999999999999</v>
      </c>
      <c r="R74" s="7">
        <v>0.30906250000000002</v>
      </c>
      <c r="S74" s="7">
        <v>0.21531249999999999</v>
      </c>
      <c r="T74" s="7">
        <v>0.1040625</v>
      </c>
      <c r="U74" s="7">
        <v>1</v>
      </c>
    </row>
    <row r="95" spans="3:5" x14ac:dyDescent="0.3">
      <c r="C95" s="12" t="s">
        <v>3254</v>
      </c>
      <c r="D95" t="s">
        <v>3263</v>
      </c>
      <c r="E95" t="s">
        <v>3264</v>
      </c>
    </row>
    <row r="96" spans="3:5" x14ac:dyDescent="0.3">
      <c r="C96" s="13" t="s">
        <v>23</v>
      </c>
      <c r="D96" s="7">
        <v>8.2311071176228226E-2</v>
      </c>
      <c r="E96" s="7">
        <v>0.14488882420714766</v>
      </c>
    </row>
    <row r="97" spans="3:5" x14ac:dyDescent="0.3">
      <c r="C97" s="13" t="s">
        <v>13</v>
      </c>
      <c r="D97" s="7">
        <v>8.8928039646682111E-2</v>
      </c>
      <c r="E97" s="7">
        <v>0.14722977917186578</v>
      </c>
    </row>
    <row r="98" spans="3:5" x14ac:dyDescent="0.3">
      <c r="C98" s="13" t="s">
        <v>28</v>
      </c>
      <c r="D98" s="7">
        <v>0.10303114065558604</v>
      </c>
      <c r="E98" s="7">
        <v>0.15239499691740352</v>
      </c>
    </row>
    <row r="99" spans="3:5" x14ac:dyDescent="0.3">
      <c r="C99" s="13" t="s">
        <v>32</v>
      </c>
      <c r="D99" s="7">
        <v>0.1041362932798891</v>
      </c>
      <c r="E99" s="7">
        <v>0.12622438114790788</v>
      </c>
    </row>
    <row r="100" spans="3:5" x14ac:dyDescent="0.3">
      <c r="C100" s="13" t="s">
        <v>37</v>
      </c>
      <c r="D100" s="7">
        <v>8.8668178435022837E-2</v>
      </c>
      <c r="E100" s="7">
        <v>0.11055819959334218</v>
      </c>
    </row>
    <row r="101" spans="3:5" x14ac:dyDescent="0.3">
      <c r="C101" s="13" t="s">
        <v>3255</v>
      </c>
      <c r="D101" s="7">
        <v>9.3414944638681663E-2</v>
      </c>
      <c r="E101" s="7">
        <v>0.13625923620753341</v>
      </c>
    </row>
    <row r="114" spans="3:21" x14ac:dyDescent="0.3">
      <c r="C114" s="12" t="s">
        <v>2</v>
      </c>
      <c r="D114" t="s">
        <v>3257</v>
      </c>
    </row>
    <row r="116" spans="3:21" x14ac:dyDescent="0.3">
      <c r="C116" s="12" t="s">
        <v>3265</v>
      </c>
      <c r="D116" s="12" t="s">
        <v>3262</v>
      </c>
    </row>
    <row r="117" spans="3:21" x14ac:dyDescent="0.3">
      <c r="C117" s="12" t="s">
        <v>3254</v>
      </c>
      <c r="D117" t="s">
        <v>16</v>
      </c>
      <c r="E117" t="s">
        <v>53</v>
      </c>
      <c r="F117" t="s">
        <v>33</v>
      </c>
      <c r="G117" s="15" t="s">
        <v>3255</v>
      </c>
      <c r="H117" s="16" t="s">
        <v>3250</v>
      </c>
      <c r="I117" s="16" t="s">
        <v>3266</v>
      </c>
    </row>
    <row r="118" spans="3:21" x14ac:dyDescent="0.3">
      <c r="C118" s="13" t="s">
        <v>23</v>
      </c>
      <c r="D118" s="1">
        <v>494</v>
      </c>
      <c r="E118" s="1">
        <v>90</v>
      </c>
      <c r="F118" s="1">
        <v>48</v>
      </c>
      <c r="G118" s="1">
        <v>632</v>
      </c>
      <c r="H118" s="7">
        <f t="shared" ref="H118:H123" si="0">F118/G118</f>
        <v>7.5949367088607597E-2</v>
      </c>
      <c r="I118" s="7">
        <f t="shared" ref="I118:I123" si="1">E118/G118</f>
        <v>0.14240506329113925</v>
      </c>
    </row>
    <row r="119" spans="3:21" x14ac:dyDescent="0.3">
      <c r="C119" s="13" t="s">
        <v>13</v>
      </c>
      <c r="D119" s="1">
        <v>422</v>
      </c>
      <c r="E119" s="1">
        <v>63</v>
      </c>
      <c r="F119" s="1">
        <v>51</v>
      </c>
      <c r="G119" s="1">
        <v>536</v>
      </c>
      <c r="H119" s="7">
        <f t="shared" si="0"/>
        <v>9.5149253731343281E-2</v>
      </c>
      <c r="I119" s="7">
        <f t="shared" si="1"/>
        <v>0.11753731343283583</v>
      </c>
    </row>
    <row r="120" spans="3:21" x14ac:dyDescent="0.3">
      <c r="C120" s="13" t="s">
        <v>28</v>
      </c>
      <c r="D120" s="1">
        <v>432</v>
      </c>
      <c r="E120" s="1">
        <v>83</v>
      </c>
      <c r="F120" s="1">
        <v>52</v>
      </c>
      <c r="G120" s="1">
        <v>567</v>
      </c>
      <c r="H120" s="7">
        <f t="shared" si="0"/>
        <v>9.1710758377425039E-2</v>
      </c>
      <c r="I120" s="7">
        <f t="shared" si="1"/>
        <v>0.14638447971781304</v>
      </c>
    </row>
    <row r="121" spans="3:21" x14ac:dyDescent="0.3">
      <c r="C121" s="13" t="s">
        <v>32</v>
      </c>
      <c r="D121" s="1">
        <v>354</v>
      </c>
      <c r="E121" s="1">
        <v>55</v>
      </c>
      <c r="F121" s="1">
        <v>44</v>
      </c>
      <c r="G121" s="1">
        <v>453</v>
      </c>
      <c r="H121" s="7">
        <f t="shared" si="0"/>
        <v>9.713024282560706E-2</v>
      </c>
      <c r="I121" s="7">
        <f t="shared" si="1"/>
        <v>0.12141280353200883</v>
      </c>
    </row>
    <row r="122" spans="3:21" x14ac:dyDescent="0.3">
      <c r="C122" s="13" t="s">
        <v>37</v>
      </c>
      <c r="D122" s="1">
        <v>546</v>
      </c>
      <c r="E122" s="1">
        <v>83</v>
      </c>
      <c r="F122" s="1">
        <v>67</v>
      </c>
      <c r="G122" s="1">
        <v>696</v>
      </c>
      <c r="H122" s="7">
        <f t="shared" si="0"/>
        <v>9.6264367816091947E-2</v>
      </c>
      <c r="I122" s="7">
        <f t="shared" si="1"/>
        <v>0.11925287356321838</v>
      </c>
    </row>
    <row r="123" spans="3:21" x14ac:dyDescent="0.3">
      <c r="C123" s="13" t="s">
        <v>3255</v>
      </c>
      <c r="D123" s="1">
        <v>2248</v>
      </c>
      <c r="E123" s="1">
        <v>374</v>
      </c>
      <c r="F123" s="1">
        <v>262</v>
      </c>
      <c r="G123" s="1">
        <v>2884</v>
      </c>
      <c r="H123" s="17">
        <f t="shared" si="0"/>
        <v>9.084604715672677E-2</v>
      </c>
      <c r="I123" s="17">
        <f t="shared" si="1"/>
        <v>0.12968099861303745</v>
      </c>
    </row>
    <row r="125" spans="3:21" x14ac:dyDescent="0.3">
      <c r="O125" s="12" t="s">
        <v>3267</v>
      </c>
      <c r="P125" s="12" t="s">
        <v>3262</v>
      </c>
    </row>
    <row r="126" spans="3:21" x14ac:dyDescent="0.3">
      <c r="O126" s="12" t="s">
        <v>3254</v>
      </c>
      <c r="P126" t="s">
        <v>23</v>
      </c>
      <c r="Q126" t="s">
        <v>13</v>
      </c>
      <c r="R126" t="s">
        <v>28</v>
      </c>
      <c r="S126" t="s">
        <v>32</v>
      </c>
      <c r="T126" t="s">
        <v>37</v>
      </c>
      <c r="U126" t="s">
        <v>3255</v>
      </c>
    </row>
    <row r="127" spans="3:21" x14ac:dyDescent="0.3">
      <c r="O127" s="14">
        <v>45748</v>
      </c>
      <c r="P127" s="1">
        <v>0</v>
      </c>
      <c r="Q127" s="1">
        <v>0</v>
      </c>
      <c r="R127" s="1">
        <v>0</v>
      </c>
      <c r="S127" s="1">
        <v>0</v>
      </c>
      <c r="T127" s="1">
        <v>0</v>
      </c>
      <c r="U127" s="1">
        <v>0</v>
      </c>
    </row>
    <row r="128" spans="3:21" x14ac:dyDescent="0.3">
      <c r="O128" s="14">
        <v>45778</v>
      </c>
      <c r="P128" s="1">
        <v>6</v>
      </c>
      <c r="Q128" s="1">
        <v>5</v>
      </c>
      <c r="R128" s="1">
        <v>9</v>
      </c>
      <c r="S128" s="1">
        <v>4</v>
      </c>
      <c r="T128" s="1">
        <v>17</v>
      </c>
      <c r="U128" s="1">
        <v>17</v>
      </c>
    </row>
    <row r="129" spans="15:23" x14ac:dyDescent="0.3">
      <c r="O129" s="14">
        <v>45809</v>
      </c>
      <c r="P129" s="1">
        <v>9</v>
      </c>
      <c r="Q129" s="1">
        <v>12</v>
      </c>
      <c r="R129" s="1">
        <v>23</v>
      </c>
      <c r="S129" s="1">
        <v>5</v>
      </c>
      <c r="T129" s="1">
        <v>42</v>
      </c>
      <c r="U129" s="1">
        <v>42</v>
      </c>
    </row>
    <row r="130" spans="15:23" x14ac:dyDescent="0.3">
      <c r="O130" s="14">
        <v>45839</v>
      </c>
      <c r="P130" s="1">
        <v>19</v>
      </c>
      <c r="Q130" s="1">
        <v>13</v>
      </c>
      <c r="R130" s="1">
        <v>32</v>
      </c>
      <c r="S130" s="1">
        <v>7</v>
      </c>
      <c r="T130" s="1">
        <v>56</v>
      </c>
      <c r="U130" s="1">
        <v>56</v>
      </c>
    </row>
    <row r="131" spans="15:23" x14ac:dyDescent="0.3">
      <c r="O131" s="14">
        <v>45870</v>
      </c>
      <c r="P131" s="1">
        <v>27</v>
      </c>
      <c r="Q131" s="1">
        <v>12</v>
      </c>
      <c r="R131" s="1">
        <v>44</v>
      </c>
      <c r="S131" s="1">
        <v>10</v>
      </c>
      <c r="T131" s="1">
        <v>65</v>
      </c>
      <c r="U131" s="1">
        <v>65</v>
      </c>
    </row>
    <row r="132" spans="15:23" x14ac:dyDescent="0.3">
      <c r="O132" s="14">
        <v>45901</v>
      </c>
      <c r="P132" s="1">
        <v>38</v>
      </c>
      <c r="Q132" s="1">
        <v>10</v>
      </c>
      <c r="R132" s="1">
        <v>56</v>
      </c>
      <c r="S132" s="1">
        <v>23</v>
      </c>
      <c r="T132" s="1">
        <v>77</v>
      </c>
      <c r="U132" s="1">
        <v>77</v>
      </c>
    </row>
    <row r="133" spans="15:23" x14ac:dyDescent="0.3">
      <c r="O133" s="14">
        <v>45931</v>
      </c>
      <c r="P133" s="1">
        <v>49</v>
      </c>
      <c r="Q133" s="1">
        <v>8</v>
      </c>
      <c r="R133" s="1">
        <v>68</v>
      </c>
      <c r="S133" s="1">
        <v>24</v>
      </c>
      <c r="T133" s="1">
        <v>92</v>
      </c>
      <c r="U133" s="1">
        <v>92</v>
      </c>
    </row>
    <row r="134" spans="15:23" x14ac:dyDescent="0.3">
      <c r="O134" s="14">
        <v>45962</v>
      </c>
      <c r="P134" s="1">
        <v>52</v>
      </c>
      <c r="Q134" s="1">
        <v>3</v>
      </c>
      <c r="R134" s="1">
        <v>87</v>
      </c>
      <c r="S134" s="1">
        <v>26</v>
      </c>
      <c r="T134" s="1">
        <v>111</v>
      </c>
      <c r="U134" s="1">
        <v>111</v>
      </c>
    </row>
    <row r="135" spans="15:23" x14ac:dyDescent="0.3">
      <c r="O135" s="14">
        <v>45992</v>
      </c>
      <c r="P135" s="1">
        <v>60</v>
      </c>
      <c r="Q135" s="1">
        <v>4</v>
      </c>
      <c r="R135" s="1">
        <v>100</v>
      </c>
      <c r="S135" s="1">
        <v>35</v>
      </c>
      <c r="T135" s="1">
        <v>125</v>
      </c>
      <c r="U135" s="1">
        <v>125</v>
      </c>
    </row>
    <row r="136" spans="15:23" x14ac:dyDescent="0.3">
      <c r="O136" s="14">
        <v>46023</v>
      </c>
      <c r="P136" s="1">
        <v>62</v>
      </c>
      <c r="Q136" s="1">
        <v>4</v>
      </c>
      <c r="R136" s="1">
        <v>111</v>
      </c>
      <c r="S136" s="1">
        <v>35</v>
      </c>
      <c r="T136" s="1">
        <v>142</v>
      </c>
      <c r="U136" s="1">
        <v>142</v>
      </c>
    </row>
    <row r="137" spans="15:23" x14ac:dyDescent="0.3">
      <c r="O137" s="14">
        <v>46054</v>
      </c>
      <c r="P137" s="1">
        <v>71</v>
      </c>
      <c r="Q137" s="1">
        <v>10</v>
      </c>
      <c r="R137" s="1">
        <v>117</v>
      </c>
      <c r="S137" s="1">
        <v>37</v>
      </c>
      <c r="T137" s="1">
        <v>154</v>
      </c>
      <c r="U137" s="1">
        <v>154</v>
      </c>
      <c r="W137" s="16" t="s">
        <v>3277</v>
      </c>
    </row>
    <row r="138" spans="15:23" x14ac:dyDescent="0.3">
      <c r="O138" s="14">
        <v>46082</v>
      </c>
      <c r="P138" s="1">
        <v>78</v>
      </c>
      <c r="Q138" s="1">
        <v>11</v>
      </c>
      <c r="R138" s="1">
        <v>127</v>
      </c>
      <c r="S138" s="1">
        <v>41</v>
      </c>
      <c r="T138" s="1">
        <v>171</v>
      </c>
      <c r="U138" s="1">
        <v>171</v>
      </c>
      <c r="W138">
        <f>SUM(P138:T138)</f>
        <v>428</v>
      </c>
    </row>
    <row r="139" spans="15:23" x14ac:dyDescent="0.3">
      <c r="O139" s="14" t="s">
        <v>3255</v>
      </c>
      <c r="P139" s="1">
        <v>78</v>
      </c>
      <c r="Q139" s="1">
        <v>13</v>
      </c>
      <c r="R139" s="1">
        <v>127</v>
      </c>
      <c r="S139" s="1">
        <v>41</v>
      </c>
      <c r="T139" s="1">
        <v>171</v>
      </c>
      <c r="U139" s="1">
        <v>171</v>
      </c>
    </row>
    <row r="164" spans="15:16" x14ac:dyDescent="0.3">
      <c r="O164" s="12" t="s">
        <v>3254</v>
      </c>
      <c r="P164" t="s">
        <v>3268</v>
      </c>
    </row>
    <row r="165" spans="15:16" x14ac:dyDescent="0.3">
      <c r="O165" s="13" t="s">
        <v>23</v>
      </c>
      <c r="P165" s="7">
        <v>0.85409986377074387</v>
      </c>
    </row>
    <row r="166" spans="15:16" x14ac:dyDescent="0.3">
      <c r="O166" s="13" t="s">
        <v>13</v>
      </c>
      <c r="P166" s="7">
        <v>0.76973262591589509</v>
      </c>
    </row>
    <row r="167" spans="15:16" x14ac:dyDescent="0.3">
      <c r="O167" s="13" t="s">
        <v>28</v>
      </c>
      <c r="P167" s="7">
        <v>0.95327170441747233</v>
      </c>
    </row>
    <row r="168" spans="15:16" x14ac:dyDescent="0.3">
      <c r="O168" s="13" t="s">
        <v>32</v>
      </c>
      <c r="P168" s="7">
        <v>0.8223165506407274</v>
      </c>
    </row>
    <row r="169" spans="15:16" x14ac:dyDescent="0.3">
      <c r="O169" s="13" t="s">
        <v>37</v>
      </c>
      <c r="P169" s="7">
        <v>1.0457667514684197</v>
      </c>
    </row>
    <row r="170" spans="15:16" x14ac:dyDescent="0.3">
      <c r="O170" s="13" t="s">
        <v>3255</v>
      </c>
      <c r="P170" s="7">
        <v>0.88903749924265163</v>
      </c>
    </row>
  </sheetData>
  <pageMargins left="0.7" right="0.7" top="0.75" bottom="0.75" header="0.3" footer="0.3"/>
  <drawing r:id="rId9"/>
  <extLst>
    <ext xmlns:x15="http://schemas.microsoft.com/office/spreadsheetml/2010/11/main" uri="{7E03D99C-DC04-49d9-9315-930204A7B6E9}">
      <x15:timelineRefs>
        <x15:timelineRef r:id="rId10"/>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95D6E-053B-4EB4-8A8E-2237A3A332BB}">
  <dimension ref="B2:P8"/>
  <sheetViews>
    <sheetView showGridLines="0" tabSelected="1" zoomScale="70" zoomScaleNormal="70" workbookViewId="0">
      <selection activeCell="H13" sqref="H13"/>
    </sheetView>
  </sheetViews>
  <sheetFormatPr defaultRowHeight="14.4" x14ac:dyDescent="0.3"/>
  <cols>
    <col min="2" max="2" width="15.77734375" customWidth="1"/>
    <col min="3" max="3" width="15.88671875" customWidth="1"/>
    <col min="4" max="4" width="16" customWidth="1"/>
    <col min="5" max="5" width="15.77734375" customWidth="1"/>
    <col min="6" max="6" width="15.88671875" customWidth="1"/>
    <col min="7" max="11" width="15.77734375" customWidth="1"/>
    <col min="12" max="12" width="16" customWidth="1"/>
    <col min="13" max="14" width="15.77734375" customWidth="1"/>
    <col min="15" max="15" width="15.88671875" customWidth="1"/>
    <col min="16" max="16" width="15.77734375" customWidth="1"/>
  </cols>
  <sheetData>
    <row r="2" spans="2:16" ht="14.4" customHeight="1" x14ac:dyDescent="0.3">
      <c r="B2" s="29" t="s">
        <v>3269</v>
      </c>
      <c r="C2" s="29"/>
      <c r="D2" s="29"/>
      <c r="E2" s="29"/>
      <c r="F2" s="29"/>
      <c r="G2" s="29"/>
      <c r="H2" s="29"/>
      <c r="I2" s="29"/>
      <c r="J2" s="29"/>
      <c r="K2" s="29"/>
      <c r="L2" s="29"/>
      <c r="M2" s="29"/>
      <c r="N2" s="29"/>
      <c r="O2" s="29"/>
      <c r="P2" s="29"/>
    </row>
    <row r="3" spans="2:16" x14ac:dyDescent="0.3">
      <c r="B3" s="29"/>
      <c r="C3" s="29"/>
      <c r="D3" s="29"/>
      <c r="E3" s="29"/>
      <c r="F3" s="29"/>
      <c r="G3" s="29"/>
      <c r="H3" s="29"/>
      <c r="I3" s="29"/>
      <c r="J3" s="29"/>
      <c r="K3" s="29"/>
      <c r="L3" s="29"/>
      <c r="M3" s="29"/>
      <c r="N3" s="29"/>
      <c r="O3" s="29"/>
      <c r="P3" s="29"/>
    </row>
    <row r="4" spans="2:16" x14ac:dyDescent="0.3">
      <c r="B4" s="30" t="s">
        <v>3278</v>
      </c>
      <c r="C4" s="30"/>
      <c r="D4" s="30"/>
      <c r="E4" s="30"/>
      <c r="F4" s="30"/>
      <c r="G4" s="30"/>
      <c r="H4" s="30"/>
      <c r="I4" s="30"/>
      <c r="J4" s="30"/>
      <c r="K4" s="30"/>
      <c r="L4" s="30"/>
      <c r="M4" s="30"/>
      <c r="N4" s="30"/>
      <c r="O4" s="30"/>
      <c r="P4" s="30"/>
    </row>
    <row r="6" spans="2:16" ht="25.8" x14ac:dyDescent="0.5">
      <c r="B6" s="19">
        <f>GETPIVOTDATA("Demand ",Pivot_Tables!$G$3)</f>
        <v>2884</v>
      </c>
      <c r="C6" s="20"/>
      <c r="D6" s="21"/>
      <c r="E6" s="18"/>
      <c r="F6" s="19">
        <f>GETPIVOTDATA("Capacity ",Pivot_Tables!$C$39)</f>
        <v>2469</v>
      </c>
      <c r="G6" s="20"/>
      <c r="H6" s="21"/>
      <c r="I6" s="18"/>
      <c r="J6" s="19">
        <f>Pivot_Tables!W138</f>
        <v>428</v>
      </c>
      <c r="K6" s="20"/>
      <c r="L6" s="21"/>
      <c r="M6" s="18"/>
      <c r="N6" s="28">
        <f>GETPIVOTDATA("Utilisation %",Pivot_Tables!$O$164)</f>
        <v>0.88903749924265163</v>
      </c>
      <c r="O6" s="20"/>
      <c r="P6" s="21"/>
    </row>
    <row r="7" spans="2:16" ht="25.8" x14ac:dyDescent="0.5">
      <c r="B7" s="22"/>
      <c r="C7" s="23"/>
      <c r="D7" s="24"/>
      <c r="E7" s="18"/>
      <c r="F7" s="22"/>
      <c r="G7" s="23"/>
      <c r="H7" s="24"/>
      <c r="I7" s="18"/>
      <c r="J7" s="22"/>
      <c r="K7" s="23"/>
      <c r="L7" s="24"/>
      <c r="M7" s="18"/>
      <c r="N7" s="22"/>
      <c r="O7" s="23"/>
      <c r="P7" s="24"/>
    </row>
    <row r="8" spans="2:16" s="8" customFormat="1" x14ac:dyDescent="0.3">
      <c r="B8" s="25" t="s">
        <v>3270</v>
      </c>
      <c r="C8" s="26"/>
      <c r="D8" s="27"/>
      <c r="F8" s="25" t="s">
        <v>3271</v>
      </c>
      <c r="G8" s="26"/>
      <c r="H8" s="27"/>
      <c r="J8" s="25" t="s">
        <v>3272</v>
      </c>
      <c r="K8" s="26"/>
      <c r="L8" s="27"/>
      <c r="N8" s="25" t="s">
        <v>3273</v>
      </c>
      <c r="O8" s="26"/>
      <c r="P8" s="27"/>
    </row>
  </sheetData>
  <mergeCells count="10">
    <mergeCell ref="B2:P3"/>
    <mergeCell ref="B4:P4"/>
    <mergeCell ref="B6:D7"/>
    <mergeCell ref="B8:D8"/>
    <mergeCell ref="F8:H8"/>
    <mergeCell ref="F6:H7"/>
    <mergeCell ref="J6:L7"/>
    <mergeCell ref="J8:L8"/>
    <mergeCell ref="N6:P7"/>
    <mergeCell ref="N8:P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1419A8-ED04-46F8-BA23-DBB8CA7A84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Raw_Appointment</vt:lpstr>
      <vt:lpstr>Capacity_Data</vt:lpstr>
      <vt:lpstr>Analysis</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Ajala</dc:creator>
  <cp:lastModifiedBy>David Ajala</cp:lastModifiedBy>
  <dcterms:created xsi:type="dcterms:W3CDTF">2026-09-11T15:01:13Z</dcterms:created>
  <dcterms:modified xsi:type="dcterms:W3CDTF">2026-09-27T14:58:10Z</dcterms:modified>
</cp:coreProperties>
</file>